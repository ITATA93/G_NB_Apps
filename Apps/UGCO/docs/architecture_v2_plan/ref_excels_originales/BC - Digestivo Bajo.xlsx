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5"/>
  <workbookPr/>
  <mc:AlternateContent xmlns:mc="http://schemas.openxmlformats.org/markup-compatibility/2006">
    <mc:Choice Requires="x15">
      <x15ac:absPath xmlns:x15ac="http://schemas.microsoft.com/office/spreadsheetml/2010/11/ac" url="O:\Gestión de casos Oncologicos\BIENVENIDOS A BAJO CONTROL\ESPECIALIDADES\"/>
    </mc:Choice>
  </mc:AlternateContent>
  <xr:revisionPtr revIDLastSave="0" documentId="8_{40D9718E-6D98-4C00-A142-4862EEAED1F6}" xr6:coauthVersionLast="47" xr6:coauthVersionMax="47" xr10:uidLastSave="{00000000-0000-0000-0000-000000000000}"/>
  <bookViews>
    <workbookView xWindow="-120" yWindow="-120" windowWidth="29040" windowHeight="15840" tabRatio="572" firstSheet="1" activeTab="1" xr2:uid="{00000000-000D-0000-FFFF-FFFF00000000}"/>
  </bookViews>
  <sheets>
    <sheet name="EGRESOS" sheetId="2" r:id="rId1"/>
    <sheet name="DIGESTIVO BAJO" sheetId="1" r:id="rId2"/>
    <sheet name="SIMBOLOGIA" sheetId="10" r:id="rId3"/>
  </sheets>
  <definedNames>
    <definedName name="_xlnm._FilterDatabase" localSheetId="1" hidden="1">'DIGESTIVO BAJO'!$A$4:$Y$251</definedName>
    <definedName name="_xlnm._FilterDatabase" localSheetId="0" hidden="1">EGRESOS!$A$4:$P$204</definedName>
    <definedName name="Estado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79" i="1" l="1"/>
  <c r="X279" i="1" s="1"/>
  <c r="W280" i="1"/>
  <c r="X280" i="1" s="1"/>
  <c r="W281" i="1"/>
  <c r="X281" i="1" s="1"/>
  <c r="W282" i="1"/>
  <c r="X282" i="1" s="1"/>
  <c r="W283" i="1"/>
  <c r="X283" i="1" s="1"/>
  <c r="W284" i="1"/>
  <c r="X284" i="1" s="1"/>
  <c r="W233" i="2"/>
  <c r="X233" i="2"/>
  <c r="W232" i="2"/>
  <c r="X232" i="2" s="1"/>
  <c r="W275" i="1"/>
  <c r="X275" i="1" s="1"/>
  <c r="W276" i="1"/>
  <c r="X276" i="1" s="1"/>
  <c r="W277" i="1"/>
  <c r="X277" i="1" s="1"/>
  <c r="W278" i="1"/>
  <c r="X278" i="1" s="1"/>
  <c r="W271" i="1"/>
  <c r="X271" i="1" s="1"/>
  <c r="W272" i="1"/>
  <c r="X272" i="1" s="1"/>
  <c r="W273" i="1"/>
  <c r="X273" i="1" s="1"/>
  <c r="W274" i="1"/>
  <c r="X274" i="1" s="1"/>
  <c r="W270" i="1"/>
  <c r="X270" i="1" s="1"/>
  <c r="W266" i="1"/>
  <c r="W267" i="1"/>
  <c r="W268" i="1"/>
  <c r="W269" i="1"/>
  <c r="X269" i="1" s="1"/>
  <c r="E231" i="2"/>
  <c r="W231" i="2"/>
  <c r="X231" i="2"/>
  <c r="W230" i="2"/>
  <c r="X230" i="2"/>
  <c r="W229" i="2"/>
  <c r="X229" i="2"/>
  <c r="E228" i="2"/>
  <c r="W228" i="2"/>
  <c r="X228" i="2"/>
  <c r="W227" i="2"/>
  <c r="X227" i="2"/>
  <c r="W62" i="1"/>
  <c r="W226" i="2"/>
  <c r="X226" i="2"/>
  <c r="E225" i="2"/>
  <c r="W225" i="2"/>
  <c r="X225" i="2"/>
  <c r="W262" i="1"/>
  <c r="W263" i="1"/>
  <c r="W264" i="1"/>
  <c r="W265" i="1"/>
  <c r="X262" i="1"/>
  <c r="X263" i="1"/>
  <c r="X264" i="1"/>
  <c r="X265" i="1"/>
  <c r="X266" i="1"/>
  <c r="X267" i="1"/>
  <c r="X268" i="1"/>
  <c r="W259" i="1"/>
  <c r="X259" i="1" s="1"/>
  <c r="W260" i="1"/>
  <c r="X260" i="1" s="1"/>
  <c r="W261" i="1"/>
  <c r="X261" i="1" s="1"/>
  <c r="W224" i="2"/>
  <c r="X224" i="2"/>
  <c r="W252" i="1"/>
  <c r="X252" i="1" s="1"/>
  <c r="W253" i="1"/>
  <c r="X253" i="1" s="1"/>
  <c r="W254" i="1"/>
  <c r="X254" i="1" s="1"/>
  <c r="W255" i="1"/>
  <c r="X255" i="1" s="1"/>
  <c r="W256" i="1"/>
  <c r="X256" i="1" s="1"/>
  <c r="W257" i="1"/>
  <c r="X257" i="1" s="1"/>
  <c r="W258" i="1"/>
  <c r="X258" i="1" s="1"/>
  <c r="W249" i="1"/>
  <c r="X249" i="1" s="1"/>
  <c r="W250" i="1"/>
  <c r="X250" i="1" s="1"/>
  <c r="W251" i="1"/>
  <c r="X251" i="1" s="1"/>
  <c r="W223" i="2"/>
  <c r="X223" i="2" s="1"/>
  <c r="W248" i="1"/>
  <c r="X248" i="1" s="1"/>
  <c r="W242" i="1"/>
  <c r="X242" i="1" s="1"/>
  <c r="W243" i="1"/>
  <c r="X243" i="1" s="1"/>
  <c r="W244" i="1"/>
  <c r="X244" i="1" s="1"/>
  <c r="W245" i="1"/>
  <c r="X245" i="1" s="1"/>
  <c r="W246" i="1"/>
  <c r="X246" i="1" s="1"/>
  <c r="W247" i="1"/>
  <c r="X247" i="1" s="1"/>
  <c r="W236" i="1"/>
  <c r="X236" i="1" s="1"/>
  <c r="W237" i="1"/>
  <c r="X237" i="1" s="1"/>
  <c r="W238" i="1"/>
  <c r="X238" i="1" s="1"/>
  <c r="W239" i="1"/>
  <c r="X239" i="1" s="1"/>
  <c r="W240" i="1"/>
  <c r="X240" i="1" s="1"/>
  <c r="W241" i="1"/>
  <c r="X241" i="1" s="1"/>
  <c r="W222" i="2"/>
  <c r="X222" i="2" s="1"/>
  <c r="W234" i="1"/>
  <c r="X234" i="1" s="1"/>
  <c r="W235" i="1"/>
  <c r="X235" i="1" s="1"/>
  <c r="W231" i="1"/>
  <c r="X231" i="1" s="1"/>
  <c r="W232" i="1"/>
  <c r="X232" i="1" s="1"/>
  <c r="W233" i="1"/>
  <c r="X233" i="1" s="1"/>
  <c r="W230" i="1"/>
  <c r="X230" i="1" s="1"/>
  <c r="W229" i="1"/>
  <c r="X229" i="1" s="1"/>
  <c r="W221" i="2"/>
  <c r="X221" i="2" s="1"/>
  <c r="W226" i="1"/>
  <c r="X226" i="1" s="1"/>
  <c r="W227" i="1"/>
  <c r="X227" i="1" s="1"/>
  <c r="W228" i="1"/>
  <c r="X228" i="1" s="1"/>
  <c r="E220" i="2"/>
  <c r="W220" i="2"/>
  <c r="X220" i="2" s="1"/>
  <c r="W67" i="1"/>
  <c r="X67" i="1" s="1"/>
  <c r="W219" i="2"/>
  <c r="X219" i="2" s="1"/>
  <c r="W218" i="2"/>
  <c r="X218" i="2" s="1"/>
  <c r="W217" i="2"/>
  <c r="X217" i="2" s="1"/>
  <c r="W216" i="2"/>
  <c r="X216" i="2" s="1"/>
  <c r="E215" i="2"/>
  <c r="W215" i="2"/>
  <c r="X215" i="2" s="1"/>
  <c r="W214" i="2"/>
  <c r="X214" i="2" s="1"/>
  <c r="E214" i="2"/>
  <c r="W213" i="2"/>
  <c r="X213" i="2" s="1"/>
  <c r="E212" i="2"/>
  <c r="W212" i="2"/>
  <c r="X212" i="2" s="1"/>
  <c r="W211" i="2"/>
  <c r="X211" i="2" s="1"/>
  <c r="W210" i="2"/>
  <c r="X210" i="2" s="1"/>
  <c r="W209" i="2"/>
  <c r="X209" i="2" s="1"/>
  <c r="E209" i="2"/>
  <c r="W208" i="2"/>
  <c r="X208" i="2" s="1"/>
  <c r="W207" i="2"/>
  <c r="X207" i="2" s="1"/>
  <c r="W206" i="2"/>
  <c r="X206" i="2" s="1"/>
  <c r="W225" i="1"/>
  <c r="X225" i="1" s="1"/>
  <c r="W223" i="1"/>
  <c r="X223" i="1" s="1"/>
  <c r="W224" i="1"/>
  <c r="X224" i="1" s="1"/>
  <c r="E205" i="2"/>
  <c r="W205" i="2"/>
  <c r="X205" i="2" s="1"/>
  <c r="W222" i="1"/>
  <c r="X222" i="1" s="1"/>
  <c r="W221" i="1"/>
  <c r="X221" i="1" s="1"/>
  <c r="W220" i="1"/>
  <c r="X220" i="1" s="1"/>
  <c r="W219" i="1"/>
  <c r="X219" i="1" s="1"/>
  <c r="W218" i="1"/>
  <c r="X218" i="1" s="1"/>
  <c r="W217" i="1"/>
  <c r="X217" i="1" s="1"/>
  <c r="W216" i="1"/>
  <c r="X216" i="1" s="1"/>
  <c r="W215" i="1"/>
  <c r="X215" i="1" s="1"/>
  <c r="W214" i="1"/>
  <c r="X214" i="1" s="1"/>
  <c r="W213" i="1"/>
  <c r="X213" i="1" s="1"/>
  <c r="W212" i="1"/>
  <c r="X212" i="1" s="1"/>
  <c r="W211" i="1"/>
  <c r="X211" i="1" s="1"/>
  <c r="W210" i="1"/>
  <c r="X210" i="1" s="1"/>
  <c r="W209" i="1"/>
  <c r="X209" i="1" s="1"/>
  <c r="W208" i="1"/>
  <c r="X208" i="1" s="1"/>
  <c r="W207" i="1"/>
  <c r="X207" i="1" s="1"/>
  <c r="W206" i="1"/>
  <c r="X206" i="1" s="1"/>
  <c r="W205" i="1"/>
  <c r="X205" i="1" s="1"/>
  <c r="W204" i="1"/>
  <c r="X204" i="1" s="1"/>
  <c r="W203" i="1"/>
  <c r="X203" i="1" s="1"/>
  <c r="W202" i="1"/>
  <c r="X202" i="1" s="1"/>
  <c r="W201" i="1"/>
  <c r="X201" i="1" s="1"/>
  <c r="W200" i="1"/>
  <c r="X200" i="1" s="1"/>
  <c r="W199" i="1"/>
  <c r="X199" i="1" s="1"/>
  <c r="W198" i="1"/>
  <c r="X198" i="1" s="1"/>
  <c r="W197" i="1"/>
  <c r="X197" i="1" s="1"/>
  <c r="W196" i="1"/>
  <c r="X196" i="1" s="1"/>
  <c r="W195" i="1"/>
  <c r="X195" i="1" s="1"/>
  <c r="E195" i="1"/>
  <c r="W194" i="1"/>
  <c r="X194" i="1" s="1"/>
  <c r="W193" i="1"/>
  <c r="X193" i="1" s="1"/>
  <c r="W192" i="1"/>
  <c r="X192" i="1" s="1"/>
  <c r="W191" i="1"/>
  <c r="X191" i="1" s="1"/>
  <c r="E191" i="1"/>
  <c r="W190" i="1"/>
  <c r="X190" i="1" s="1"/>
  <c r="W189" i="1"/>
  <c r="X189" i="1" s="1"/>
  <c r="W188" i="1"/>
  <c r="X188" i="1" s="1"/>
  <c r="W187" i="1"/>
  <c r="X187" i="1" s="1"/>
  <c r="W186" i="1"/>
  <c r="X186" i="1" s="1"/>
  <c r="W185" i="1"/>
  <c r="X185" i="1" s="1"/>
  <c r="W184" i="1"/>
  <c r="X184" i="1" s="1"/>
  <c r="E184" i="1"/>
  <c r="W183" i="1"/>
  <c r="X183" i="1" s="1"/>
  <c r="W182" i="1"/>
  <c r="X182" i="1" s="1"/>
  <c r="W181" i="1"/>
  <c r="X181" i="1" s="1"/>
  <c r="E181" i="1"/>
  <c r="W180" i="1"/>
  <c r="X180" i="1" s="1"/>
  <c r="E180" i="1"/>
  <c r="W179" i="1"/>
  <c r="X179" i="1" s="1"/>
  <c r="E179" i="1"/>
  <c r="W178" i="1"/>
  <c r="X178" i="1" s="1"/>
  <c r="E178" i="1"/>
  <c r="W177" i="1"/>
  <c r="X177" i="1" s="1"/>
  <c r="E177" i="1"/>
  <c r="W176" i="1"/>
  <c r="X176" i="1" s="1"/>
  <c r="E176" i="1"/>
  <c r="W175" i="1"/>
  <c r="X175" i="1" s="1"/>
  <c r="W174" i="1"/>
  <c r="X174" i="1" s="1"/>
  <c r="E174" i="1"/>
  <c r="W173" i="1"/>
  <c r="X173" i="1" s="1"/>
  <c r="W172" i="1"/>
  <c r="X172" i="1" s="1"/>
  <c r="W171" i="1"/>
  <c r="X171" i="1" s="1"/>
  <c r="W170" i="1"/>
  <c r="X170" i="1" s="1"/>
  <c r="W169" i="1"/>
  <c r="X169" i="1" s="1"/>
  <c r="W168" i="1"/>
  <c r="X168" i="1" s="1"/>
  <c r="W167" i="1"/>
  <c r="X167" i="1" s="1"/>
  <c r="W166" i="1"/>
  <c r="X166" i="1" s="1"/>
  <c r="W165" i="1"/>
  <c r="X165" i="1" s="1"/>
  <c r="W164" i="1"/>
  <c r="X164" i="1" s="1"/>
  <c r="E164" i="1"/>
  <c r="W163" i="1"/>
  <c r="X163" i="1" s="1"/>
  <c r="W162" i="1"/>
  <c r="X162" i="1" s="1"/>
  <c r="E162" i="1"/>
  <c r="W161" i="1"/>
  <c r="X161" i="1" s="1"/>
  <c r="E161" i="1"/>
  <c r="W160" i="1"/>
  <c r="X160" i="1" s="1"/>
  <c r="W159" i="1"/>
  <c r="X159" i="1" s="1"/>
  <c r="E159" i="1"/>
  <c r="W158" i="1"/>
  <c r="X158" i="1" s="1"/>
  <c r="W157" i="1"/>
  <c r="X157" i="1" s="1"/>
  <c r="E157" i="1"/>
  <c r="W156" i="1"/>
  <c r="X156" i="1" s="1"/>
  <c r="E156" i="1"/>
  <c r="W155" i="1"/>
  <c r="X155" i="1" s="1"/>
  <c r="W154" i="1"/>
  <c r="X154" i="1" s="1"/>
  <c r="E154" i="1"/>
  <c r="W153" i="1"/>
  <c r="X153" i="1" s="1"/>
  <c r="E153" i="1"/>
  <c r="W152" i="1"/>
  <c r="X152" i="1" s="1"/>
  <c r="W151" i="1"/>
  <c r="X151" i="1" s="1"/>
  <c r="W150" i="1"/>
  <c r="X150" i="1" s="1"/>
  <c r="E150" i="1"/>
  <c r="W149" i="1"/>
  <c r="X149" i="1" s="1"/>
  <c r="E149" i="1"/>
  <c r="W148" i="1"/>
  <c r="X148" i="1" s="1"/>
  <c r="E148" i="1"/>
  <c r="W147" i="1"/>
  <c r="X147" i="1" s="1"/>
  <c r="E147" i="1"/>
  <c r="W146" i="1"/>
  <c r="X146" i="1" s="1"/>
  <c r="E146" i="1"/>
  <c r="W145" i="1"/>
  <c r="X145" i="1" s="1"/>
  <c r="E145" i="1"/>
  <c r="W144" i="1"/>
  <c r="X144" i="1" s="1"/>
  <c r="E144" i="1"/>
  <c r="W143" i="1"/>
  <c r="X143" i="1" s="1"/>
  <c r="W142" i="1"/>
  <c r="X142" i="1" s="1"/>
  <c r="E142" i="1"/>
  <c r="W141" i="1"/>
  <c r="X141" i="1" s="1"/>
  <c r="E141" i="1"/>
  <c r="W140" i="1"/>
  <c r="X140" i="1" s="1"/>
  <c r="E140" i="1"/>
  <c r="W139" i="1"/>
  <c r="X139" i="1" s="1"/>
  <c r="E139" i="1"/>
  <c r="W138" i="1"/>
  <c r="X138" i="1" s="1"/>
  <c r="E138" i="1"/>
  <c r="W137" i="1"/>
  <c r="X137" i="1" s="1"/>
  <c r="E137" i="1"/>
  <c r="W136" i="1"/>
  <c r="X136" i="1" s="1"/>
  <c r="W135" i="1"/>
  <c r="X135" i="1" s="1"/>
  <c r="W134" i="1"/>
  <c r="X134" i="1" s="1"/>
  <c r="E134" i="1"/>
  <c r="W133" i="1"/>
  <c r="X133" i="1" s="1"/>
  <c r="E133" i="1"/>
  <c r="W132" i="1"/>
  <c r="X132" i="1" s="1"/>
  <c r="E132" i="1"/>
  <c r="W131" i="1"/>
  <c r="X131" i="1" s="1"/>
  <c r="W130" i="1"/>
  <c r="X130" i="1" s="1"/>
  <c r="W129" i="1"/>
  <c r="X129" i="1" s="1"/>
  <c r="W128" i="1"/>
  <c r="X128" i="1" s="1"/>
  <c r="W127" i="1"/>
  <c r="X127" i="1" s="1"/>
  <c r="E127" i="1"/>
  <c r="W126" i="1"/>
  <c r="X126" i="1" s="1"/>
  <c r="W125" i="1"/>
  <c r="X125" i="1" s="1"/>
  <c r="E125" i="1"/>
  <c r="W124" i="1"/>
  <c r="X124" i="1" s="1"/>
  <c r="E124" i="1"/>
  <c r="W123" i="1"/>
  <c r="X123" i="1" s="1"/>
  <c r="W122" i="1"/>
  <c r="X122" i="1" s="1"/>
  <c r="E122" i="1"/>
  <c r="W121" i="1"/>
  <c r="X121" i="1" s="1"/>
  <c r="E121" i="1"/>
  <c r="W120" i="1"/>
  <c r="X120" i="1" s="1"/>
  <c r="E120" i="1"/>
  <c r="W119" i="1"/>
  <c r="X119" i="1" s="1"/>
  <c r="E119" i="1"/>
  <c r="W118" i="1"/>
  <c r="X118" i="1" s="1"/>
  <c r="E118" i="1"/>
  <c r="W117" i="1"/>
  <c r="X117" i="1" s="1"/>
  <c r="E117" i="1"/>
  <c r="W116" i="1"/>
  <c r="X116" i="1" s="1"/>
  <c r="E116" i="1"/>
  <c r="W115" i="1"/>
  <c r="X115" i="1" s="1"/>
  <c r="E115" i="1"/>
  <c r="W114" i="1"/>
  <c r="X114" i="1" s="1"/>
  <c r="W113" i="1"/>
  <c r="X113" i="1" s="1"/>
  <c r="E113" i="1"/>
  <c r="W112" i="1"/>
  <c r="X112" i="1" s="1"/>
  <c r="E112" i="1"/>
  <c r="W111" i="1"/>
  <c r="X111" i="1" s="1"/>
  <c r="E111" i="1"/>
  <c r="W110" i="1"/>
  <c r="X110" i="1" s="1"/>
  <c r="E110" i="1"/>
  <c r="W109" i="1"/>
  <c r="X109" i="1" s="1"/>
  <c r="W108" i="1"/>
  <c r="X108" i="1" s="1"/>
  <c r="W107" i="1"/>
  <c r="X107" i="1" s="1"/>
  <c r="W106" i="1"/>
  <c r="X106" i="1" s="1"/>
  <c r="E106" i="1"/>
  <c r="W105" i="1"/>
  <c r="X105" i="1" s="1"/>
  <c r="E105" i="1"/>
  <c r="W104" i="1"/>
  <c r="X104" i="1" s="1"/>
  <c r="E104" i="1"/>
  <c r="W103" i="1"/>
  <c r="X103" i="1" s="1"/>
  <c r="W102" i="1"/>
  <c r="X102" i="1" s="1"/>
  <c r="E102" i="1"/>
  <c r="W101" i="1"/>
  <c r="X101" i="1" s="1"/>
  <c r="W100" i="1"/>
  <c r="X100" i="1" s="1"/>
  <c r="W99" i="1"/>
  <c r="X99" i="1" s="1"/>
  <c r="W98" i="1"/>
  <c r="X98" i="1" s="1"/>
  <c r="E98" i="1"/>
  <c r="W97" i="1"/>
  <c r="X97" i="1" s="1"/>
  <c r="W96" i="1"/>
  <c r="X96" i="1" s="1"/>
  <c r="W95" i="1"/>
  <c r="X95" i="1" s="1"/>
  <c r="E95" i="1"/>
  <c r="W94" i="1"/>
  <c r="X94" i="1" s="1"/>
  <c r="E94" i="1"/>
  <c r="W93" i="1"/>
  <c r="X93" i="1" s="1"/>
  <c r="W92" i="1"/>
  <c r="X92" i="1" s="1"/>
  <c r="E92" i="1"/>
  <c r="W91" i="1"/>
  <c r="X91" i="1" s="1"/>
  <c r="E91" i="1"/>
  <c r="W90" i="1"/>
  <c r="X90" i="1" s="1"/>
  <c r="E90" i="1"/>
  <c r="W89" i="1"/>
  <c r="X89" i="1" s="1"/>
  <c r="E89" i="1"/>
  <c r="W88" i="1"/>
  <c r="X88" i="1" s="1"/>
  <c r="W87" i="1"/>
  <c r="X87" i="1" s="1"/>
  <c r="E87" i="1"/>
  <c r="W86" i="1"/>
  <c r="X86" i="1" s="1"/>
  <c r="W85" i="1"/>
  <c r="X85" i="1" s="1"/>
  <c r="E85" i="1"/>
  <c r="W84" i="1"/>
  <c r="X84" i="1" s="1"/>
  <c r="W83" i="1"/>
  <c r="X83" i="1" s="1"/>
  <c r="E83" i="1"/>
  <c r="W82" i="1"/>
  <c r="X82" i="1" s="1"/>
  <c r="W81" i="1"/>
  <c r="X81" i="1" s="1"/>
  <c r="W80" i="1"/>
  <c r="X80" i="1" s="1"/>
  <c r="E80" i="1"/>
  <c r="W79" i="1"/>
  <c r="X79" i="1" s="1"/>
  <c r="W78" i="1"/>
  <c r="X78" i="1" s="1"/>
  <c r="E78" i="1"/>
  <c r="W77" i="1"/>
  <c r="X77" i="1" s="1"/>
  <c r="E77" i="1"/>
  <c r="W76" i="1"/>
  <c r="X76" i="1" s="1"/>
  <c r="W75" i="1"/>
  <c r="X75" i="1" s="1"/>
  <c r="W74" i="1"/>
  <c r="X74" i="1" s="1"/>
  <c r="E74" i="1"/>
  <c r="W73" i="1"/>
  <c r="X73" i="1" s="1"/>
  <c r="E73" i="1"/>
  <c r="W72" i="1"/>
  <c r="X72" i="1" s="1"/>
  <c r="W71" i="1"/>
  <c r="X71" i="1" s="1"/>
  <c r="E71" i="1"/>
  <c r="W70" i="1"/>
  <c r="X70" i="1" s="1"/>
  <c r="W69" i="1"/>
  <c r="X69" i="1" s="1"/>
  <c r="E69" i="1"/>
  <c r="W68" i="1"/>
  <c r="X68" i="1" s="1"/>
  <c r="E67" i="1"/>
  <c r="W66" i="1"/>
  <c r="X66" i="1" s="1"/>
  <c r="W65" i="1"/>
  <c r="X65" i="1" s="1"/>
  <c r="W64" i="1"/>
  <c r="X64" i="1" s="1"/>
  <c r="E64" i="1"/>
  <c r="W63" i="1"/>
  <c r="X63" i="1" s="1"/>
  <c r="E63" i="1"/>
  <c r="X62" i="1"/>
  <c r="W61" i="1"/>
  <c r="X61" i="1" s="1"/>
  <c r="W60" i="1"/>
  <c r="X60" i="1" s="1"/>
  <c r="E60" i="1"/>
  <c r="W59" i="1"/>
  <c r="X59" i="1" s="1"/>
  <c r="W58" i="1"/>
  <c r="X58" i="1" s="1"/>
  <c r="W57" i="1"/>
  <c r="X57" i="1" s="1"/>
  <c r="W56" i="1"/>
  <c r="X56" i="1" s="1"/>
  <c r="W55" i="1"/>
  <c r="X55" i="1" s="1"/>
  <c r="E55" i="1"/>
  <c r="W54" i="1"/>
  <c r="X54" i="1" s="1"/>
  <c r="W53" i="1"/>
  <c r="X53" i="1" s="1"/>
  <c r="E53" i="1"/>
  <c r="W52" i="1"/>
  <c r="X52" i="1" s="1"/>
  <c r="W51" i="1"/>
  <c r="X51" i="1" s="1"/>
  <c r="E51" i="1"/>
  <c r="W50" i="1"/>
  <c r="X50" i="1" s="1"/>
  <c r="E50" i="1"/>
  <c r="W49" i="1"/>
  <c r="X49" i="1" s="1"/>
  <c r="W48" i="1"/>
  <c r="X48" i="1" s="1"/>
  <c r="E48" i="1"/>
  <c r="W47" i="1"/>
  <c r="X47" i="1" s="1"/>
  <c r="E47" i="1"/>
  <c r="W46" i="1"/>
  <c r="X46" i="1" s="1"/>
  <c r="E46" i="1"/>
  <c r="W45" i="1"/>
  <c r="X45" i="1" s="1"/>
  <c r="E45" i="1"/>
  <c r="W44" i="1"/>
  <c r="X44" i="1" s="1"/>
  <c r="W43" i="1"/>
  <c r="X43" i="1" s="1"/>
  <c r="W42" i="1"/>
  <c r="X42" i="1" s="1"/>
  <c r="E42" i="1"/>
  <c r="W41" i="1"/>
  <c r="X41" i="1" s="1"/>
  <c r="E41" i="1"/>
  <c r="W40" i="1"/>
  <c r="X40" i="1" s="1"/>
  <c r="E40" i="1"/>
  <c r="W39" i="1"/>
  <c r="X39" i="1" s="1"/>
  <c r="E39" i="1"/>
  <c r="W38" i="1"/>
  <c r="X38" i="1" s="1"/>
  <c r="E38" i="1"/>
  <c r="W37" i="1"/>
  <c r="X37" i="1" s="1"/>
  <c r="W36" i="1"/>
  <c r="X36" i="1" s="1"/>
  <c r="E36" i="1"/>
  <c r="W35" i="1"/>
  <c r="X35" i="1" s="1"/>
  <c r="E35" i="1"/>
  <c r="W34" i="1"/>
  <c r="X34" i="1" s="1"/>
  <c r="W33" i="1"/>
  <c r="X33" i="1" s="1"/>
  <c r="E33" i="1"/>
  <c r="W32" i="1"/>
  <c r="X32" i="1" s="1"/>
  <c r="E32" i="1"/>
  <c r="W31" i="1"/>
  <c r="X31" i="1" s="1"/>
  <c r="W30" i="1"/>
  <c r="X30" i="1" s="1"/>
  <c r="E30" i="1"/>
  <c r="W29" i="1"/>
  <c r="X29" i="1" s="1"/>
  <c r="E29" i="1"/>
  <c r="W28" i="1"/>
  <c r="X28" i="1" s="1"/>
  <c r="W27" i="1"/>
  <c r="X27" i="1" s="1"/>
  <c r="W26" i="1"/>
  <c r="X26" i="1" s="1"/>
  <c r="E26" i="1"/>
  <c r="W25" i="1"/>
  <c r="X25" i="1" s="1"/>
  <c r="W24" i="1"/>
  <c r="X24" i="1" s="1"/>
  <c r="E24" i="1"/>
  <c r="W23" i="1"/>
  <c r="X23" i="1" s="1"/>
  <c r="W22" i="1"/>
  <c r="X22" i="1" s="1"/>
  <c r="W21" i="1"/>
  <c r="X21" i="1" s="1"/>
  <c r="E21" i="1"/>
  <c r="W20" i="1"/>
  <c r="X20" i="1" s="1"/>
  <c r="E20" i="1"/>
  <c r="W19" i="1"/>
  <c r="X19" i="1" s="1"/>
  <c r="E19" i="1"/>
  <c r="W18" i="1"/>
  <c r="X18" i="1" s="1"/>
  <c r="E18" i="1"/>
  <c r="W17" i="1"/>
  <c r="X17" i="1" s="1"/>
  <c r="E17" i="1"/>
  <c r="W16" i="1"/>
  <c r="X16" i="1" s="1"/>
  <c r="E16" i="1"/>
  <c r="W15" i="1"/>
  <c r="X15" i="1" s="1"/>
  <c r="E15" i="1"/>
  <c r="W14" i="1"/>
  <c r="X14" i="1" s="1"/>
  <c r="E14" i="1"/>
  <c r="W12" i="1"/>
  <c r="X12" i="1" s="1"/>
  <c r="E12" i="1"/>
  <c r="W11" i="1"/>
  <c r="X11" i="1" s="1"/>
  <c r="E11" i="1"/>
  <c r="W10" i="1"/>
  <c r="X10" i="1" s="1"/>
  <c r="E10" i="1"/>
  <c r="W13" i="1"/>
  <c r="X13" i="1" s="1"/>
  <c r="E13" i="1"/>
  <c r="W9" i="1"/>
  <c r="X9" i="1" s="1"/>
  <c r="W8" i="1"/>
  <c r="X8" i="1" s="1"/>
  <c r="W7" i="1"/>
  <c r="X7" i="1" s="1"/>
  <c r="E7" i="1"/>
  <c r="W6" i="1"/>
  <c r="X6" i="1" s="1"/>
  <c r="E6" i="1"/>
  <c r="W5" i="1"/>
  <c r="X5" i="1" s="1"/>
  <c r="E5" i="1"/>
  <c r="W204" i="2"/>
  <c r="X204" i="2" s="1"/>
  <c r="W203" i="2"/>
  <c r="X203" i="2" s="1"/>
  <c r="E203" i="2"/>
  <c r="W202" i="2"/>
  <c r="X202" i="2" s="1"/>
  <c r="W201" i="2"/>
  <c r="X201" i="2" s="1"/>
  <c r="W200" i="2"/>
  <c r="X200" i="2" s="1"/>
  <c r="E200" i="2"/>
  <c r="W199" i="2"/>
  <c r="X199" i="2" s="1"/>
  <c r="W198" i="2"/>
  <c r="X198" i="2" s="1"/>
  <c r="E198" i="2"/>
  <c r="W197" i="2"/>
  <c r="X197" i="2" s="1"/>
  <c r="E197" i="2"/>
  <c r="W196" i="2"/>
  <c r="X196" i="2" s="1"/>
  <c r="E196" i="2"/>
  <c r="W195" i="2"/>
  <c r="X195" i="2" s="1"/>
  <c r="E195" i="2"/>
  <c r="W194" i="2"/>
  <c r="X194" i="2" s="1"/>
  <c r="W193" i="2"/>
  <c r="X193" i="2" s="1"/>
  <c r="W192" i="2"/>
  <c r="X192" i="2" s="1"/>
  <c r="W191" i="2"/>
  <c r="X191" i="2" s="1"/>
  <c r="W190" i="2"/>
  <c r="X190" i="2" s="1"/>
  <c r="E190" i="2"/>
  <c r="W189" i="2"/>
  <c r="X189" i="2" s="1"/>
  <c r="W188" i="2"/>
  <c r="X188" i="2" s="1"/>
  <c r="W187" i="2"/>
  <c r="X187" i="2" s="1"/>
  <c r="W186" i="2"/>
  <c r="X186" i="2" s="1"/>
  <c r="W185" i="2"/>
  <c r="X185" i="2" s="1"/>
  <c r="W184" i="2"/>
  <c r="X184" i="2" s="1"/>
  <c r="W183" i="2"/>
  <c r="X183" i="2" s="1"/>
  <c r="W182" i="2"/>
  <c r="X182" i="2" s="1"/>
  <c r="W181" i="2"/>
  <c r="X181" i="2" s="1"/>
  <c r="W180" i="2"/>
  <c r="X180" i="2" s="1"/>
  <c r="W179" i="2"/>
  <c r="X179" i="2" s="1"/>
  <c r="W178" i="2"/>
  <c r="X178" i="2" s="1"/>
  <c r="W177" i="2"/>
  <c r="X177" i="2" s="1"/>
  <c r="W176" i="2"/>
  <c r="X176" i="2" s="1"/>
  <c r="W175" i="2"/>
  <c r="X175" i="2" s="1"/>
  <c r="W174" i="2"/>
  <c r="X174" i="2" s="1"/>
  <c r="W173" i="2"/>
  <c r="X173" i="2" s="1"/>
  <c r="W172" i="2"/>
  <c r="X172" i="2" s="1"/>
  <c r="W171" i="2"/>
  <c r="X171" i="2" s="1"/>
  <c r="E171" i="2"/>
  <c r="W170" i="2"/>
  <c r="X170" i="2" s="1"/>
  <c r="W169" i="2"/>
  <c r="X169" i="2" s="1"/>
  <c r="W168" i="2"/>
  <c r="X168" i="2" s="1"/>
  <c r="E168" i="2"/>
  <c r="W167" i="2"/>
  <c r="X167" i="2" s="1"/>
  <c r="W166" i="2"/>
  <c r="X166" i="2" s="1"/>
  <c r="W165" i="2"/>
  <c r="X165" i="2" s="1"/>
  <c r="W164" i="2"/>
  <c r="X164" i="2" s="1"/>
  <c r="W163" i="2"/>
  <c r="X163" i="2" s="1"/>
  <c r="E163" i="2"/>
  <c r="W162" i="2"/>
  <c r="X162" i="2" s="1"/>
  <c r="W161" i="2"/>
  <c r="X161" i="2" s="1"/>
  <c r="W160" i="2"/>
  <c r="X160" i="2" s="1"/>
  <c r="W159" i="2"/>
  <c r="X159" i="2" s="1"/>
  <c r="W158" i="2"/>
  <c r="X158" i="2" s="1"/>
  <c r="V157" i="2"/>
  <c r="W157" i="2" s="1"/>
  <c r="V156" i="2"/>
  <c r="W156" i="2" s="1"/>
  <c r="V155" i="2"/>
  <c r="W155" i="2" s="1"/>
  <c r="V154" i="2"/>
  <c r="W154" i="2" s="1"/>
  <c r="V153" i="2"/>
  <c r="W153" i="2" s="1"/>
  <c r="V152" i="2"/>
  <c r="W152" i="2" s="1"/>
  <c r="E152" i="2"/>
  <c r="V151" i="2"/>
  <c r="W151" i="2" s="1"/>
  <c r="E151" i="2"/>
  <c r="V150" i="2"/>
  <c r="W150" i="2" s="1"/>
  <c r="V149" i="2"/>
  <c r="W149" i="2" s="1"/>
  <c r="E149" i="2"/>
  <c r="V148" i="2"/>
  <c r="W148" i="2" s="1"/>
  <c r="E148" i="2"/>
  <c r="V147" i="2"/>
  <c r="W147" i="2" s="1"/>
  <c r="V146" i="2"/>
  <c r="W146" i="2" s="1"/>
  <c r="V145" i="2"/>
  <c r="W145" i="2" s="1"/>
  <c r="V144" i="2"/>
  <c r="W144" i="2" s="1"/>
  <c r="V143" i="2"/>
  <c r="W143" i="2" s="1"/>
  <c r="V142" i="2"/>
  <c r="W142" i="2" s="1"/>
  <c r="V141" i="2"/>
  <c r="W141" i="2" s="1"/>
  <c r="V140" i="2"/>
  <c r="W140" i="2" s="1"/>
  <c r="V139" i="2"/>
  <c r="W139" i="2" s="1"/>
  <c r="E139" i="2"/>
  <c r="V138" i="2"/>
  <c r="W138" i="2" s="1"/>
  <c r="E138" i="2"/>
  <c r="V137" i="2"/>
  <c r="W137" i="2" s="1"/>
  <c r="E137" i="2"/>
  <c r="V136" i="2"/>
  <c r="W136" i="2" s="1"/>
  <c r="E136" i="2"/>
  <c r="V135" i="2"/>
  <c r="W135" i="2" s="1"/>
  <c r="E135" i="2"/>
  <c r="V134" i="2"/>
  <c r="W134" i="2" s="1"/>
  <c r="E134" i="2"/>
  <c r="V133" i="2"/>
  <c r="W133" i="2" s="1"/>
  <c r="E133" i="2"/>
  <c r="V132" i="2"/>
  <c r="W132" i="2" s="1"/>
  <c r="E132" i="2"/>
  <c r="V131" i="2"/>
  <c r="W131" i="2" s="1"/>
  <c r="E131" i="2"/>
  <c r="V130" i="2"/>
  <c r="W130" i="2" s="1"/>
  <c r="E130" i="2"/>
  <c r="V129" i="2"/>
  <c r="W129" i="2" s="1"/>
  <c r="E129" i="2"/>
  <c r="V128" i="2"/>
  <c r="W128" i="2" s="1"/>
  <c r="E128" i="2"/>
  <c r="V127" i="2"/>
  <c r="W127" i="2" s="1"/>
  <c r="E127" i="2"/>
  <c r="V126" i="2"/>
  <c r="W126" i="2" s="1"/>
  <c r="V125" i="2"/>
  <c r="W125" i="2" s="1"/>
  <c r="E125" i="2"/>
  <c r="V124" i="2"/>
  <c r="W124" i="2" s="1"/>
  <c r="E124" i="2"/>
  <c r="V123" i="2"/>
  <c r="W123" i="2" s="1"/>
  <c r="E123" i="2"/>
  <c r="V122" i="2"/>
  <c r="W122" i="2" s="1"/>
  <c r="E122" i="2"/>
  <c r="V121" i="2"/>
  <c r="W121" i="2" s="1"/>
  <c r="E121" i="2"/>
  <c r="V120" i="2"/>
  <c r="W120" i="2" s="1"/>
  <c r="E120" i="2"/>
  <c r="V119" i="2"/>
  <c r="W119" i="2" s="1"/>
  <c r="E119" i="2"/>
  <c r="V118" i="2"/>
  <c r="W118" i="2" s="1"/>
  <c r="E118" i="2"/>
  <c r="V117" i="2"/>
  <c r="W117" i="2" s="1"/>
  <c r="E117" i="2"/>
  <c r="V116" i="2"/>
  <c r="W116" i="2" s="1"/>
  <c r="E116" i="2"/>
  <c r="V115" i="2"/>
  <c r="W115" i="2" s="1"/>
  <c r="E115" i="2"/>
  <c r="V114" i="2"/>
  <c r="W114" i="2" s="1"/>
  <c r="E114" i="2"/>
  <c r="V113" i="2"/>
  <c r="W113" i="2" s="1"/>
  <c r="E113" i="2"/>
  <c r="V112" i="2"/>
  <c r="W112" i="2" s="1"/>
  <c r="E112" i="2"/>
  <c r="V111" i="2"/>
  <c r="W111" i="2" s="1"/>
  <c r="E111" i="2"/>
  <c r="V110" i="2"/>
  <c r="W110" i="2" s="1"/>
  <c r="E110" i="2"/>
  <c r="V109" i="2"/>
  <c r="W109" i="2" s="1"/>
  <c r="E109" i="2"/>
  <c r="V108" i="2"/>
  <c r="W108" i="2" s="1"/>
  <c r="E108" i="2"/>
  <c r="V107" i="2"/>
  <c r="W107" i="2" s="1"/>
  <c r="E107" i="2"/>
  <c r="V106" i="2"/>
  <c r="W106" i="2" s="1"/>
  <c r="E106" i="2"/>
  <c r="V105" i="2"/>
  <c r="W105" i="2" s="1"/>
  <c r="E105" i="2"/>
  <c r="V104" i="2"/>
  <c r="W104" i="2" s="1"/>
  <c r="E104" i="2"/>
  <c r="V103" i="2"/>
  <c r="W103" i="2" s="1"/>
  <c r="E103" i="2"/>
  <c r="V102" i="2"/>
  <c r="W102" i="2" s="1"/>
  <c r="E102" i="2"/>
  <c r="V101" i="2"/>
  <c r="W101" i="2" s="1"/>
  <c r="E101" i="2"/>
  <c r="V100" i="2"/>
  <c r="W100" i="2" s="1"/>
  <c r="E100" i="2"/>
  <c r="V99" i="2"/>
  <c r="W99" i="2" s="1"/>
  <c r="E99" i="2"/>
  <c r="V98" i="2"/>
  <c r="W98" i="2" s="1"/>
  <c r="E98" i="2"/>
  <c r="V97" i="2"/>
  <c r="W97" i="2" s="1"/>
  <c r="E97" i="2"/>
  <c r="W96" i="2"/>
  <c r="E96" i="2"/>
  <c r="V95" i="2"/>
  <c r="W95" i="2" s="1"/>
  <c r="E95" i="2"/>
  <c r="V94" i="2"/>
  <c r="W94" i="2" s="1"/>
  <c r="E94" i="2"/>
  <c r="Q91" i="2"/>
  <c r="R91" i="2" s="1"/>
  <c r="Q90" i="2"/>
  <c r="R90" i="2" s="1"/>
</calcChain>
</file>

<file path=xl/sharedStrings.xml><?xml version="1.0" encoding="utf-8"?>
<sst xmlns="http://schemas.openxmlformats.org/spreadsheetml/2006/main" count="6214" uniqueCount="1321">
  <si>
    <t>GES/NO GES</t>
  </si>
  <si>
    <t xml:space="preserve">Nombre </t>
  </si>
  <si>
    <t xml:space="preserve">RUT </t>
  </si>
  <si>
    <t>DV</t>
  </si>
  <si>
    <t>Edad</t>
  </si>
  <si>
    <t>Comuna</t>
  </si>
  <si>
    <t>Tipo de Cáncer</t>
  </si>
  <si>
    <t>AÑO DG</t>
  </si>
  <si>
    <t>Fecha resultado</t>
  </si>
  <si>
    <t>CPYAD</t>
  </si>
  <si>
    <t>Etapa Clinica</t>
  </si>
  <si>
    <t>Fecha de Comité</t>
  </si>
  <si>
    <t>Indicación de Comité</t>
  </si>
  <si>
    <t>Centro de Derivación</t>
  </si>
  <si>
    <t xml:space="preserve">ESTADO DE CASO </t>
  </si>
  <si>
    <t>CAUSAL</t>
  </si>
  <si>
    <t>GES</t>
  </si>
  <si>
    <t>Carlos Regodeceves Zepeda</t>
  </si>
  <si>
    <t>OVALLE</t>
  </si>
  <si>
    <t>CANCER DE COLON</t>
  </si>
  <si>
    <t>Si</t>
  </si>
  <si>
    <t>Seguimiento</t>
  </si>
  <si>
    <t>Cuidados paliativos exclusivos</t>
  </si>
  <si>
    <t xml:space="preserve">HOV </t>
  </si>
  <si>
    <t>FALLECIDO</t>
  </si>
  <si>
    <t>ana veliz gonzalez</t>
  </si>
  <si>
    <t xml:space="preserve">PUNITAQUI </t>
  </si>
  <si>
    <t>DETENIDO</t>
  </si>
  <si>
    <t>RECHAZO DEL PACIENTE</t>
  </si>
  <si>
    <t xml:space="preserve">Elsina Rojas </t>
  </si>
  <si>
    <t xml:space="preserve">Gloria Castañeda Carvajal </t>
  </si>
  <si>
    <t>No</t>
  </si>
  <si>
    <t>Tratamiento</t>
  </si>
  <si>
    <t>Quimioterapia adyuvante</t>
  </si>
  <si>
    <t>HLS</t>
  </si>
  <si>
    <t xml:space="preserve">Hector Jimenez Pareja </t>
  </si>
  <si>
    <t>José Araya Olivares</t>
  </si>
  <si>
    <t>COMBARBALÁ</t>
  </si>
  <si>
    <t>Mario Valencia Castillo</t>
  </si>
  <si>
    <t>Quimioterapia + Rt</t>
  </si>
  <si>
    <t xml:space="preserve">HLS </t>
  </si>
  <si>
    <t xml:space="preserve">Nancy Talamilla Salinas </t>
  </si>
  <si>
    <t>Cirugia en Hospital de origen</t>
  </si>
  <si>
    <t>STGO</t>
  </si>
  <si>
    <t xml:space="preserve">TRASLADO </t>
  </si>
  <si>
    <t>Ociel Garcia Aguilera</t>
  </si>
  <si>
    <t>Patricio Aguilera Delgado</t>
  </si>
  <si>
    <t>Quimioterapia paliativa</t>
  </si>
  <si>
    <t xml:space="preserve">Sonia Araya Cortes </t>
  </si>
  <si>
    <t>si</t>
  </si>
  <si>
    <t>Scarlette Gonzalez Zepeda</t>
  </si>
  <si>
    <t xml:space="preserve">LA SERENA </t>
  </si>
  <si>
    <t>Etapificacion</t>
  </si>
  <si>
    <t>Eleomar Lemus Campillay</t>
  </si>
  <si>
    <t>CANCER GASTRICO</t>
  </si>
  <si>
    <t xml:space="preserve">Gerardo Arenas Fuentealba </t>
  </si>
  <si>
    <t xml:space="preserve">Gido Astudillo Borquez </t>
  </si>
  <si>
    <t>Moises Mundaca Campusano</t>
  </si>
  <si>
    <t>HOV</t>
  </si>
  <si>
    <t>NO GES</t>
  </si>
  <si>
    <t>CECILIA ARAYA ROJAS</t>
  </si>
  <si>
    <t>CANCER DE ESOFAGO</t>
  </si>
  <si>
    <t>SI</t>
  </si>
  <si>
    <t>Alamiro Vega Zepeda</t>
  </si>
  <si>
    <t xml:space="preserve">MONTE PATRIA </t>
  </si>
  <si>
    <t xml:space="preserve">EMILIO MUÑOZ VELASQUEZ  </t>
  </si>
  <si>
    <t>ELMA MERCEDES ANDRADE</t>
  </si>
  <si>
    <t xml:space="preserve">Ana Avalos Castillo </t>
  </si>
  <si>
    <t>CANCER DE RECTO</t>
  </si>
  <si>
    <t xml:space="preserve">ALTA ONCOLOGICA </t>
  </si>
  <si>
    <t xml:space="preserve">HUGO VILLALOBOS VILLALOBOS </t>
  </si>
  <si>
    <t xml:space="preserve">CANCER GASTRICO </t>
  </si>
  <si>
    <t xml:space="preserve">Silvestre cortes cortes </t>
  </si>
  <si>
    <t xml:space="preserve">etapificación </t>
  </si>
  <si>
    <t>gloria castañeda carvajal</t>
  </si>
  <si>
    <t xml:space="preserve">Isaias Arancibia Cortés </t>
  </si>
  <si>
    <t>JOVANSKA IDILIA LILLO REBOLLEDO</t>
  </si>
  <si>
    <t xml:space="preserve">Juan Gutierrez Rojo </t>
  </si>
  <si>
    <t xml:space="preserve">Eduardo Toledo Valdes </t>
  </si>
  <si>
    <t xml:space="preserve">Elda Díaz Díaz </t>
  </si>
  <si>
    <t>CANCER DE VESICULA</t>
  </si>
  <si>
    <t xml:space="preserve">Humberto Michel Ardiles </t>
  </si>
  <si>
    <t>CANCER DE PANCREAS</t>
  </si>
  <si>
    <t>Ines Paez Tapia</t>
  </si>
  <si>
    <t xml:space="preserve">JOSÉ ALEGRE BARRAZA </t>
  </si>
  <si>
    <t xml:space="preserve">juana Farias Farias </t>
  </si>
  <si>
    <t>IRENE AGUILERA CORTÉS</t>
  </si>
  <si>
    <t>K</t>
  </si>
  <si>
    <t>ILLAPEL</t>
  </si>
  <si>
    <t xml:space="preserve">LUIS NIJBORG MAYORGA </t>
  </si>
  <si>
    <t xml:space="preserve">María Aguilera Castillo </t>
  </si>
  <si>
    <t xml:space="preserve">MARTA BARAHONA JIMENEZ </t>
  </si>
  <si>
    <t xml:space="preserve">Seguimiento </t>
  </si>
  <si>
    <t>DESCARTE</t>
  </si>
  <si>
    <t>natalia acevedo gajardo</t>
  </si>
  <si>
    <t>TU NEUROENDOCRINO DE APENDICE CECAL</t>
  </si>
  <si>
    <t xml:space="preserve">HEMICOLECTOMIA </t>
  </si>
  <si>
    <t>Natalio Araya Tirado</t>
  </si>
  <si>
    <t>COLANGIOCARCINOMA</t>
  </si>
  <si>
    <t xml:space="preserve">Ricardo Ganas Villegas </t>
  </si>
  <si>
    <t>HEMANGIOCARCINOMA</t>
  </si>
  <si>
    <t xml:space="preserve">Rodrigo Valdivia </t>
  </si>
  <si>
    <t>Rosa Rojas Ibacache</t>
  </si>
  <si>
    <t>SARA ANACONA VILCHE</t>
  </si>
  <si>
    <t xml:space="preserve">POLIPO DEL COLON </t>
  </si>
  <si>
    <t xml:space="preserve">RAMON VARAS RIVERA </t>
  </si>
  <si>
    <t>YOVANSKA LILLO REBOLLEDO</t>
  </si>
  <si>
    <t>CANCER DE ANO</t>
  </si>
  <si>
    <t xml:space="preserve">VICTOR OPAZO VELIZ </t>
  </si>
  <si>
    <t>FELIX ROJAS GARCIA</t>
  </si>
  <si>
    <t xml:space="preserve">COQUIMBO </t>
  </si>
  <si>
    <t>GERVASIA TAPIA MUJICA</t>
  </si>
  <si>
    <t>JHONNY REVILLA ACOSTA</t>
  </si>
  <si>
    <t xml:space="preserve">luperfino zapata lara </t>
  </si>
  <si>
    <t xml:space="preserve">Nelson Rojas Díaz </t>
  </si>
  <si>
    <t xml:space="preserve">BAUDILIA VEGA PEREZ </t>
  </si>
  <si>
    <t xml:space="preserve">Héctor Araya Lanas </t>
  </si>
  <si>
    <t xml:space="preserve">Oscar Castillo Vergara </t>
  </si>
  <si>
    <t>JHONNY BERNARDO REVILLA ACOSTA</t>
  </si>
  <si>
    <t xml:space="preserve">ALEJANDRO ERNESTO GALLARDO ALBAREZ </t>
  </si>
  <si>
    <t xml:space="preserve">CARMEN ROSA MICHEA </t>
  </si>
  <si>
    <t xml:space="preserve">Segumiento </t>
  </si>
  <si>
    <t>HUGO DEL CARMEN  VILLALOBOS VILLALOBOS</t>
  </si>
  <si>
    <t xml:space="preserve">ROSA CORTES GONZALEZ </t>
  </si>
  <si>
    <t>JUANA CARVAJAL CUELLO</t>
  </si>
  <si>
    <t xml:space="preserve">Adan Chacana Andrade </t>
  </si>
  <si>
    <t>Alamiro Bugueño Carvajal</t>
  </si>
  <si>
    <t>quimioterapia paliativa</t>
  </si>
  <si>
    <t xml:space="preserve">Cecilia Aguilera Navea </t>
  </si>
  <si>
    <t>k</t>
  </si>
  <si>
    <t>?</t>
  </si>
  <si>
    <t xml:space="preserve">Dilema Alfaro Alfaro </t>
  </si>
  <si>
    <t xml:space="preserve">Edilia López Díaz </t>
  </si>
  <si>
    <t xml:space="preserve">Hernan Pizarro Araya </t>
  </si>
  <si>
    <t xml:space="preserve">SEGUMIENTO EN HOSPITAL DE ORIGEN  </t>
  </si>
  <si>
    <t>Hugo Canihuante Canihuante</t>
  </si>
  <si>
    <t>Ivan Vega Jofré</t>
  </si>
  <si>
    <t>Jacqueline Velasquez Aguirre</t>
  </si>
  <si>
    <t>Confirmacion</t>
  </si>
  <si>
    <t xml:space="preserve">Jaime Andrade Tello </t>
  </si>
  <si>
    <t xml:space="preserve">JULIO PASTEN VEGA </t>
  </si>
  <si>
    <t xml:space="preserve">CANCER DE COLON </t>
  </si>
  <si>
    <t>no</t>
  </si>
  <si>
    <t xml:space="preserve">ETAPIFICACION </t>
  </si>
  <si>
    <t xml:space="preserve">Luis Castillo Contreras </t>
  </si>
  <si>
    <t>H. VIÑA DEL MAR</t>
  </si>
  <si>
    <t>Segundo Morgado Pizarro</t>
  </si>
  <si>
    <t>METASPLASIA INTESTINAL</t>
  </si>
  <si>
    <t xml:space="preserve">No </t>
  </si>
  <si>
    <t xml:space="preserve">CURSO </t>
  </si>
  <si>
    <t xml:space="preserve">Sergio Aguilera Salfate </t>
  </si>
  <si>
    <t>quimio paliativa</t>
  </si>
  <si>
    <t>CURSO</t>
  </si>
  <si>
    <t xml:space="preserve">Sonia Araya Araya </t>
  </si>
  <si>
    <t>TU PAPILA DE VATER</t>
  </si>
  <si>
    <t xml:space="preserve">seguimiento </t>
  </si>
  <si>
    <t xml:space="preserve">SEGUIMIENTO </t>
  </si>
  <si>
    <t>Nancy Flores Alvarez</t>
  </si>
  <si>
    <t xml:space="preserve">CARMEN CODOCEO HILDAGO </t>
  </si>
  <si>
    <t>Cirugia en Centro de derivacion</t>
  </si>
  <si>
    <t xml:space="preserve">RICARDO DE LA CRUZ ARAYA RIVERA </t>
  </si>
  <si>
    <t xml:space="preserve">Si </t>
  </si>
  <si>
    <t xml:space="preserve">QUIMIOTERPIA PALIATIVA Y CIRUGIA </t>
  </si>
  <si>
    <t xml:space="preserve">Mario Roblero Roblero </t>
  </si>
  <si>
    <t xml:space="preserve">EGLANTINA OLIVARES DIAZ </t>
  </si>
  <si>
    <t xml:space="preserve">TUMOR HEPATICO </t>
  </si>
  <si>
    <t>NO</t>
  </si>
  <si>
    <t xml:space="preserve">MARIA BUGUEÑO BUGUEÑO </t>
  </si>
  <si>
    <t xml:space="preserve">TRATAMIENTO </t>
  </si>
  <si>
    <t>HSP</t>
  </si>
  <si>
    <t>ruben hernandez</t>
  </si>
  <si>
    <t>MARIA ALEJANDRA SEGOVIA SEGOVIA</t>
  </si>
  <si>
    <t xml:space="preserve">ALTA POR CIRUGIA </t>
  </si>
  <si>
    <t xml:space="preserve">Renato Tapia Nuñez	</t>
  </si>
  <si>
    <t>S/CD</t>
  </si>
  <si>
    <t>Sospecha</t>
  </si>
  <si>
    <t xml:space="preserve">SIN PRESENTAR </t>
  </si>
  <si>
    <t>MAITHE BELEN OLIVARES ROJAS</t>
  </si>
  <si>
    <t xml:space="preserve">SIN BP </t>
  </si>
  <si>
    <t>Egreso</t>
  </si>
  <si>
    <t>SIN PRESENTAR</t>
  </si>
  <si>
    <t>NILDA DEL TRÁNSITO SEGOVIA DONOSO</t>
  </si>
  <si>
    <t xml:space="preserve">LEUCEMIA </t>
  </si>
  <si>
    <t xml:space="preserve">CAUSAL MEDICA </t>
  </si>
  <si>
    <t xml:space="preserve">GES </t>
  </si>
  <si>
    <t>DOSITEO ALONSO IRARRAZABAL CAMUS</t>
  </si>
  <si>
    <t>CUIDADOS PALIATIVOS EXCLUSIVO</t>
  </si>
  <si>
    <t>MARIA GAMBOA DELGADO</t>
  </si>
  <si>
    <t xml:space="preserve">EVALUACION + REEPRESENTACION  </t>
  </si>
  <si>
    <t>OSCAR PIÑONES ROJAS</t>
  </si>
  <si>
    <t>CARLOS LEIVA MOLINA</t>
  </si>
  <si>
    <t>Confirmación</t>
  </si>
  <si>
    <t>FRESIA ARAYA ARAYA</t>
  </si>
  <si>
    <t xml:space="preserve">HEPATOCARCINOMA </t>
  </si>
  <si>
    <t xml:space="preserve">GABRIELA RIVERA RIVERA </t>
  </si>
  <si>
    <t xml:space="preserve">Marta Cortes Araya </t>
  </si>
  <si>
    <t>ANA PILAR ARAYA CARVAJAL</t>
  </si>
  <si>
    <t xml:space="preserve">CANCER DE VESICULA </t>
  </si>
  <si>
    <t>SE DESCARTA CA DE VESICULA EN ABRIL 2024</t>
  </si>
  <si>
    <t>SABA JARUFE HANNEH</t>
  </si>
  <si>
    <t>TU DE PANCREAS</t>
  </si>
  <si>
    <t>CUIDADOS PALIATIVOS EXCLUSIVOS</t>
  </si>
  <si>
    <t>ORIELA DEL ROSARIO RIVERA ROJAS</t>
  </si>
  <si>
    <t>COLOSTOMIA + QMT</t>
  </si>
  <si>
    <t>DILEMA BONILLA BONILLA</t>
  </si>
  <si>
    <t xml:space="preserve">DANILO CONTRERAS ARAYA </t>
  </si>
  <si>
    <t>GIST GASTRICO</t>
  </si>
  <si>
    <t>ALTA POR CIRUGIA EN MAYO</t>
  </si>
  <si>
    <t xml:space="preserve">MARCIA CORTES ADAROS </t>
  </si>
  <si>
    <t xml:space="preserve">OSCAR VILLALOBOS OLIVARES </t>
  </si>
  <si>
    <t>Andres Barrera Bello</t>
  </si>
  <si>
    <t>ca colon</t>
  </si>
  <si>
    <t xml:space="preserve">USUARIO DE SANTIAGO SE REALIZARA CONTROLES DE FORMA PARTICULAR </t>
  </si>
  <si>
    <t xml:space="preserve">BERNARDA BUGUEÑO VALDIVIA </t>
  </si>
  <si>
    <t>CANCER DE VESICULA BILIAR</t>
  </si>
  <si>
    <t xml:space="preserve">ANIBAL LAZO ARAYA </t>
  </si>
  <si>
    <t xml:space="preserve">Bernardo Castro Marquez </t>
  </si>
  <si>
    <t>Ever Asistiri Guarachi</t>
  </si>
  <si>
    <t xml:space="preserve">SE TRASLADO A BOLIVIA </t>
  </si>
  <si>
    <t>GABRIEL GOMEZ GODOY</t>
  </si>
  <si>
    <t xml:space="preserve">JOSE LARA MAYA </t>
  </si>
  <si>
    <t xml:space="preserve">JOSE ARAYA RIOS </t>
  </si>
  <si>
    <t>JUAN PEREZ CARVAJAL</t>
  </si>
  <si>
    <t xml:space="preserve">FALLECIDO </t>
  </si>
  <si>
    <t xml:space="preserve">Juana Torrejon Torrejon </t>
  </si>
  <si>
    <t xml:space="preserve">FALLECIDA </t>
  </si>
  <si>
    <t xml:space="preserve">RAMONA ANGEL CORTES </t>
  </si>
  <si>
    <t>HEPATOCARCINOMA</t>
  </si>
  <si>
    <t xml:space="preserve">Juan De Luca  Miranda </t>
  </si>
  <si>
    <t>SUSANA ZEPEDA ACUÑA</t>
  </si>
  <si>
    <t xml:space="preserve">BERTA EULALIA CORTES </t>
  </si>
  <si>
    <t xml:space="preserve">DIAMANTINA ASTORGA ARAYA </t>
  </si>
  <si>
    <t xml:space="preserve">Diosa Rojas Milla </t>
  </si>
  <si>
    <t xml:space="preserve">DELIA CISTERNAS ROJAS </t>
  </si>
  <si>
    <t>CANCER DE VIA BILIARES</t>
  </si>
  <si>
    <t xml:space="preserve">CUIDADOS PALIATICOS EXCLUSIVOS </t>
  </si>
  <si>
    <t>EMA RUBINA PIZARRO</t>
  </si>
  <si>
    <t>EMILIO GUZMAN CUELLAR</t>
  </si>
  <si>
    <t>JORGE ROJAS TABILO</t>
  </si>
  <si>
    <t>LAURA CAMPOS CORTES</t>
  </si>
  <si>
    <t xml:space="preserve">CARCINOMA PERITONIAL </t>
  </si>
  <si>
    <t>TRATAMIENTO</t>
  </si>
  <si>
    <t>RAQUEL FLORES ROJAS</t>
  </si>
  <si>
    <t>TU ILEON</t>
  </si>
  <si>
    <t xml:space="preserve">CORRESPONDE MANEJO POR HEMATOLOGIA </t>
  </si>
  <si>
    <t xml:space="preserve">TULIO ROJAS ESCOBAR </t>
  </si>
  <si>
    <t xml:space="preserve">ALDO CORTES CORTES </t>
  </si>
  <si>
    <t>ZENON ALFARO RAMIREZ</t>
  </si>
  <si>
    <t>ULISES LEON CASTILLO</t>
  </si>
  <si>
    <t xml:space="preserve">LAURA ROJAS ALVAREZ </t>
  </si>
  <si>
    <t xml:space="preserve">RIO HURTADO </t>
  </si>
  <si>
    <t xml:space="preserve">MANUEL GALLARDO GALLARDO </t>
  </si>
  <si>
    <t xml:space="preserve">MARIA VERGARA VALENZUELA </t>
  </si>
  <si>
    <t xml:space="preserve">CANCER DE PANCREAS </t>
  </si>
  <si>
    <t xml:space="preserve">Mireya Véliz Toro </t>
  </si>
  <si>
    <t xml:space="preserve">Rosa Núñez Ramos </t>
  </si>
  <si>
    <t>BERNARDO URIBE ALVARADO</t>
  </si>
  <si>
    <t xml:space="preserve">SALVA CALDERON ARAYA </t>
  </si>
  <si>
    <t>ROSA MOYA CASTILLO</t>
  </si>
  <si>
    <t xml:space="preserve">CARLOS CARVAJAL MUÑOZ </t>
  </si>
  <si>
    <t xml:space="preserve">ALTA POR CIRUGIA ONCOLOGIA </t>
  </si>
  <si>
    <t>MANUEL CORTES PIZARRO</t>
  </si>
  <si>
    <t>CONFIRMACIÓN</t>
  </si>
  <si>
    <t xml:space="preserve">MARCOS GUERRERO GUERRERO </t>
  </si>
  <si>
    <t>JESUS LOPEZ TAPIA</t>
  </si>
  <si>
    <t>PRIMARIO DESCONOCIDO MT HEPATICA</t>
  </si>
  <si>
    <t>MARTA CONTRERAS ARANCIBIA</t>
  </si>
  <si>
    <t xml:space="preserve">CANCER DE LA VESICULA BILIAR </t>
  </si>
  <si>
    <t xml:space="preserve">JUAN RIVERA CORTES </t>
  </si>
  <si>
    <t>SEGUIMIENTO</t>
  </si>
  <si>
    <t>VICTOR COLLAO HERNANDEZ</t>
  </si>
  <si>
    <t>SE DECIDE BP Y REPRESENTAR</t>
  </si>
  <si>
    <t>ELSA DUBO BUGUEÑO</t>
  </si>
  <si>
    <t xml:space="preserve">CARLOS NUÑEZ RUEDA </t>
  </si>
  <si>
    <t>SE SOLICITA EVALUACIÓN EN ONCOLOGIA MEDICA PARA TRATAMIENTO DE QMT</t>
  </si>
  <si>
    <t>SE REALIZA DERIVACIÓN EN HOSPITAL DE LA SERENA EN TRATAMIENTO DE QMT</t>
  </si>
  <si>
    <t>2 MESES</t>
  </si>
  <si>
    <t>ENFERMERA</t>
  </si>
  <si>
    <t>MOISÉS DE LAS MERCED ALFARO ALFARO</t>
  </si>
  <si>
    <t>RT</t>
  </si>
  <si>
    <t>16-08 EL DR SALAS SOLICITA EDA Y TAC TAP CONTROL CON RESULTADOS //tac listo, falta eda</t>
  </si>
  <si>
    <t>DR ROMERO</t>
  </si>
  <si>
    <t>SIEGMUND HAGEN ALFARO</t>
  </si>
  <si>
    <t>Se presentará caso en reunión del comité oncológico regional digestivo bajo. 
Se entrega receta medica por Zopiclona. 
Se solicita nueva TAC de tórax contrastada. 
Control con decisión el comité.</t>
  </si>
  <si>
    <t>1 MES</t>
  </si>
  <si>
    <t xml:space="preserve">DR RODRIGUEZ </t>
  </si>
  <si>
    <t>AGUSTINA GARCIA ALEGRE</t>
  </si>
  <si>
    <t>EN  CUIDADOS PALIATIVOS EXCLUSIVOS</t>
  </si>
  <si>
    <t>3 MESES</t>
  </si>
  <si>
    <t xml:space="preserve">ENFERMERA </t>
  </si>
  <si>
    <t xml:space="preserve">ITALIA DEL CARMEN RAMIREZ GOMEZ </t>
  </si>
  <si>
    <t xml:space="preserve">CORRSPONDE IQ </t>
  </si>
  <si>
    <t>ALTA POR POLI DE ONCOLOGIA POR CUMPLIMIENTO DE 5 AÑOS DE SEGUIMIENTO</t>
  </si>
  <si>
    <t>26-08 DR MIRANDA SOLICITA ESTUDIOS DE SEGUIMIENTO COLONO , TAC TAP Y EXA</t>
  </si>
  <si>
    <t xml:space="preserve">DR. RODRIGUEZ </t>
  </si>
  <si>
    <t>BERNARDITA FERNANDEZ CUELLO</t>
  </si>
  <si>
    <t xml:space="preserve">CUIDADOS PALIATIVOS EXCLUSIVOS </t>
  </si>
  <si>
    <t xml:space="preserve">USUARIA EN CUIDADOS PALIATIVOS EXCLUSIVOS POR CONDICIONES DE SALUD </t>
  </si>
  <si>
    <t>3 MES</t>
  </si>
  <si>
    <t xml:space="preserve">AMADOR PASTEN ROBLES </t>
  </si>
  <si>
    <t xml:space="preserve">USUARIO HOSPITALIZADO, PENDIENTE BP POST OPERATORIA DE CIRUGIA DE URGENCIA CA DE COLON </t>
  </si>
  <si>
    <t>MONICA CAMUS MANZANO</t>
  </si>
  <si>
    <t>CORRESPONDE DERIVAR A ONCOLOGIA MEDICA PARA QMT ADYUVANTE UNA VEZ DADO DE ALTA</t>
  </si>
  <si>
    <t xml:space="preserve">USUARIA CON HD, DR MANUEL INDICA EXAMENES DE LAB Y CONTROL EN 3 MESES </t>
  </si>
  <si>
    <t xml:space="preserve">RAUL VALENZUELA VALENZUELA </t>
  </si>
  <si>
    <t xml:space="preserve">INTERVENCIIÓN QUIRURGICA EN HOSPITAL DE LA SERENA </t>
  </si>
  <si>
    <t xml:space="preserve">SE DERIVA AL HLS PARA EVALUACIÓN POR CIRUGIA DIGESTIVA </t>
  </si>
  <si>
    <t>LLAMAR A PACIENTE</t>
  </si>
  <si>
    <t>MARIO OLIVARES CASTILLO</t>
  </si>
  <si>
    <t>EN CUIDADOS PALIATIVOS EXCLUSIVOS POR RECHAZO DE PACIENTE A IQ</t>
  </si>
  <si>
    <t>HÉCTOR LUIS CORTÉS MUÑOZ</t>
  </si>
  <si>
    <t>DIGESTIVO ALTO</t>
  </si>
  <si>
    <t xml:space="preserve">CORRESPONDE CUIDADOS PALIATIVOS EXCLUSIVOS </t>
  </si>
  <si>
    <t>COMITÉ CUIDADOS PALIATIVOS EXCLUSIVOS, POR ECOG Y RECHAZO DE TRATAMIENTO.</t>
  </si>
  <si>
    <t xml:space="preserve">MANUELA DE JESUS JUICA LOPEZ </t>
  </si>
  <si>
    <t>DIGESTIVO BAJO</t>
  </si>
  <si>
    <t xml:space="preserve">REEVALUACION + SEGUIMIENTO </t>
  </si>
  <si>
    <t>USUARIA EN EVALUACIONES POR CARDIO PARA PASE PARA QMT. SOLITA ESTUDIOS Y LUEGO CONTROL</t>
  </si>
  <si>
    <t>ESTUDIO EN GESTIONES</t>
  </si>
  <si>
    <t>BERLIN GUERRERO CARVAJAL</t>
  </si>
  <si>
    <t>DERIVACION A ONCO PARA QUIMIO PERIOPERATORIA</t>
  </si>
  <si>
    <t xml:space="preserve">SE CITARA A POLI PARA ENTREGA DE RESOLUCION DE COMITÉ </t>
  </si>
  <si>
    <t>DR SALAS</t>
  </si>
  <si>
    <t>LEONEL VILLALOBOS BARRAZA</t>
  </si>
  <si>
    <t xml:space="preserve">LOS VILOS </t>
  </si>
  <si>
    <t>TUMOR DE PANCREAS</t>
  </si>
  <si>
    <t>ETAPIFICACION</t>
  </si>
  <si>
    <t xml:space="preserve">SE ENCUENTRA GESTIONES ESTUDIOS DE EXTENSIÓN </t>
  </si>
  <si>
    <t>ANA LAZO ARAYA</t>
  </si>
  <si>
    <t xml:space="preserve">TU PERIAMPULAR </t>
  </si>
  <si>
    <t>SOSPECHA</t>
  </si>
  <si>
    <t xml:space="preserve">CONTROL CON ESTUDIOS </t>
  </si>
  <si>
    <t xml:space="preserve">NANCY CHOQUE MONTES </t>
  </si>
  <si>
    <t xml:space="preserve">FALLECIDA AUN NO HAY REGISTRO </t>
  </si>
  <si>
    <t>LUISA MERY GARCIA</t>
  </si>
  <si>
    <t xml:space="preserve">DIGESTIVO BAJO </t>
  </si>
  <si>
    <t xml:space="preserve">PENDIENTE ETAPIFICACION , PENDIENTE REALIZACION DE TAC DE TORAX </t>
  </si>
  <si>
    <t>MARIO LEIVA ALVARADO</t>
  </si>
  <si>
    <t>CORRESPONDE CUIDADOS PALIATIVOS EXCLUSIVOS, COLOSTOMIA EN ASA</t>
  </si>
  <si>
    <t>SE ENTREGA SET QUIRURGICO A PREQUIRURGICA</t>
  </si>
  <si>
    <t xml:space="preserve">MIGUEL CORTES JAIME </t>
  </si>
  <si>
    <t xml:space="preserve">DERIVAR A ONCOLOGIA MEDICA PARA EVALUAR QMT PALIATIVA </t>
  </si>
  <si>
    <t xml:space="preserve">USUARIA HOSPITALIZADO AÚN, SE DERIVA AL HLS </t>
  </si>
  <si>
    <t xml:space="preserve">ENFERMERIA </t>
  </si>
  <si>
    <t>CARLOS PONCE ANDRADE</t>
  </si>
  <si>
    <t xml:space="preserve">CANCER DE COLON MT HEPATICA </t>
  </si>
  <si>
    <t xml:space="preserve">PACIENTE EN CUIDADOS PALIATIVOS EXCLUSIVOS </t>
  </si>
  <si>
    <t>COSME LOPEZ DIAZ</t>
  </si>
  <si>
    <t xml:space="preserve">CANCER DE COLON SIGMOIDE + ILEON DISTAL </t>
  </si>
  <si>
    <t>TRAS DECISIÓN DE ULTIMO COMITÉ ONCOLOGICO PACIENTE SE MANTIENE CON CUIDADOS PALIATIVOS</t>
  </si>
  <si>
    <t>GUILLERMO ANTONIO SEGOVIA</t>
  </si>
  <si>
    <t xml:space="preserve">SE INDICA COLOSTOMIA </t>
  </si>
  <si>
    <t>USUARIO RECHAZA INTERVENCIÓN QUIRURGICA</t>
  </si>
  <si>
    <t>ALBERTO CORTES CORTES</t>
  </si>
  <si>
    <t>OBS CANCER DE PANCREAS</t>
  </si>
  <si>
    <t xml:space="preserve">SE SOLICITA PET-CT FDF Y EXAMEN IGG4 Y REPRESENTAR CON ESTUDIOS </t>
  </si>
  <si>
    <t xml:space="preserve">SE DESCARTA NEOPLASIA </t>
  </si>
  <si>
    <t xml:space="preserve">PENDIENTE AGENDAMIENTO PARA PET-CT Y LUEGO PRESENTAR CON RESULTADOS </t>
  </si>
  <si>
    <t>YOLANDA RODRIGUEZ CARVAJAL</t>
  </si>
  <si>
    <t xml:space="preserve">CORRESPONDE QMT 1 LINEA PALIATIVA CON CATETER FOLFOX </t>
  </si>
  <si>
    <t xml:space="preserve">SE SUSPENDE TRATAMIENTO DE QMT POR INFECCION URINARIA </t>
  </si>
  <si>
    <t>NORMA ALFARO ALFARO</t>
  </si>
  <si>
    <t>CORRESPONDE CUIDADOS PALIATIVOS EXCLUSIVOS</t>
  </si>
  <si>
    <t xml:space="preserve">USUARIA EN CUIDADOS PALIATIVOS EXCLUSIVOS </t>
  </si>
  <si>
    <t xml:space="preserve">AURORA OLMOS ROJAS </t>
  </si>
  <si>
    <t>SANTIAGO</t>
  </si>
  <si>
    <t>SIN  PRESENTAR</t>
  </si>
  <si>
    <t xml:space="preserve">SANTIAGO </t>
  </si>
  <si>
    <t xml:space="preserve">USUARIA ATENNDIENDOSE EN CLINICA EN SANTIAGO POR SU CANCER DE VESICULA, EN CUIDADOS PALIATIVOS POR HOV </t>
  </si>
  <si>
    <t xml:space="preserve">3 MESES </t>
  </si>
  <si>
    <t>MIRTA ALVARADO CORTES</t>
  </si>
  <si>
    <t>COMPLETAR 8 CICLOS DE QMT Y CONTINUAR EN CPYAD</t>
  </si>
  <si>
    <t xml:space="preserve">SE ENVIA PROTOCOLO OPERATORIO A HLS PARA COMIENZO DE TTO DE QMT </t>
  </si>
  <si>
    <t>JOSE FIGUEROA CAAMAÑO</t>
  </si>
  <si>
    <t xml:space="preserve">SE INDICA CUIDADOS PALIATIVOS POR RECHAZO DE CIRUGIA </t>
  </si>
  <si>
    <t xml:space="preserve">SE INDICA CUIDADOS PALIATIVOS Y ALIVIO DE DOLOR POR RECHAZO DE PACIENTE A CIRUGIA EN HLS </t>
  </si>
  <si>
    <t xml:space="preserve">AMADIEL PIÑONES PIÑONES </t>
  </si>
  <si>
    <t xml:space="preserve">SE PRESENTARA A COMITÉ ONCOLOGICO/ ACTUALMENTE HOSPITALIZADO </t>
  </si>
  <si>
    <t>NAIDA CORTES CORTES</t>
  </si>
  <si>
    <t>TUMOR HEPATICO</t>
  </si>
  <si>
    <t>18-12 DR AZUA SOLICITA EXAMENES DE LAB Y TAC TAP</t>
  </si>
  <si>
    <t>HERMAN DEL ROSARIO BUGUEÑO RIVERA</t>
  </si>
  <si>
    <t xml:space="preserve">CORRESPONDE CUIDADOS PALIATIVOS EXCLUSIVOS POR ECOG </t>
  </si>
  <si>
    <t xml:space="preserve">EN CUIDADOS PALIATIVOS EXCLUSIVOS </t>
  </si>
  <si>
    <t>ITALO PIZARRO CARVAJAL</t>
  </si>
  <si>
    <t>SEGUIMIENTO POR CIRUGIA DIGESTIVA</t>
  </si>
  <si>
    <t>SE CAMBIO DE DOMICILIO A HSP</t>
  </si>
  <si>
    <t>USUARIO EN CONTROLES POR HOSPITAL DE COQUIMBO</t>
  </si>
  <si>
    <t>4 MESES</t>
  </si>
  <si>
    <t>JUAN ARAYA GALLARDO</t>
  </si>
  <si>
    <t>SE DECIDE DERIVACIÓN A ONCOLOGIA HLS PARA QMT</t>
  </si>
  <si>
    <t xml:space="preserve">USUARIO SE DERIVA A HLS PARA CONTROL POR ONCOLOGIA MEDICA, SE ENVIAN ANTECEDENTES </t>
  </si>
  <si>
    <t>MERCEDES RAMIREZ MUÑOZ</t>
  </si>
  <si>
    <t>CITADA AL POLI EL 12-11-2024</t>
  </si>
  <si>
    <t>MIRNA RAMOS SANTANDER</t>
  </si>
  <si>
    <t>SEGUMIENTO</t>
  </si>
  <si>
    <t>CORRESPONDE CUDIADOS PALIATIVOS EXCLUSIVOS</t>
  </si>
  <si>
    <t>ADRIANA AVALOS GONZALEZ</t>
  </si>
  <si>
    <t xml:space="preserve">11-2023 PACIENTE RECHAZA TODO TIPO DE EXAMENES Y NO SE PRESENTA A CITACION DE TAC </t>
  </si>
  <si>
    <t xml:space="preserve">TERESA ROJAS MARIN </t>
  </si>
  <si>
    <t>PACIENTE RECHAZA TRATAMIENTO QX, CUIDADOS PALIATIVOS EXCLUSIVOS</t>
  </si>
  <si>
    <t>LUIS ARAYA TAPIA</t>
  </si>
  <si>
    <t xml:space="preserve">SEGUIMIENTO Y CUIDADOS PALIATIVOS EXCLUSIVOS </t>
  </si>
  <si>
    <t>USUARIO PRESENTADO EN COMITÉ POR HLS, SE DECIDE SEGUIMIENTO Y CUIDADOS PALIATIVOS EXCLUSIVOS</t>
  </si>
  <si>
    <t>MARINA LUNA DIAZ</t>
  </si>
  <si>
    <t xml:space="preserve">USUARIA EN ATENCIONES POR OTRO CENTRO RECHAZA ATENCIONES EN HOV/ SE DEJA ESCRITO EN FICHA </t>
  </si>
  <si>
    <t xml:space="preserve">ENFEMERA </t>
  </si>
  <si>
    <t>MARIO CRUZ COX</t>
  </si>
  <si>
    <t>ECOG 2 Y EVALUACION POR SALUD MENTAL</t>
  </si>
  <si>
    <t xml:space="preserve">USUARIO SE TRASLADO A HOSPITAL DE ANTOFAGASTA </t>
  </si>
  <si>
    <t>OLGA CASTILLO ZAPATA</t>
  </si>
  <si>
    <t xml:space="preserve">SE SOLICITA ENDOSONORGRAFIA Y LUEGO DERIVAR A QMT </t>
  </si>
  <si>
    <t xml:space="preserve">PENDIENTE ESTUDIO DE ENDOSONAGRAFIA </t>
  </si>
  <si>
    <t>LUIS PEREZ CANIBILO</t>
  </si>
  <si>
    <t>CITOADENOMA BILIAR</t>
  </si>
  <si>
    <t xml:space="preserve">INTERVENCIÓN QUIRURGICA EN HOSPITAL DE LA SERENA </t>
  </si>
  <si>
    <t xml:space="preserve">USUARIO SE DERIVA A HLS PARA CONTROL POR CIRUGIA DIGESTIVA ALTO </t>
  </si>
  <si>
    <t>LUIS PIZARRO BARRAZA</t>
  </si>
  <si>
    <t>SE DERIVA A HLS PARA TTO DE QMT PALIATIVA</t>
  </si>
  <si>
    <t>USUARIO EN CONTROLES DE QUIMIOTERAPIA EN HLS</t>
  </si>
  <si>
    <t>ROSA INELIA ACUÑA</t>
  </si>
  <si>
    <t xml:space="preserve">CUIDADOS PALIATVOS EXCLUSIVOS Y SEGUIMIENTO EN HOSPITAL DE OVALLE </t>
  </si>
  <si>
    <t xml:space="preserve">USUARIA EN CUIDADOS PALIATIVOS EXCLUSIVOS Y SEGUIMIENTO EN HOV </t>
  </si>
  <si>
    <t>ELIANA ARAYA CARMONA</t>
  </si>
  <si>
    <t>DERIVAR A CIRUGIA DE LA SERENA PARA EVENTUAL CIRUGIA</t>
  </si>
  <si>
    <t xml:space="preserve">USUARIA INTERVENIDA QUIRURGICAMENTE EN HLS CON RESULTADO DE BP, PENDIENTE PRESENTACION A COMITÉ POR HLS </t>
  </si>
  <si>
    <t>CARLOS JIMENEZ GONZALEZ</t>
  </si>
  <si>
    <t xml:space="preserve">PENDIENTE BIOPSIA POST OPERATORIO </t>
  </si>
  <si>
    <t>DR RODRIGUEZ</t>
  </si>
  <si>
    <t>OLIVIA VARGAS GONZÁLEZ</t>
  </si>
  <si>
    <t xml:space="preserve">SEGUIMIENTO  </t>
  </si>
  <si>
    <t>ALTA POR CIRUGIA ONCO</t>
  </si>
  <si>
    <t xml:space="preserve">02-2024 SIN SIGNOS DE RECIDIVA // CONTROLES ANUALES </t>
  </si>
  <si>
    <t>ANUAL</t>
  </si>
  <si>
    <t xml:space="preserve">SEGUNDO LEON GUTIERREZ </t>
  </si>
  <si>
    <t>USUARIO RECHAZA INTERVENCIÓN QUIRURGICA/ EN CUIDADOS PALIATIVOS EXCLUSIVOS/ ULTIMA ATENCION EN NOV 2024</t>
  </si>
  <si>
    <t>ROSA MALUENDA ADONES</t>
  </si>
  <si>
    <t>EN CUIDADOS PALIATIVOS EXCLUSIVOS</t>
  </si>
  <si>
    <t>15-04-2025</t>
  </si>
  <si>
    <t>16-07-2025</t>
  </si>
  <si>
    <t>PEDRO ANDRADES ANDRADES</t>
  </si>
  <si>
    <t>TRATAMIENTO DE QMT EN HLS</t>
  </si>
  <si>
    <t xml:space="preserve">USUARIO EN ATENCIONES POR ONCOLOGIA MEDICA Y EN TRATAMIENTO DE QMT </t>
  </si>
  <si>
    <t>ZUNILDA GARCÍA MUÑOZ</t>
  </si>
  <si>
    <t>QMT ADYUDANTE</t>
  </si>
  <si>
    <t xml:space="preserve">SE REALIZA TAC TAP Y EXAMENES DE LABORATORIO, COLONOSCOPIA </t>
  </si>
  <si>
    <t xml:space="preserve">PENDIENTE CITAR A POLICLINICO </t>
  </si>
  <si>
    <t>MARTA LAGUNAS MARTINEZ</t>
  </si>
  <si>
    <t>TUMOR NEUROENDOCRINO INTESTINAL</t>
  </si>
  <si>
    <t xml:space="preserve">MARIA GODOY VELASQUEZ </t>
  </si>
  <si>
    <t xml:space="preserve">SE DECIDE CUIDADOS PALIATIVOS EXCLUSIVOS </t>
  </si>
  <si>
    <t>MARCIA PONCE ARAYA</t>
  </si>
  <si>
    <t>TRATAMIEMTO</t>
  </si>
  <si>
    <t xml:space="preserve">CORRESPONDE TRATAMIENTO DE QMT PALIATIVO </t>
  </si>
  <si>
    <t xml:space="preserve">USUARIA EN TRATAMIENTO DE QUIMIOTERAPIA EN HOSPITAL DE LA SERENA </t>
  </si>
  <si>
    <t>ANGÉLICA  CAIMANQUE CASTILLO</t>
  </si>
  <si>
    <t xml:space="preserve">25-01 SE SOLICITA ESTUDIOS DE SEGUIMIENTO EN ABRIL SE GESTIONARA YA QUE SE ENCUENTRA EN IQUIQUE </t>
  </si>
  <si>
    <t>JUAN AGUIRRE ARREDONDO</t>
  </si>
  <si>
    <t>10-2023 PCTE EN ATENCIONES POR HLS</t>
  </si>
  <si>
    <t>JOSE BARRAZA HONORES</t>
  </si>
  <si>
    <t xml:space="preserve">SE INDICA CUIDADOS PALIATIVOS EXCLUSIVOS Y CONTROL EN 1 MES </t>
  </si>
  <si>
    <t xml:space="preserve">SE GESTIONARA CONTROL MEDICO </t>
  </si>
  <si>
    <t>PILAR BUGUEÑO ALUCEMA</t>
  </si>
  <si>
    <t xml:space="preserve">RADIOTERAPIA PALIATIVA Y QMT Y EVALUACION POR UROLOGIA </t>
  </si>
  <si>
    <t>FALLECIDA</t>
  </si>
  <si>
    <t xml:space="preserve">SE REPRESENTARA EN COMITÉ DE RADIOTERAPIA CON NUEVOS ANTECEDENTES. </t>
  </si>
  <si>
    <t>SERGIO DEL ROSARIO CARVAJAL</t>
  </si>
  <si>
    <t xml:space="preserve">CONFIRMACICÓN </t>
  </si>
  <si>
    <t xml:space="preserve">PENDIENTE AGENDAR POR UNIDAD GES </t>
  </si>
  <si>
    <t>GLADYS VEGA BARRAZA</t>
  </si>
  <si>
    <t>MONTE PATRIA</t>
  </si>
  <si>
    <t xml:space="preserve">PRESENTAR EN COMITÉ DE RADIOTERAPIA </t>
  </si>
  <si>
    <t xml:space="preserve">SE PRESENTARA A COMITÉ DE RADIOTERAPIA </t>
  </si>
  <si>
    <t>DR MIRANDA</t>
  </si>
  <si>
    <t>MANUELA VARGAS VEGA</t>
  </si>
  <si>
    <t xml:space="preserve">SIN BIOPSIA </t>
  </si>
  <si>
    <t>CORRESPONDE CUIDADOS PALIATIVOZ EXCLUSIVOS</t>
  </si>
  <si>
    <t xml:space="preserve">09-07 CORRESPONDE CUIDADOS PALIATIVOS EXCLUSIVOS </t>
  </si>
  <si>
    <t xml:space="preserve">RAIMUNDO CASANGA ZAMBRA </t>
  </si>
  <si>
    <t>TRATAMIENTO DE QMT</t>
  </si>
  <si>
    <t>PENDIENTE COLONO</t>
  </si>
  <si>
    <t>08-08-2024 MEDICO SOLICITA COLONOSCOPIA Y CEA DE CONTROL</t>
  </si>
  <si>
    <t xml:space="preserve">DR. MIRANDA </t>
  </si>
  <si>
    <t xml:space="preserve">PENDIENTE COLONOSCOPIA </t>
  </si>
  <si>
    <t>HECTOR ULISES ALFARO</t>
  </si>
  <si>
    <t>OBS CANCER DE COLON</t>
  </si>
  <si>
    <t>ACUDE EL DIA DE HOY JAZMINE AGUILERA: NIETA, QUIEN INDICA QUE TANTO PACIENTE OMO FAMILIARES DECIDIERON NO CONTINUAR CON ESTUDIOS DE LA LESION POR EDO. GENERAL DEL PACIENTE Y DE SALUD.</t>
  </si>
  <si>
    <t xml:space="preserve">HECTOR DIAZ DIAZ </t>
  </si>
  <si>
    <t>SE DECIDE COLOSTOMIA EN ASA , CUIDADOS PALIATIVOS EXCLUSIVOS Y CUIDADOS PALIATIVOS</t>
  </si>
  <si>
    <t xml:space="preserve">CONTINUAR EN CUIDADOS PALIATIVOS EXLCUSIVOS </t>
  </si>
  <si>
    <t>15-07-2025</t>
  </si>
  <si>
    <t xml:space="preserve">GEORGINA DIAZ </t>
  </si>
  <si>
    <t xml:space="preserve">FELIX SANTANDER VILLALOBOS </t>
  </si>
  <si>
    <t>14-01-2025: DR RODRIGUEZ INDICA EXAMENES DE LAB</t>
  </si>
  <si>
    <t>DARIO GONZALEZ YAÑEZ</t>
  </si>
  <si>
    <t xml:space="preserve">CORRESPONDE 2LINEA DE TRATAMIENTO </t>
  </si>
  <si>
    <t xml:space="preserve">USUARIO EN ATENCIONES POR HLS, SE ENCUENTRA LAS QMT EN PAUSA, POR TOMA DE BP DE MEDULA OSEA </t>
  </si>
  <si>
    <t xml:space="preserve">ANDREA VERGARA </t>
  </si>
  <si>
    <t xml:space="preserve">SE TRASLADA A OTRA CIUDAD </t>
  </si>
  <si>
    <t>07-2023 SE SOLICITA COLONOSCOPIA + TAC TAP + LAB (PEND) //no ha venido a tomarse examenes, inubicable</t>
  </si>
  <si>
    <t xml:space="preserve">INUBICABLE SEGÚN FICHA SE TRASLADO A COPIAPO </t>
  </si>
  <si>
    <t>CARLOS BORROMEO VELASQUEZ</t>
  </si>
  <si>
    <t xml:space="preserve">CANCER DE RECTO </t>
  </si>
  <si>
    <t>19-05-2025</t>
  </si>
  <si>
    <t xml:space="preserve">PRO ECOG 2 CORRESPONDE CUIDADOS PALIATIVOS EXCLUSIVOS </t>
  </si>
  <si>
    <t xml:space="preserve">ERNESTINA ROJAS CARVAJAL </t>
  </si>
  <si>
    <t>TU INTESTINO DELGADO</t>
  </si>
  <si>
    <t xml:space="preserve">CONFIRMACION </t>
  </si>
  <si>
    <t xml:space="preserve">RESECCION ONCOLOGICA </t>
  </si>
  <si>
    <t>DERIVADO A HEMATOLOGIA</t>
  </si>
  <si>
    <t>SE ENTREGA SET QUIRURGICO A PREQUIRUGICA PARA PREPARACION</t>
  </si>
  <si>
    <t xml:space="preserve">DR MIRANDA </t>
  </si>
  <si>
    <t>LUIS BARRAZA PIZARRO</t>
  </si>
  <si>
    <t>SE INDICA INSTALACIÓN DE CATETER Y DERIVACIÓN A ONCOLOGIA A QMT PALIATIVA</t>
  </si>
  <si>
    <t>USUARIO EN TRATAMIEMTO DE QUIMIOTERAPIA PALIATIVA EN HLS</t>
  </si>
  <si>
    <t>ANDRES BRANTE MUÑOZ</t>
  </si>
  <si>
    <t>CARCINOMA PERITONEO</t>
  </si>
  <si>
    <t xml:space="preserve">4/06 DR CALDERA INDICA CONTROL CON PET-CT </t>
  </si>
  <si>
    <t>IRENE  MAYA NÚÑEZ</t>
  </si>
  <si>
    <t>SE SOLICITA ESTUDIOS DE SEGUIMIENTOS 25-03-2025</t>
  </si>
  <si>
    <t xml:space="preserve">6 MESES </t>
  </si>
  <si>
    <t xml:space="preserve">AGENDAR A CONTROL </t>
  </si>
  <si>
    <t>MARIA HENRIQUEZ CASANOVA</t>
  </si>
  <si>
    <t xml:space="preserve">CORRESPONDE PRESENTAR EN COMITÉ DE TELEMEDICINA </t>
  </si>
  <si>
    <t xml:space="preserve">PENDIENTE PRESENTAR EN COMITÉ DE TELEMEDICINA </t>
  </si>
  <si>
    <t>ROSA ZEPEDA CARREÑO</t>
  </si>
  <si>
    <t xml:space="preserve">CORRESPONDE TTO DE QMT 2DO LINEA FOLFIRI </t>
  </si>
  <si>
    <t xml:space="preserve">USUARIA EN TRATAMIENTO DE QMT EN HOSPITAL DE LA SERENA </t>
  </si>
  <si>
    <t xml:space="preserve">2 MESES </t>
  </si>
  <si>
    <t>MARÍA SALAZAR ROJAS</t>
  </si>
  <si>
    <t xml:space="preserve">EVALUACION POR CX </t>
  </si>
  <si>
    <t>CONTROL EN 1 AÑO CON EXAMENES, COLONOSCOPIA, EX DE LABORATORIO, TAC AP</t>
  </si>
  <si>
    <t>1 AÑO</t>
  </si>
  <si>
    <t xml:space="preserve">PAULINA ROJAS ROJAS </t>
  </si>
  <si>
    <t xml:space="preserve">EVALUAR FOLFOX A TITULO PALIATIVO EN HOSPITAL DE LA SERENA </t>
  </si>
  <si>
    <t>USUARIA EN ATENCIONES POR ONCOLOGIA MEDICA EN HLS</t>
  </si>
  <si>
    <t>TERESA AEULT CAMPUSANO</t>
  </si>
  <si>
    <t>ANDACOLLO</t>
  </si>
  <si>
    <t xml:space="preserve">CORRESPONDE  CUIDADOS PALIATIVOS EXCLUSIVOS </t>
  </si>
  <si>
    <t>SANDRO ARAYA ARAYA</t>
  </si>
  <si>
    <t xml:space="preserve">USUARIO EN CUIDADOS PALIATIVOSS EXCLUSIVOS </t>
  </si>
  <si>
    <t xml:space="preserve">MERCEDES ARAYA ARAYA </t>
  </si>
  <si>
    <t>USUARIA PRESENTADA EN COMITÉ SE DECIDE CUIDADOS PALIATIVOS EXCLUSIVOS</t>
  </si>
  <si>
    <t>MARIA MUÑOZ SALINAS</t>
  </si>
  <si>
    <t xml:space="preserve">POR DETERIORO DE ECOG, CORRESPONDE CUIDADOS PALIATIVOS EXCLUSIVOS </t>
  </si>
  <si>
    <t xml:space="preserve">EN CUIDADOS PALIATIVOS EXLCUSIVOS </t>
  </si>
  <si>
    <t xml:space="preserve">KARINA  MONTENEGRO FLORES </t>
  </si>
  <si>
    <t>JUAN OLIVARES SILVA</t>
  </si>
  <si>
    <t xml:space="preserve">USUARIO RECHAZA TODO TIPO DE ATENCION POR EL HOSPITAL DE OVALLE, SE INGRESA A CUIDADOS PALIATIVOS Y ALIVIO DEL DOLOR. </t>
  </si>
  <si>
    <t>JOSE PASTEN TORREJON</t>
  </si>
  <si>
    <t>ELSA GOMEZ CASTILLO</t>
  </si>
  <si>
    <t xml:space="preserve">CORRESPONDE DERIVAR A HOSPITAL DE LA SERENA PARA CIRUGIA </t>
  </si>
  <si>
    <t xml:space="preserve">29-01 SE DERIVA A HOSPITAL DE LA SERENA PARA EVALUACIÓN POR CIRUGIA </t>
  </si>
  <si>
    <t>DIGNA PIZARRO EGAÑA</t>
  </si>
  <si>
    <t>PUNITAQUI</t>
  </si>
  <si>
    <t xml:space="preserve">SE SOLICITA INSTALACIÓN DE PROTESIS AUTOEXPANSIBLE DE COLON </t>
  </si>
  <si>
    <t xml:space="preserve">DR MIRANDA INDICA CONTROL EN 6 MESES EN POLICLINICO </t>
  </si>
  <si>
    <t>6 MESES</t>
  </si>
  <si>
    <t>DIAGNOSTICO</t>
  </si>
  <si>
    <t>ESPECIALIDAD</t>
  </si>
  <si>
    <t xml:space="preserve">SEGUIMIENTO ENFERMERIA </t>
  </si>
  <si>
    <t xml:space="preserve">PERIODICIDAD DE SEGUIMIENTO </t>
  </si>
  <si>
    <t xml:space="preserve">PROFESIONAL </t>
  </si>
  <si>
    <t>Fecha ultimo Control</t>
  </si>
  <si>
    <t xml:space="preserve">Fecha proximo Control </t>
  </si>
  <si>
    <t>Dias Disponibles</t>
  </si>
  <si>
    <t>Estado</t>
  </si>
  <si>
    <t>IMPORTANTE</t>
  </si>
  <si>
    <t>ZOE ROJAS ARAYA</t>
  </si>
  <si>
    <t xml:space="preserve">CUIDADOS PALIATIVOS EXCLUSIVO  Y SEGUIMIENTO EN HOSPITAL DE OVALLE </t>
  </si>
  <si>
    <t>AGENDADO A COLONO EL 23-01</t>
  </si>
  <si>
    <t xml:space="preserve">22-09 CONTROL CON RESULTADO DE COLONO </t>
  </si>
  <si>
    <t>YURY CONTRERAS FLORES</t>
  </si>
  <si>
    <t xml:space="preserve">17-06 DR MIRANDA INDICA CONTROL EN ABRIL 2026 CON TAC TAP, COLONO Y EXAMENES </t>
  </si>
  <si>
    <t>10 MESES</t>
  </si>
  <si>
    <t xml:space="preserve">YURIANY MILENA ARIZA TAPASCO </t>
  </si>
  <si>
    <t>CA APENDICULAR</t>
  </si>
  <si>
    <t>DERIVAR A HLS PARA EVALUACION</t>
  </si>
  <si>
    <t>PET CT REALIZADO EN JUNIO ,  COLONOSCOPIA OK</t>
  </si>
  <si>
    <t xml:space="preserve">YEAN KARIL CASTILLO RODRIGUEZ </t>
  </si>
  <si>
    <t xml:space="preserve">LESION CANAL ANAL </t>
  </si>
  <si>
    <t xml:space="preserve">DR MIRANDA INDICA CONTROL EN 1 AÑO CON COLONOSCOPIA </t>
  </si>
  <si>
    <t xml:space="preserve">YASMIN  CISTERNAS TAPIA </t>
  </si>
  <si>
    <t>TUMOR DE APENDICE CECAL</t>
  </si>
  <si>
    <t>CORRESPONDE SEGUIMIENTO CON PET-CT</t>
  </si>
  <si>
    <t>02-05-2025: DR MANUEL INDICA CONTROL ANUAL CON PET CT EN ABRIL 2026</t>
  </si>
  <si>
    <t xml:space="preserve">XIMENA GONZALEZ CERDA </t>
  </si>
  <si>
    <t>CORRESPONDE QUIMIOTERAPIA PALIATIVA Y CUIDADOS PALIATIVOS</t>
  </si>
  <si>
    <t xml:space="preserve">XIMENA BUSTOS AGUILERA </t>
  </si>
  <si>
    <t>TRATAMIENTO DE QMT ADYUVANTE</t>
  </si>
  <si>
    <t xml:space="preserve">10-04 DR RODRIGUEZ INDICA CONTROL EN ENERO 2026 CON ESTUDIOS DE SEGUIMIENTO COLONO, TAC TAP Y CEA </t>
  </si>
  <si>
    <t>9 MESES</t>
  </si>
  <si>
    <t xml:space="preserve">VICTORIA TAPIA TAPIA </t>
  </si>
  <si>
    <t xml:space="preserve">CONTRAREFERIDO PARA SEGUIMIENTO POR CIRUGIA </t>
  </si>
  <si>
    <t xml:space="preserve">DR MIRANDA INDICA CONTROL CON TAC TAP Y EXAMENES EN DICIEMBRE </t>
  </si>
  <si>
    <t>5 MESES</t>
  </si>
  <si>
    <t xml:space="preserve">YANETT  CASTILLO REYES </t>
  </si>
  <si>
    <t xml:space="preserve">PENDIENTE COLONO </t>
  </si>
  <si>
    <t xml:space="preserve">PENDIENTE COLONOSCOPIA PARA CONTROL </t>
  </si>
  <si>
    <t xml:space="preserve">COLONOSCOPIA (PENDIENTE) </t>
  </si>
  <si>
    <t xml:space="preserve">VICTORIA MARIN BORQUEZ </t>
  </si>
  <si>
    <t xml:space="preserve">DETENIDO </t>
  </si>
  <si>
    <t>DR MIRANDA INDICA CONTROL CON ESTUDIOS EN NOVIEMBRE 2025</t>
  </si>
  <si>
    <t xml:space="preserve">10 MESES </t>
  </si>
  <si>
    <t xml:space="preserve">VICTORIA DELGADO DELGADO </t>
  </si>
  <si>
    <t>CIRUGIA EN HOSPITAL DE ORIGEN</t>
  </si>
  <si>
    <t xml:space="preserve">COLONO DEL 29-08  HORA CANCELADA, VOLVER A REAGENDAR </t>
  </si>
  <si>
    <t>17--07-2025</t>
  </si>
  <si>
    <t>VICTOR PEREIRA ARANEDA</t>
  </si>
  <si>
    <t xml:space="preserve">PENDIENTE COLONO AGENDADA EN ABRIL NO ATENDIDO  </t>
  </si>
  <si>
    <t xml:space="preserve">CONTROL CON POLI CX UNA VEZ SEA EVALUADO POR UROLOGIA PARA DEFINIR SI CORRESPONDE IQ  // CONTROL EN ABRIL 2025 CON EX LAB, PENDIENTE COLONOSCOPIA </t>
  </si>
  <si>
    <t>8 MESES</t>
  </si>
  <si>
    <t>VICTOR MEDINA BARRA</t>
  </si>
  <si>
    <t>03-11-2025 DR MANUEL INDICA CONTROL ANUAL CORRESPONDE TAC Y CEA EN AGOSTO 2026</t>
  </si>
  <si>
    <t>VICTOR GRANDON DIAZ</t>
  </si>
  <si>
    <t xml:space="preserve">ACTUALMENTE EN SEGUIMIENTO POR DR BARRA EN HSP CONTROL EN AGOSTO / SEPTIEMBRE CON ESTUDIO  DE COLONO , TAC TAP Y EXAMENES </t>
  </si>
  <si>
    <t>VESELKO CARIC LAMAS</t>
  </si>
  <si>
    <t>VERÓNICA RAMOS FARÍAS</t>
  </si>
  <si>
    <t>CORRESPONDE PRESENTAR EN COMITE DE TORAX, Y QMT  PALIATIVA</t>
  </si>
  <si>
    <t xml:space="preserve">PRESENTADA A COMITE POR CIRUGIA DIGESTIVO ALTO, CORRESPONDE QMT Y EVALUACIÓN POR TORAX. </t>
  </si>
  <si>
    <t>ULISES CASTILLO PIZARRO</t>
  </si>
  <si>
    <t xml:space="preserve">TRATAMIENTO DE QMT ADYUVANTE. PREVIA INSTALACIÓN DE CATETER </t>
  </si>
  <si>
    <t>PENDIENTE COLONOSCOPIA</t>
  </si>
  <si>
    <t xml:space="preserve">TERESA HIDALGO CASTILLO </t>
  </si>
  <si>
    <t xml:space="preserve">TRATAMIENTO DE QMT  CON ESQUEMA XELOX </t>
  </si>
  <si>
    <t xml:space="preserve">28-11 DR MANUEL INDICA COLONOSCOPIA, Y CEA, TAC TAP EN OCTUBRE DEL 2025 </t>
  </si>
  <si>
    <t>TERESA CORTES BRAVO</t>
  </si>
  <si>
    <t>NEOPLASIA DE APENDICE CECAL DE BAJO GRADO</t>
  </si>
  <si>
    <t>SEGUIMIENTO EN HOSPITAL DE OVALLE</t>
  </si>
  <si>
    <t xml:space="preserve">PENDIENTE COLONOSCOPIA, TAC TAP REALIZADO EN ABRIL </t>
  </si>
  <si>
    <t>SUSANA DEL CARMEN CORTÉS GARCÍA</t>
  </si>
  <si>
    <t>02-08 DR MIRANDA SOLICITA CONTROL EN 3 AÑOS CON COLONO</t>
  </si>
  <si>
    <t>3 AÑOS</t>
  </si>
  <si>
    <t>SULEY QUINTERO RIOS</t>
  </si>
  <si>
    <t>CANCER DE CIEGO</t>
  </si>
  <si>
    <t xml:space="preserve">SEGUIMIENTO Y CONSEJERIA GENETICA </t>
  </si>
  <si>
    <t xml:space="preserve">02-12 DR MIRANDA INDICA CONTROL EN FEBRERO CON EXAMENES Y TAC TAP </t>
  </si>
  <si>
    <t>SONIA CÓRDOVA HIDALGO</t>
  </si>
  <si>
    <t xml:space="preserve">12-03: DR MIRANDA INDICA CONTROL EN NOV 2025 CON ESTUDIOS DE SEGUIMIENTO COLONO, TAC TAP  Y EXAMENES </t>
  </si>
  <si>
    <t xml:space="preserve">SERGIO MIRANDA MIRANDA </t>
  </si>
  <si>
    <t xml:space="preserve">SE DECIDE RADIOTERAPIA Y QUIMIOTERAPIA , POSTERIOR CIRUGIA </t>
  </si>
  <si>
    <t xml:space="preserve">USUARIO EN ESPERA DE INTERVENCION QUIRURGICA EN HOSPITAL DE LA SERENA. PENDIENTE PASE DE ANESTESIA </t>
  </si>
  <si>
    <t>SERGIA LOPEZ VIELMA</t>
  </si>
  <si>
    <t xml:space="preserve">SEGUIMIENTO EN HOV </t>
  </si>
  <si>
    <t>CORRESPONDE ESTUDIO DE COLONOSCOPIA JULIO 2026, Y CEA Y TAC TAP EN DICIEMBRE 2025</t>
  </si>
  <si>
    <t>SEGUNDO BÓRQUEZ VERGARA</t>
  </si>
  <si>
    <t xml:space="preserve">26-01 DR RODRIGUEZ SOLICITA ESTUDIOS DE SEGUIMIENTO TAC TAP. COLONO  Y EXAMENES </t>
  </si>
  <si>
    <t>7 MESES</t>
  </si>
  <si>
    <t xml:space="preserve">SANTOS GÓMEZ CASTILLO	</t>
  </si>
  <si>
    <t xml:space="preserve">RT + QMT ADYUDANTE </t>
  </si>
  <si>
    <t xml:space="preserve">USUARIO EN ATENCIONES POR HLS, EN ESPERA DE CIRUGIA PARA RECONSTITUCION DE TRANSITO, EN EVALUACIÓN POR CARDIOLOGIA </t>
  </si>
  <si>
    <t>SAMUEL URQUETA CASTILLO</t>
  </si>
  <si>
    <t xml:space="preserve">DR RODRIGUEZ INDICA COLONO + TAC TAP + EXAMENES DE LAB </t>
  </si>
  <si>
    <t>SAMUEL CASTILLO CASTILLO</t>
  </si>
  <si>
    <t xml:space="preserve">LLAMAR </t>
  </si>
  <si>
    <t xml:space="preserve">SABINO ZEPEDA ARAYA </t>
  </si>
  <si>
    <t>CORRESPONDE SEGUIMIENTO EN HOSPITAL DE BASE</t>
  </si>
  <si>
    <t>08-05 DR MIRANDA INDICA CONTROL CON TAC Y CEA EN OCTUBRE 2025</t>
  </si>
  <si>
    <t>RUDECINDO GALLARDO LAZO</t>
  </si>
  <si>
    <t xml:space="preserve">CORRESPONDE CIRUGIA EN HSP </t>
  </si>
  <si>
    <t>CORRESPONDE CIRUGIA EN HOSPITAL SAN PABLO COQUIMBO</t>
  </si>
  <si>
    <t>RUBÉN  GAMBOA JOFRÉ</t>
  </si>
  <si>
    <t xml:space="preserve">05-02 DR MIRANDA DERIVA  A USUARIO A COLOPROCTOLOGIA DE HOSPITAL DE LA SERENA </t>
  </si>
  <si>
    <t>ROSSANA VEGA LAGUNAS</t>
  </si>
  <si>
    <t xml:space="preserve">CORRESPONDE CONTROL EN JULIO 2026 CON ESTUDIOS DE SEGUIMIENTO TAC TAP, LAB Y COLONOSCOPIA </t>
  </si>
  <si>
    <t xml:space="preserve">ROSENDA VALENZUELA INOSTROZA </t>
  </si>
  <si>
    <t>ROSALÍA LOZANO CHOLELE</t>
  </si>
  <si>
    <t xml:space="preserve">02-06 DR MANUEL INDICA CONTROL EN MARZO 2026 CON ESTUDIOS DE SEGUIMIENTO </t>
  </si>
  <si>
    <t>ROSA RIVERA PASTEN</t>
  </si>
  <si>
    <t xml:space="preserve"> CONTROL ANUAL CON ESTUDIOS DE SEGUIMIENTOS </t>
  </si>
  <si>
    <t xml:space="preserve">ANUAL </t>
  </si>
  <si>
    <t xml:space="preserve">ROSA TIRADO ALBÁNEZ	</t>
  </si>
  <si>
    <t xml:space="preserve">CANCER DE APENDICE CECAL </t>
  </si>
  <si>
    <t xml:space="preserve">CONTACTAR A USUARIA </t>
  </si>
  <si>
    <t xml:space="preserve">01-2024 PCTE CON EX DE SEPTIEMBRE // SIN  COMUNICACIÓN </t>
  </si>
  <si>
    <t>RODOMIRO  RAMOS CORTES</t>
  </si>
  <si>
    <t xml:space="preserve">CORRESPONDE CONTROL EN SEPTIEMBRE CON CEA Y TAC TAP Y ENERO 2027 CON COLONOSCOPIA </t>
  </si>
  <si>
    <t>RICARDO OCARANZA ROBLES</t>
  </si>
  <si>
    <t>CIRUGIA EN LA FALP</t>
  </si>
  <si>
    <t xml:space="preserve">USUARIO EN ATENCIONES POR LA FALP. CONTINUO TRATAMIENTO COMPLETO POR DICHO CENTRO. </t>
  </si>
  <si>
    <t xml:space="preserve">RICARDO CONTRERAS ROBLES </t>
  </si>
  <si>
    <t>06-02: DR RODRIGUEZ INDICA CONTROL ANUAL CON ESTUDIOS DE SEGUIMIENTO EN DICIEMBRE 2025</t>
  </si>
  <si>
    <t xml:space="preserve">RAUL CARVAJAL CARVAJAL </t>
  </si>
  <si>
    <t>CORRESPONDE SEGUIMIENTO EN HOSPITAL DE ORIGEN</t>
  </si>
  <si>
    <t xml:space="preserve">01-12-2025  CORRESPONDE CONTROL EN SEPTIEMBRE 2026 CON EXAMENES, COLONO Y TAC TAP </t>
  </si>
  <si>
    <t xml:space="preserve">RAUL  SCHIESSLER ROJAS </t>
  </si>
  <si>
    <t xml:space="preserve">CORRESPONDE CUIDADOS PALIATIVOS EXCLUSIVOS POR ECOG 2 </t>
  </si>
  <si>
    <t>RAUL  CISTERNAS ROJAS</t>
  </si>
  <si>
    <t xml:space="preserve">CORRESPONDE PET-CT Y DERIVACIPON A HOSPITAL DE LA SERENA </t>
  </si>
  <si>
    <t>USUARIO EN ATENCIONES POR CIRUGIA DIGESTIVA EN HLS</t>
  </si>
  <si>
    <t xml:space="preserve">RAMON CASTILLO OLIVARES </t>
  </si>
  <si>
    <t xml:space="preserve">DERIVAR A HLS PARA CIRUGIA JUNTO CON EL EQUIPO DE UROLOGIA </t>
  </si>
  <si>
    <t xml:space="preserve">SE DERIVA A HLS PARA EVALUACION POR CIRUGIA DIGESTIVA PARA INTERVENCIÓN QUIRURGICA JUNTO CON EL EQUIPO DE UROLOGIA, PENDIENTE INTERVENCIÓN QUIRURGICA EN HLS.. SE VUELVE MANDAR CORREO </t>
  </si>
  <si>
    <t xml:space="preserve">RAMIRO TRIGO GONZALEZ </t>
  </si>
  <si>
    <t>SI EN LOS VILOS</t>
  </si>
  <si>
    <t>POR ECOG Y ANTECEDENTES DEL PACIENTE, SE DEFINE SEGUIMIENTO Y CUIDADOS PALIATIVOS.</t>
  </si>
  <si>
    <t xml:space="preserve">10-4 DR RODRIGUEZ INDICA CONTROL DE SEGUIMIENTO EN FEBRERO 2026 CON ESTUDIOS DE SEGUIMIENTO </t>
  </si>
  <si>
    <t xml:space="preserve">RAFAEL MUÑOZ VELÁSQUEZ </t>
  </si>
  <si>
    <t>15-05 DR MANUEL INDICA CONTROL CON ESTUDIOS DE SEGUIMIENTO,</t>
  </si>
  <si>
    <t>PEDRO VELASQUEZ ROJAS</t>
  </si>
  <si>
    <t>TRATAMIENTO DE QUIMIOTERAPIA EN HLS</t>
  </si>
  <si>
    <t>22-12 DR RODRIGUEZ INDICA CONTROL CON COLONO EL JUNIO 2026 Y TAC TAP EN OCTUBRE 2026</t>
  </si>
  <si>
    <t>PEDRO ENRIQUE VALDIVIA MOROSO</t>
  </si>
  <si>
    <t>06-11-2025 DR MANUEL INDICA CONTROL CON ESTUDIOS DE SEGUIMIENTO EN SEPTIEMBRE 2026</t>
  </si>
  <si>
    <t xml:space="preserve">PATRICIA DEL CARMEN HERNANDEZ JARA </t>
  </si>
  <si>
    <t>DR MIRANDA INDICA CONTROL CON EXAMENES DE SEGUIMIENTO PARA JULIO 2026</t>
  </si>
  <si>
    <t>PABLA  HALLES ARACENA</t>
  </si>
  <si>
    <t>CONTROL CON ESTUDIO DE SEGUIMIENTO EN ENERO 2026</t>
  </si>
  <si>
    <t xml:space="preserve">OSMEY DONOSO VELIZ </t>
  </si>
  <si>
    <t>28-04-2025</t>
  </si>
  <si>
    <t xml:space="preserve">SE DECIDE SEGUIMIENTO EN HOV </t>
  </si>
  <si>
    <t>DR RODRIGUEZ INDICA EXAMENES Y COLONO EN JULIO 2026. TAC TAP CON PRIORIDAD</t>
  </si>
  <si>
    <t>OSCAR HIDALGO TABILO</t>
  </si>
  <si>
    <t xml:space="preserve">QMT </t>
  </si>
  <si>
    <t>08-09 DR RODRIGUEZ INDICA CONTROL EN ABRIL 2026 CON ESTUDIOS DE SEGUIMIENTO CEA Y TAC TAP</t>
  </si>
  <si>
    <t xml:space="preserve">ORLANDO PALACIOS MICHEA </t>
  </si>
  <si>
    <t>TUMOR NEUROENDOCRINO DEL INTESTINO GRUESO</t>
  </si>
  <si>
    <t>14-04-2025</t>
  </si>
  <si>
    <t xml:space="preserve">REPRESENAR CON PET-CT Y EVA POR CARDIOCIRUGIA </t>
  </si>
  <si>
    <t>HORA CON CARDIO EL 30-01</t>
  </si>
  <si>
    <t xml:space="preserve">PENDIENTE RELALIZAR RESEONANCIA MAGENTICA Y REPRESENTAR A COMITÉ ONCOLOGICO,SE ENVIA CORREO NUEVAMENTE </t>
  </si>
  <si>
    <t>17-05-2025</t>
  </si>
  <si>
    <t>PENDIENTE PRESENTAR CON EVALUACIÓN</t>
  </si>
  <si>
    <t xml:space="preserve">ORIETA FIGUEROA GONZALEZ </t>
  </si>
  <si>
    <t xml:space="preserve">PENDIENTE COLONO 27-09 NO ATENDIDO </t>
  </si>
  <si>
    <t xml:space="preserve">CORRESPONDE CONTROL EN JULIO 2025 CON ESTUDIOS DE SEGUIMIENTO </t>
  </si>
  <si>
    <t xml:space="preserve">ORIEL NUÑEZ ARAYA </t>
  </si>
  <si>
    <t xml:space="preserve">CORRESPONDE SEGUIMIENTO POR RECHAZO DE CONTINUIDAD DE QMT </t>
  </si>
  <si>
    <t xml:space="preserve">CORRESPONDE CONTROL EN JULIO 2026 CON ESTUDIOS DE SEGUIMIENTO </t>
  </si>
  <si>
    <t>NURI PIZARRO CASTRO</t>
  </si>
  <si>
    <t xml:space="preserve">SEGUIMIENTO EN HOSPITAL DE OVALLE </t>
  </si>
  <si>
    <t xml:space="preserve">08-09 DR RODRIGUEZ INDICA CONTROL COLONOSCOPIA EN FEBRERO Y TAC TAP Y CEA EN AGOSTO 2026
</t>
  </si>
  <si>
    <t>NOLBERTO VILLALOBOS ARAYA</t>
  </si>
  <si>
    <t>CORRESPONDE SIGUIMIENTO CON PET-CT</t>
  </si>
  <si>
    <t>PENDIENTE PET-CT</t>
  </si>
  <si>
    <t>17-11 DR. MANUEL INDICA CONTROL EN 2 MESES EN POLI DIGESTIVO BAJO,  INDICA PET CT EN ENERO 2026</t>
  </si>
  <si>
    <t>PENDIENTE PET CT</t>
  </si>
  <si>
    <t>NOLBERTO NUÑEZ PIZARRO</t>
  </si>
  <si>
    <t>COMBARBALA</t>
  </si>
  <si>
    <t xml:space="preserve">CORRESPONDE CUIDADOS PALIATIVOS EXCLUSIVOS POR RECHAZO A CIRUGIA </t>
  </si>
  <si>
    <t xml:space="preserve">NELSON TORRES JERALDO </t>
  </si>
  <si>
    <t>TRATAMIENTO ESQUEMA RAPIDO</t>
  </si>
  <si>
    <t>USUARIO DERIVADO POR SEGUNDO PRESTADOR EN TRATAMIENTO EN SANTIAGO . SE ENCUENTRA EN SEGUIMIENTO, CORRESPONDE CONTROL ENERO 2026</t>
  </si>
  <si>
    <t>MÓNICA ROSARIO MARÍN BUGUEÑO</t>
  </si>
  <si>
    <t>TUMOR DE APENDICE</t>
  </si>
  <si>
    <t>04-11-25 DR MIRANDA CONTROL EN MAYO 2026 CON TAC TAP</t>
  </si>
  <si>
    <t>MONICA ROMERO CAMPUSANO</t>
  </si>
  <si>
    <t xml:space="preserve">23-02 DR RODRIGUEZ INDICA CONTROL CON COLONO + TAC TAP + EXAMENES </t>
  </si>
  <si>
    <t>MONICA GALLARDO GOMEZ</t>
  </si>
  <si>
    <t>OVALE</t>
  </si>
  <si>
    <t xml:space="preserve">CORRESPONDE CIRUGIA EN HOSPITAL SAN PABLO </t>
  </si>
  <si>
    <t xml:space="preserve">PRESENTADA EN COMITE DE DIGESTIVO DEL HSP PARA CIRUGIA </t>
  </si>
  <si>
    <t>MIRZA CORTES AGUILERA</t>
  </si>
  <si>
    <t>CANCER RECTO</t>
  </si>
  <si>
    <t xml:space="preserve">CORRESPONDE TRATAMIENTO DE FOLFIRI </t>
  </si>
  <si>
    <t xml:space="preserve">USUARIA EN TRATAMIENTO DE QMT EN HOSPITAL DE LA SERENA 
</t>
  </si>
  <si>
    <t>MIRNA BARAHONA JIMÉNEZ</t>
  </si>
  <si>
    <t>15-09 DR RODRIGUEZ SOLICITA ESTUDIOS DE SEGUIMIENTO TAC TAP. COLONO  Y EXAMENES EN OCTUBRE 2026</t>
  </si>
  <si>
    <t>MIRIAM CARVAJAL ARAYA</t>
  </si>
  <si>
    <t xml:space="preserve">PRESENTAR EN COMITÉ DE TORAX </t>
  </si>
  <si>
    <t xml:space="preserve">USUARIA EN TRATAMIENTO DE QUIMIOTERAPIA EN HOSPITAL DE LA SERENA Y EVALUACION POR CIRUGIA DE TORAX </t>
  </si>
  <si>
    <t>MIGUEL URRUTIA ACUÑA</t>
  </si>
  <si>
    <t xml:space="preserve">CORRESPONDE SEGUIMIENTO </t>
  </si>
  <si>
    <t xml:space="preserve">USUARIO EN SEGUIMIENTO POR EL HOSPITAL DE LA SERENA </t>
  </si>
  <si>
    <t xml:space="preserve">MAURICIO ROJAS FLORES </t>
  </si>
  <si>
    <t xml:space="preserve">CORRRESPONDE DERIVAR A CIRUGIA EN EL HOSPITAL DE LA SERENA </t>
  </si>
  <si>
    <t xml:space="preserve">USUARIO EN EVALUACIÓN POR CIRUGIA EN HLS PARA POSIBLE INTERVENCIÓN QUIRURGICA. </t>
  </si>
  <si>
    <t>MARTA  MALUENDA ARAYA</t>
  </si>
  <si>
    <t xml:space="preserve">PENDIENTE TAC TAP Y COLONO </t>
  </si>
  <si>
    <t xml:space="preserve">15-05 DR MANUEL INDICA CONTROL EN ENERO 2026 CON ESTUDIOS DE SEGUIMIENTO </t>
  </si>
  <si>
    <t>MARISOL CORTES OLIVARES</t>
  </si>
  <si>
    <t>15/05 DR MANUEL INDICA CONTROL CON TAC TAP EN MARZO 2026</t>
  </si>
  <si>
    <t>MARIO DEL ROSARIO SEGOVIA MUÑOZ</t>
  </si>
  <si>
    <t>USUARIO EVALUADO POR DR MIRANDA INDICA ESTUDIOS DE SEGUIMIENTO COLONO, TAC TAP Y EXAMENES OCTUBRE 2025</t>
  </si>
  <si>
    <t>MARINA SONIA PINTO RUBINA</t>
  </si>
  <si>
    <t xml:space="preserve">CORRESPONDE CONTROL EN AGOSTO DEL 2026 CON ESTUDIOS DE SEGUIMIENTO </t>
  </si>
  <si>
    <t>MARILU RIVERA SANTANDER</t>
  </si>
  <si>
    <t>DIGESTIVO  BAJO</t>
  </si>
  <si>
    <t xml:space="preserve">SE DECIDE SEGUIMIENTO </t>
  </si>
  <si>
    <t>CONTROL EN JUNIO 2026 CON TAC TAP Y EXAMENES DE LAB Y COLONO EN ENERO 2027</t>
  </si>
  <si>
    <t>MARIELA ARAYA ZEPEDA</t>
  </si>
  <si>
    <t xml:space="preserve">SE DERIVA A HLS PARA TTO DE QMT </t>
  </si>
  <si>
    <t xml:space="preserve">CONTROL CON EXAMENES Y COLONOSCOPIA </t>
  </si>
  <si>
    <t>MARIBEL GOMEZ GOMEZ</t>
  </si>
  <si>
    <t xml:space="preserve">TRATAMIENTO DE QMT ADYUVANTE </t>
  </si>
  <si>
    <t>01-12 CORRESPONDE CONTROL EN OCTUBRE 2026 CON ESTUDIOS DE SEGUIMIENTO COLONO + EXAMENES + TAC TAP</t>
  </si>
  <si>
    <t>MARÍA MORGADO CORTÉS</t>
  </si>
  <si>
    <t>16-10-2023</t>
  </si>
  <si>
    <t xml:space="preserve">SE DECIDE SEGUIMIENTO POR CIRUGIA EN  HOSPITAL DE LA SERENA </t>
  </si>
  <si>
    <t xml:space="preserve">10-04-2025 DR INDICA SEGUIMIENTO CON COLONO Y CEA </t>
  </si>
  <si>
    <t xml:space="preserve">MARIA GONZALEZ PAEZ </t>
  </si>
  <si>
    <t>NET ILEON DISTAL</t>
  </si>
  <si>
    <t xml:space="preserve">CORRESPONDE SEGUIMIENTO POR CIRUGIA EN EL HOSPITAL DE LA SERENA </t>
  </si>
  <si>
    <t>USUARIA CORRESPONDE SEGUIMIENTO EN HLS, PROXIMO CONTROL EL NOVIEMBRE 2025</t>
  </si>
  <si>
    <t>MARIA FARIAS PLAZA</t>
  </si>
  <si>
    <t xml:space="preserve">PENDIENTES ESTUDIOS </t>
  </si>
  <si>
    <t xml:space="preserve">08-01 DR RODRIGUEZ INDICO CONTROL CON ESTUDIOS DE SEGUIMIENTO </t>
  </si>
  <si>
    <t xml:space="preserve">1 MES </t>
  </si>
  <si>
    <t xml:space="preserve">MARIA CHACANA LOPEZ </t>
  </si>
  <si>
    <t xml:space="preserve">CORRESPONDE RESECCIÓN ONCOLGICA Y REPRESENTAR CON BIOPSIA </t>
  </si>
  <si>
    <t xml:space="preserve">USUARIA EVALUADA POR DR LIMA EL 15-09 PARA EVALUACIÓN Y EVENTUAL CIRUGIA. / PENDIENTE INTERVENCIÓN QUIRURGICA </t>
  </si>
  <si>
    <t xml:space="preserve">MARÍA ANGÉLICA CUELLAR ROJAS </t>
  </si>
  <si>
    <t xml:space="preserve">RADIOQUIMIOTERAPIA </t>
  </si>
  <si>
    <t xml:space="preserve">22-12-2025 DR MANUEL INDICA CONTROL EN ABRIL 2026 CON TAC TAP Y EXAMENES </t>
  </si>
  <si>
    <t>MARGARITA RIVERA DONOSO</t>
  </si>
  <si>
    <t>CORRESPONDE SEGUIMIENTO POR CIRUGIA DE HOSPITAL DE LA SERENA</t>
  </si>
  <si>
    <t xml:space="preserve">USUARIA EN SEGUIMIENTO POR CIRUGIA EN HOSPITAL DE LA SERENA 
</t>
  </si>
  <si>
    <t xml:space="preserve">MARCEL BOUSSELLET BOUSSELLET </t>
  </si>
  <si>
    <t>CORRESPONDE CIRUGIA Y REPRESENTAR POR BIOPSIA</t>
  </si>
  <si>
    <t>USUARIO QUIEN SE REALIZA INTERVENCIÓN QUIRURGICA EN LA FALP ENERO DEL 2025 DE FORMA PARTICULAR</t>
  </si>
  <si>
    <t>MANUELA CORTES GOMEZ</t>
  </si>
  <si>
    <t xml:space="preserve">CONTROL CON EDA </t>
  </si>
  <si>
    <t>AGENDAR A CONTROL</t>
  </si>
  <si>
    <t xml:space="preserve">MANUEL VARAS CISTERNAS </t>
  </si>
  <si>
    <t>26-09-22024</t>
  </si>
  <si>
    <t>SE INDICA EVALUACION EN POLI ONCOLOGIA EN HLS</t>
  </si>
  <si>
    <t xml:space="preserve">USUARIA NO CUMPLE POR PERFOMANCE STATUS PARA QUIMIOTERAPIA, EN SEGUIMIENTO </t>
  </si>
  <si>
    <t>LUPERFINA PINTO BRANTE</t>
  </si>
  <si>
    <t xml:space="preserve">CORRESPONDE DERIVAR A ONCOLOGIA MEDICA PARA TRATAMIENTO DE QMT PALIATIVA </t>
  </si>
  <si>
    <t xml:space="preserve">EN ESPERA DE INSTALACIÓN DE CATETER </t>
  </si>
  <si>
    <t>LUIS RODRIGUEZ CARVAJAL</t>
  </si>
  <si>
    <t xml:space="preserve">30-10 DR MIRANDA INDICA CONTROL EN ENERO 2026 CON TAC TAP Y EXAMENES </t>
  </si>
  <si>
    <t xml:space="preserve">LUIS RIVERA RIVERA </t>
  </si>
  <si>
    <t xml:space="preserve">LUIS MALDONADO FLORES </t>
  </si>
  <si>
    <t xml:space="preserve">QUIMIOTERAPIA ADYUVANTE </t>
  </si>
  <si>
    <t xml:space="preserve">04-11 DR MIRANDA INDICA CONTROL EN AGOSTO 2026 CON ESTUDIOS DE COLONO. EXAMENES Y TAC TAP </t>
  </si>
  <si>
    <t>LUIS GONZALEZ MORENO</t>
  </si>
  <si>
    <t xml:space="preserve">CORRESPONDE SEGUIMIENTO POR CIRUGIA HLS </t>
  </si>
  <si>
    <t>USUARIO EN CONTROLES POR CIRUGIA ADULTO POR HOSPITAL DE LA SERENA, CONTROL DE LOS 6 MESES HACE 2 SEMANAS</t>
  </si>
  <si>
    <t>LUIS LANAS HIDALGO</t>
  </si>
  <si>
    <t>CONTROL ANUAL CON ESTUDIOS DE SEGUIMIENTOS</t>
  </si>
  <si>
    <t xml:space="preserve">LUIS DIAZ PAREDES </t>
  </si>
  <si>
    <t xml:space="preserve">SE SOLICITA COLONO + REEVALUAR BIOPSIA </t>
  </si>
  <si>
    <t>DR MIRANDA INDICA CONTROL CON ESTUDIO DE COLONO + EXAMENES + TAC TAP PARA JULIO 2026 PARA RECONSTITUCION DE TRANSITO</t>
  </si>
  <si>
    <t>LUIS CONTRERAS AVENDAÑO</t>
  </si>
  <si>
    <t xml:space="preserve">DERIVAR A ONCOLOGIA MEDICA EN HLS </t>
  </si>
  <si>
    <t xml:space="preserve">DR RODRIGUEZ INDICA CONTROL CON EXAMENES Y TAC TAP </t>
  </si>
  <si>
    <t>LUIS CASTILLO CASTILLO</t>
  </si>
  <si>
    <t>SEGUIMIENTO POR CIRUGIA DIGESTIVA HOV</t>
  </si>
  <si>
    <t xml:space="preserve">04-11 DR MIRANDA INDICA CONTROL EN JUNIO 2026 CON TAC TAP, EXAMENES Y COLONO </t>
  </si>
  <si>
    <t>LUIS ARAYA TELLO</t>
  </si>
  <si>
    <t xml:space="preserve">LUIS FUENZALIDA PUIG-MIR </t>
  </si>
  <si>
    <t xml:space="preserve">CORRESPONDE TRATAMIENTO DE 1 LINEA PALIATIVA FOLFIRI. MANTENER CUIDADOS PALIATIVOS </t>
  </si>
  <si>
    <t xml:space="preserve">USUARIO EN ATENCIONES EN ONCOLOGIA EN HLS </t>
  </si>
  <si>
    <t xml:space="preserve">LUCIANO  LUNA OLIVA </t>
  </si>
  <si>
    <t xml:space="preserve">TUMOR NEUROENDOCRINO </t>
  </si>
  <si>
    <t xml:space="preserve">SOLICITO PET CT. CONTROL CON RESULTADO. SI NEGATIVO SEGUIMIENTO Y SINO REPRESENTAR </t>
  </si>
  <si>
    <t>09-04 DR MIRANDA INDICA SEGUIMIENTO EN HOV Y PET- CT EN FEBRERO 2026</t>
  </si>
  <si>
    <t>LORENA ZARATE CASTILLO</t>
  </si>
  <si>
    <t xml:space="preserve">TRATAMIENTO DE QMT </t>
  </si>
  <si>
    <t xml:space="preserve">CORRESPONDE CONTROL EN JUNIO 2026 CON ESTUDIOS DE SEGUIMIENTO </t>
  </si>
  <si>
    <t>LINO MALUENDA FLORES</t>
  </si>
  <si>
    <t xml:space="preserve">PENDIENTE TAC TAP, COLONO REALIZADO </t>
  </si>
  <si>
    <t xml:space="preserve">PENDIENTE TAC TAP </t>
  </si>
  <si>
    <t xml:space="preserve">LEYLA CORTES URQUETA </t>
  </si>
  <si>
    <t xml:space="preserve">INTERVENCIÓN QUIRURGICA </t>
  </si>
  <si>
    <t xml:space="preserve">DR MIRANDA INDICA CONTROL CON COLONOSCOPIA </t>
  </si>
  <si>
    <t xml:space="preserve">LEONEL ARAYA CASTRO </t>
  </si>
  <si>
    <t xml:space="preserve">EVALUAR QMT </t>
  </si>
  <si>
    <t xml:space="preserve">CONTROL EN MARZO 2026 CON ESTUDIOS DE SEGUIMIENTO </t>
  </si>
  <si>
    <t>JUVENAL ROJAS MALEBRÁN</t>
  </si>
  <si>
    <t>12-05 DR MANUEL INDICA CONTROL CON CEA Y TAC TAP EN MARZO 2026</t>
  </si>
  <si>
    <t>JUANA URQUETA HENRIQUEZ</t>
  </si>
  <si>
    <t xml:space="preserve">10-11 EVALUADO POR DR MANUEL INDICA EN ECOG 2, CORRESPONDE CONTINUAR CON CUIDADOS PALIATIVO EXCLUSIVOS </t>
  </si>
  <si>
    <t>JUANA ARAYA CASTILLO</t>
  </si>
  <si>
    <t>FALP</t>
  </si>
  <si>
    <t>PACIENTE EVALUANDOSE EN LA FALP// EN ATENCIONES POR CUIDADOS PALIATIVOS EN HOSPITAL DE OVALLE</t>
  </si>
  <si>
    <t xml:space="preserve">JUAN GALLARDO BRUNA </t>
  </si>
  <si>
    <t xml:space="preserve">CORREESPONDE CONTROL DE SEGUIMIENTO EN HOV </t>
  </si>
  <si>
    <t xml:space="preserve">02-12 DR MIRANDA INDICA CONTROL EN MAYO 2026, CON TAC TAP + RNM+ EXAMENES DE LABORATORIO + COLONOSCOPIA </t>
  </si>
  <si>
    <t xml:space="preserve">JUAN CARLOS ROJAS VALDERRAMA </t>
  </si>
  <si>
    <t>21-04-2025</t>
  </si>
  <si>
    <t>CORRESPONDE SEGUIMIENTO</t>
  </si>
  <si>
    <t xml:space="preserve">DR MIRANDA INDICA COLONOSOCOPIA </t>
  </si>
  <si>
    <t xml:space="preserve">JUAN CARLOS ANGEL ORMAZÁBAL </t>
  </si>
  <si>
    <t>TU DE APENDICE</t>
  </si>
  <si>
    <t xml:space="preserve">05-11-2024 DR MANUEL INDICA CONTROL EN 1 AÑO CON EXAMENES DE SEGUIMIENTO DEJA ORDENES PARA EL 05-10-2025 </t>
  </si>
  <si>
    <t xml:space="preserve">JUAN ARAYA ARAYA </t>
  </si>
  <si>
    <t>JUAN JAIME SOTO</t>
  </si>
  <si>
    <t>EVALUACION POR QMT</t>
  </si>
  <si>
    <t xml:space="preserve">01-12 CORRESPONDE CONTROL EN MAYO 2026 CON ESTUDIOS DE SEGUIMIENTO </t>
  </si>
  <si>
    <t>JUAN  RIVERA RIVERA</t>
  </si>
  <si>
    <t>TU NEUROENDOCRINO</t>
  </si>
  <si>
    <t>CORRESPONDE CONTROL EN JULIO 2026 CON TAC TAP Y EXAMENES DE LABORATORIO</t>
  </si>
  <si>
    <t>JOSÉ SANTOS CORTÉS JOFRÉ</t>
  </si>
  <si>
    <t>08-09 DR RODRIGUEZ INDICA COLONO EN MARZO Y TAC TAP Y CEA EN AGOSTO 2026</t>
  </si>
  <si>
    <t xml:space="preserve">JOSE FREDES ROJAS </t>
  </si>
  <si>
    <t xml:space="preserve">AGENDAR A CONTROL CON ADDENDUM DE TAC </t>
  </si>
  <si>
    <t xml:space="preserve">DR MANUEL INDICA TAC TAP Y EXAMENES </t>
  </si>
  <si>
    <t>JOSE COLLADO CORTES</t>
  </si>
  <si>
    <t>CORRESPONDE DERIVAR A ONCOLOGICA MEDICA PARA TRATAMIENTO ADYUVANTE</t>
  </si>
  <si>
    <t>SE DERIVA A HLS PARA CONTROL CON ONCOLOGIA MEDICA PARA TTO DE QMT</t>
  </si>
  <si>
    <t>04-09-205</t>
  </si>
  <si>
    <t>JORGE VERDUGO ACEVEDO</t>
  </si>
  <si>
    <t xml:space="preserve">CORRESPONDE SEGUIMIENTO POR CIRUGIA </t>
  </si>
  <si>
    <t xml:space="preserve">USUARIO CORRESPONDE SEGUIMIENTO POR CIRUGIA </t>
  </si>
  <si>
    <t>JORGE BARRAZA NUÑEZ</t>
  </si>
  <si>
    <t>03-09 CONTROL CON ESTUDIOS DE SEGUIMIENTO EN ABRIL 2026</t>
  </si>
  <si>
    <t>JESUS UBERLINDO HALLES TABORGA</t>
  </si>
  <si>
    <t>TONGOY</t>
  </si>
  <si>
    <t xml:space="preserve">03-09 DR MIRANDA INDICA CONTROL CON COLONO </t>
  </si>
  <si>
    <t>JESUS PIZARRO ROJAS</t>
  </si>
  <si>
    <t>22-09 DR RODRIGUEZ INDICA ESTUDIOS DE SEGUIMIENTO PARA MAYO 2026</t>
  </si>
  <si>
    <t>JENIFER SILVA ACUÑA</t>
  </si>
  <si>
    <t>PENDIENTE COLONO Y TAC TAP</t>
  </si>
  <si>
    <t xml:space="preserve">05-03: DR MANUEL INDICA CONTROL EN ENERO 2026 CON ESTUDIOS  DE SEGUIMIENTO </t>
  </si>
  <si>
    <t xml:space="preserve">PENDIENTE COLONO Y TAC TAP </t>
  </si>
  <si>
    <t>ISABEL  ROJAS ZEPEDA</t>
  </si>
  <si>
    <t xml:space="preserve">08-05 DR RODRIGUEZ INDICA CONTROL EN NOV 2025 CON ESTUDIOS DE SEGUIMIENTOS </t>
  </si>
  <si>
    <t>IRMA BARRAZA OLIVARES</t>
  </si>
  <si>
    <t xml:space="preserve">DR MANUEL INDICA DISCUTIRA CASO CON DR ROSENDO PARA EVALUAR POSIBILIDAD DE COLONOSCOPIA/ RECHACA TAC TAP </t>
  </si>
  <si>
    <t xml:space="preserve">2 SEMANAS </t>
  </si>
  <si>
    <t xml:space="preserve">CONSULTAR POR EVALUACIÓN POR DR ROSENDO </t>
  </si>
  <si>
    <t xml:space="preserve">IRMA ARAYA SANTANDER </t>
  </si>
  <si>
    <t xml:space="preserve">17-07 DR RODRIGUEZ NDICA SET PARA RECONSTITUCIÓN DE TRANSITO </t>
  </si>
  <si>
    <t>IRMA ALFARO SIERRA</t>
  </si>
  <si>
    <t xml:space="preserve">CORRESPONDE DERIVAR A HLS PARA CIRUGIA </t>
  </si>
  <si>
    <t>PENDIENTE CIRUGIA</t>
  </si>
  <si>
    <t xml:space="preserve">USUARIA PRESENTADA A COMITÉ SE DECIDE EVALUACIÓN POR CIRUGIA EN HLS PARA RESOLUCION QUIRURGICA/ PENDIENTE EVALUACION POR ANESTESISTA. </t>
  </si>
  <si>
    <t>INES LEITON LEITON</t>
  </si>
  <si>
    <t>Plan. se realiza derivación a policlínico de cirugía general, para evaluación y continuar estudios y tramites para cirugía de hernia incisional.</t>
  </si>
  <si>
    <t>HUGO HENRIQUEZ SILVA</t>
  </si>
  <si>
    <t>CORRESPONDE CONTROL CON COLONO Y CEA, TAC TAP EN DICIEMBRE 2025</t>
  </si>
  <si>
    <t>HILDA GARCIA TABILO</t>
  </si>
  <si>
    <t>02-10 EVALUADA POR DR MIRANDA SOLICITA CONTROL CON ESTUDIOS DE SEGUIMIENTO EN FEBRERO 2026</t>
  </si>
  <si>
    <t xml:space="preserve">HERNAN FICA PEREZ </t>
  </si>
  <si>
    <t>Ovalle</t>
  </si>
  <si>
    <t>26-02 DR MIRANDA INDICA CONTROL CON CEA Y TAC EN ABRIL 2026</t>
  </si>
  <si>
    <t>HECTOR ARAYA JERALDO</t>
  </si>
  <si>
    <t>RIO HURTADO</t>
  </si>
  <si>
    <t xml:space="preserve">CORRESPONDE SEGUIMIENTO EN 6 MESES CON ESTUDIO  DE SEGUIMIENTO </t>
  </si>
  <si>
    <t>GUILLERMO SILVA CASTILLO</t>
  </si>
  <si>
    <t>DERIVAR A ONCOLOCIGA PAR A QMT ADYUVANTE</t>
  </si>
  <si>
    <t>curso</t>
  </si>
  <si>
    <t>07-11 DR MIRANDA INDICA TAC TAP Y COLONO EN ENERO 2026</t>
  </si>
  <si>
    <t xml:space="preserve">GUIDO  CISTERNAS CISTERNAS </t>
  </si>
  <si>
    <t>CONTROL CON COLONO Y CEA EN ABRIL DEL 2025, EN PREPARACIÓN PARA RECONSTITUCION DE TRANSITO</t>
  </si>
  <si>
    <t>GRIMALDINA GUTIERREZ CAMPUSANO</t>
  </si>
  <si>
    <t>SE DECIDE SEGUIMIENTO POR HOV Y CUIDADOS PALIATIVOS POR RECHAZO DE PCTE</t>
  </si>
  <si>
    <t>30-12 DR MIRANDA INDICA CONTROL CON ESTUDIO DE COLONO + EXAMENES+ TAC TAP</t>
  </si>
  <si>
    <t>GRIMALDINA  ZEPEDA URQUIETA</t>
  </si>
  <si>
    <t xml:space="preserve">TAC TAP REALIZADO, PENDIENTE COLONO </t>
  </si>
  <si>
    <t xml:space="preserve">GLADYS PAULINA VARGAS VEGA	</t>
  </si>
  <si>
    <r>
      <rPr>
        <b/>
        <sz val="11"/>
        <color rgb="FFFFFFFF"/>
        <rFont val="Calibri"/>
        <family val="2"/>
        <scheme val="minor"/>
      </rPr>
      <t> </t>
    </r>
    <r>
      <rPr>
        <sz val="11"/>
        <color theme="1"/>
        <rFont val="Calibri"/>
        <family val="2"/>
        <scheme val="minor"/>
      </rPr>
      <t>1479042</t>
    </r>
  </si>
  <si>
    <t xml:space="preserve">EVALUACION POR POLI DE ALIVIO DEL DOLOR PARA ESTABLECER TRATAMIENTO PARA MANEJO DEL DOLOR DE CADERA DERECHA Y EEII DERECHA.
SE REALIZAN ORDENES DE LAB CON CEA Y TAC TAP CONTRASTADA CON FECHA DE MARZO DE 2025, Y SE ENTREGAN ORDENES A GESTORA ONCOLOGICA. 
CONTROL CON ESTUDIOS DE SEGUIMIENTO. </t>
  </si>
  <si>
    <t xml:space="preserve">GIGLIA ROJOS BOLADOS </t>
  </si>
  <si>
    <t xml:space="preserve">MANTENER TRATAMIENTO DE CAPECITABINA Y CUIDADOS PALIATIVOS </t>
  </si>
  <si>
    <t xml:space="preserve">03-11-2025: DR MANUEL INIDICA CONTINUAR CONTROLES EN ONCOLOGIA DE HLS. </t>
  </si>
  <si>
    <t xml:space="preserve">GABRIELA ALVAREZ TOBAR </t>
  </si>
  <si>
    <t xml:space="preserve">TTO NEOADYVANTE ESQUEMA RAPIDO . INSTALACION DE CATETER </t>
  </si>
  <si>
    <t>15-09 CONTROL CON INFORME CON TAC TAP Y COLONO DE SANTIAGO</t>
  </si>
  <si>
    <t>GABRIEL GALLEGUILLOS VEGA</t>
  </si>
  <si>
    <t>CONTROL CON ESTUDIOS DE SEGUIMIENTO EN OCTUBRE 2026</t>
  </si>
  <si>
    <t>FREDYS VALDIVIA CASTILLO</t>
  </si>
  <si>
    <t xml:space="preserve">CORRESPONDE IRINOTECAN DE TRATAMIENTO DE QUIMIOTERAPIA 2DA LINEA </t>
  </si>
  <si>
    <t xml:space="preserve">USUARIO EN TRATAMIENTO DE QUIMIOTERAPIA EN HOSPITAL DE LA SERENA </t>
  </si>
  <si>
    <t xml:space="preserve">FLORINDO URQUETA CORTÉS	</t>
  </si>
  <si>
    <t xml:space="preserve">11-09 DR MIRANDA INDICA CONTROL ANUAL CON EXAMENES Y TAC TAP, CORRESPONDE OCT 2025
</t>
  </si>
  <si>
    <t>FERNANDO TAPIA GALLARDO</t>
  </si>
  <si>
    <t xml:space="preserve">SEGUIMIENTO EN HOSPITAL DE ORIGEN </t>
  </si>
  <si>
    <t>FERNANDA CASTILLO OLIVARES</t>
  </si>
  <si>
    <t xml:space="preserve">DERIVACIÓN A ONCOLOGIA MEDICA PARA TRATAMIENTO DE QMT </t>
  </si>
  <si>
    <t>04-11 DR MIRANDA INDICA CONTROL EN NOVIEMBRE 2026 CON COLONO, EXAMENES Y TAC TAP</t>
  </si>
  <si>
    <t>EXEQUIEL ZARATE ROMERO</t>
  </si>
  <si>
    <t xml:space="preserve">TRATAMIENTO ADYUVANTE </t>
  </si>
  <si>
    <t xml:space="preserve">DR MIRANDA INDICA NUEVA COLONO + RESULTADO DE BIOPSIA DE POLIPO </t>
  </si>
  <si>
    <t>EVA ARAYA ASTUDILLO</t>
  </si>
  <si>
    <t xml:space="preserve">TUMOR NEUROENDOCRINO APENDICULAR </t>
  </si>
  <si>
    <t>08-05 DR RODRIGUEZ INDICA CONTROL EN MARZO 2026 CON ESTUDIO DE PET.CT</t>
  </si>
  <si>
    <t xml:space="preserve">EUGENIO VEGA LEMUS </t>
  </si>
  <si>
    <t xml:space="preserve">SE DECIDE RT QMT , PREVIO INSTALACIÓN DE CATETER </t>
  </si>
  <si>
    <t>EUGENIA DONOSO OYARZUN</t>
  </si>
  <si>
    <t xml:space="preserve">CORRESPONDE CIRUGIA DE MILES EN HLS </t>
  </si>
  <si>
    <t xml:space="preserve">USUARIA OPERADA EN HLS LA SEMANA DEL 25 DE AGOSTO EN HLS, PENDIENTE BIOPSIA POST OPERATORIA </t>
  </si>
  <si>
    <t xml:space="preserve">ENCARNACION PEREIRA </t>
  </si>
  <si>
    <t xml:space="preserve">07-2023 PCTE EN ATENCIONES POR ONCOLOGIA EN HSPC // INGRESADA A CPYAD POR DICHO CENTRO </t>
  </si>
  <si>
    <t xml:space="preserve">EMA SALFATE CISTERNAS </t>
  </si>
  <si>
    <t>CORRESPONDE  EVALUACION POR CIRUGIA PARA RESECCIONES HEPATICAS</t>
  </si>
  <si>
    <t xml:space="preserve">USUARIA EN ATENCION ES POR HLS, EN EVALUACIÓN POR CIRUGIA PARA POSIBLE RESECCION HEPATICA. </t>
  </si>
  <si>
    <t>ELVIRA RODRIGUEZ CARVAJAL</t>
  </si>
  <si>
    <t xml:space="preserve">CORRESPONDE SEGUIMIENTO CON SCANER </t>
  </si>
  <si>
    <t xml:space="preserve">DR MANUEL INDICA COLONO </t>
  </si>
  <si>
    <t>ELSA PIZARRO URQUIETA</t>
  </si>
  <si>
    <t xml:space="preserve">SE DECIDE EVALUACION EN CIRUGIA HOSPITAL DE LA SERENA </t>
  </si>
  <si>
    <t xml:space="preserve">17-11 DR RODRIGUEZ INDICA CONTROL EN ENERO 2026 CON ESTUDIOS DE SEGUIMIENTO </t>
  </si>
  <si>
    <t>ELIANA ALLENDE GODOY</t>
  </si>
  <si>
    <t>CORRESPONDE SEGUIMIENTO EN HOSPITAL DE LA SERENA POR CIRUGIA</t>
  </si>
  <si>
    <t xml:space="preserve">USUARIA EN ATENCIONES POR CIRUGIA DIGESTIVA EN HLS. CORRESPONDE SEGUIMIENTO </t>
  </si>
  <si>
    <t>ELFA BARRAZA DELGADO</t>
  </si>
  <si>
    <t>DR MANUEL INDICA CONTROL EN MARZO CON COLONONO 2026 Y TAC TAP Y EXAMENES EN AGOSTO 2026</t>
  </si>
  <si>
    <t>EFREN ROCCO ORTIZ</t>
  </si>
  <si>
    <t>21-04--2025</t>
  </si>
  <si>
    <t xml:space="preserve">SE DECIDE PRESENTAR EN COMITE DE TORAX, REPRESENTAR CON RESULTADO DE BP </t>
  </si>
  <si>
    <t>27-10 DR MANUEL INDICA CONTROL CON TAC TAP, PENDIENTE CIRUGIA EN HLS POR CIRUGIA DE TORAX</t>
  </si>
  <si>
    <t>EDUARDO VIDAL SEGOVIA</t>
  </si>
  <si>
    <t>15-09 DR MIRANDA INDICA CONTROL CON TAC TAP Y CEA EN ENERO 2026</t>
  </si>
  <si>
    <t>EDITH PONCE TABILO</t>
  </si>
  <si>
    <t xml:space="preserve">USUARIA EN ATENCION POR CIRUGIA DIGESTIVA EN HLS POR DR LIMA, EN ESPERA DE CIRUGIA POR HERNIA EN COLOSTOMIA </t>
  </si>
  <si>
    <t xml:space="preserve">EDITH CORTES ZEPEDA </t>
  </si>
  <si>
    <t xml:space="preserve">CORRESPONDE TRATAMIENTO DE QMT PALIATIVA </t>
  </si>
  <si>
    <t xml:space="preserve">USUARIA EN ATENCIONES POR ONCOLOGIA EN HLS , TERMINO SEXTO CICLO, SE REALIZO TAC TAP DE CONTROL CON RESULTADO, CONTROL CON ONCOLOGA. </t>
  </si>
  <si>
    <t>EDI CAROLINA YÁÑEZ MIRANDA</t>
  </si>
  <si>
    <t>CONTROL ANUAL CON EXAMENES DE SEGUIMIENTO</t>
  </si>
  <si>
    <t xml:space="preserve">EDELMIRA GODOY	GODOY	</t>
  </si>
  <si>
    <t>CONTROL CON ESTUDIO DE SEGUIMIENTO EN 1 AÑO</t>
  </si>
  <si>
    <t xml:space="preserve">DORYS LENINA BOLBARAN ALLENDES	</t>
  </si>
  <si>
    <t>10-11 DR MANUEL INDICA CONTROL CON EXAMENES DE SEGUIMIENTO EN SEPTIEMBRE 2026</t>
  </si>
  <si>
    <t>DOMINGO MOLINA GARCIA</t>
  </si>
  <si>
    <t xml:space="preserve">CANCER D COLON </t>
  </si>
  <si>
    <t>CORRESPONDE TTO DE QUIMIOTERAPIA , PREVIA INSTALACION DE CVC</t>
  </si>
  <si>
    <t xml:space="preserve">USUARIO PENDIENTE PASE CARDIOLOGICO, SE PRIORIZA ESTUDIOS CON LISTA DE ESPERA </t>
  </si>
  <si>
    <t>DOMINGO ARDILES ARDILES</t>
  </si>
  <si>
    <t xml:space="preserve">06-02: DR RODRIGUEZ INDICA COLONO EN MAYO 2025 Y TAC TAP EN OCTUBRE 2025, CONTROL CON ESTUDIO ENDOSCOPICO </t>
  </si>
  <si>
    <t xml:space="preserve">DIOSA MAYA CASTILLO </t>
  </si>
  <si>
    <t xml:space="preserve">PENDIENTE ESTUDIOS </t>
  </si>
  <si>
    <t>CORRESPONDE CONTROL EN OCTUBRE 2025 CON ESTUDIOS TAC TAP, EXA DE LAB Y COLONO.</t>
  </si>
  <si>
    <t xml:space="preserve">DINA PASTEN ARAYA </t>
  </si>
  <si>
    <t>CORRESPONDE LAPAROSCOPIA EXPLORADORA.</t>
  </si>
  <si>
    <t xml:space="preserve">USUARIA PRESENTADA EN COMITÉ DE CARCINOMATOSIS PERITONEAL </t>
  </si>
  <si>
    <t xml:space="preserve">DAVID RODRÍGUEZ NINA	</t>
  </si>
  <si>
    <t xml:space="preserve">PENDIENTE RESULTADO DE BP DE COLONO DE SEP </t>
  </si>
  <si>
    <t xml:space="preserve">11-09 DR MIRANDA INDICA CONTROL ANUAL EN SEP 2025
</t>
  </si>
  <si>
    <t xml:space="preserve">PENDIENTE RESLTADO DE BIOPSIA </t>
  </si>
  <si>
    <t>DAVID PEREIRA CANIBILO</t>
  </si>
  <si>
    <t xml:space="preserve">SE GESTIONARA HORA CON CIRUGIA </t>
  </si>
  <si>
    <t xml:space="preserve">DAFNE PIZARRO CERECEDA </t>
  </si>
  <si>
    <t xml:space="preserve">CORRESPONDE SEGUIMIENTO EN HOSPITAL DE OVALLE </t>
  </si>
  <si>
    <t>CONTROL EN NOVIEMBRE DEL 2025 CON CEA Y TAC TAP</t>
  </si>
  <si>
    <t>CUSTODIO PASTEN JORQUERA</t>
  </si>
  <si>
    <t>CORRESPONDE SEGUIMIENTO EN HOSPITAL DE OVALLE</t>
  </si>
  <si>
    <t xml:space="preserve">22-09 DR MANUEL INDICA RNM DE ABDOMEN Y EXAMENES Y COLONO </t>
  </si>
  <si>
    <t>CRISTINA ROJAS HERNANDEZ</t>
  </si>
  <si>
    <t xml:space="preserve">11-06 CONTROL EN OCTUBRE 2025 CON ESTUDIOS DE SEGUIMIENTO </t>
  </si>
  <si>
    <t xml:space="preserve">4 MESES </t>
  </si>
  <si>
    <t xml:space="preserve">CLEMIRA MONTALBÁN MONTALBÁN </t>
  </si>
  <si>
    <t>CONTROL CON ESTUDIOS DE SEGUIMIENTO PARA FEBRERO 2026</t>
  </si>
  <si>
    <t>CLAUDIO TRIGO AMBROSI</t>
  </si>
  <si>
    <t xml:space="preserve">SE INDICA EVALUACIÓN POR CIRUGIA Y REPRESENTAR CON BIOPSIA POST OPERATORIA </t>
  </si>
  <si>
    <t xml:space="preserve">USUARIO EN ATENCIONES POR HLS, EN ESPERA DE INTERVENCIÓN DE QUIRURGICA </t>
  </si>
  <si>
    <t xml:space="preserve">ENFEMERIA </t>
  </si>
  <si>
    <t>CLAUDIA  ALVARADO HIDALGO</t>
  </si>
  <si>
    <t xml:space="preserve">06-03: DR MANUEL INDICA CONTROL EN ENERO 2026 CON ESTUDIOS DE SEGUIMIENTO </t>
  </si>
  <si>
    <t xml:space="preserve">CECILIA PLAZA ALZAMORA </t>
  </si>
  <si>
    <t xml:space="preserve">05-06 DR MANUEL INDICA CONTROL EN MAYO 2026 CON ESTUDIOS DE SEGUIMIENTO </t>
  </si>
  <si>
    <t xml:space="preserve">CAROLINA EUGENIA IBACACHE ROBLES </t>
  </si>
  <si>
    <t xml:space="preserve">05-06 DR MANUEL INDICA CONTROL EN ABRIL 2026 CON ESTUDIOS DE SEGUIMIENTO </t>
  </si>
  <si>
    <t xml:space="preserve">CARLOS ZAMORA ROJAS </t>
  </si>
  <si>
    <t>05-06 DR  MANUEL INDICA CONTROL EN ENERO COLONOSCOOPIA Y TAC TAP Y CEA EN MAYO 2026</t>
  </si>
  <si>
    <t xml:space="preserve">11 MESES </t>
  </si>
  <si>
    <t>CARLOS TAPIA MUÑOZ</t>
  </si>
  <si>
    <t xml:space="preserve">TRATAMIENTO DE QMT ADYUVANTE INSTALACION DE CATETER </t>
  </si>
  <si>
    <t xml:space="preserve">23-02 DR RODRIGUEZ REALIZA SET QUIRURGICO PARA RECONSTITUCION DE TRANSITO </t>
  </si>
  <si>
    <t>CARLOS RIVERA CASTILLO</t>
  </si>
  <si>
    <t xml:space="preserve">EVALUACION POR HOSPITAL DE LA SERENA </t>
  </si>
  <si>
    <t xml:space="preserve">USUARIO EN CONTROLES POR CIRUGIA ADULTO POR HOSPITAL DE LA SERENA </t>
  </si>
  <si>
    <t>CAMILO ROJAS ARAYA</t>
  </si>
  <si>
    <t>SE DECIDE RT HEMOSTATICA Y QMT PALIATIVA CON CAPEOX POSTERIOR A RT</t>
  </si>
  <si>
    <t xml:space="preserve">21-07 DR MIRANDA INDICA CONTROL CON UROLOGIA </t>
  </si>
  <si>
    <t>BRENDA MARIA ABU-GHOSH POZA</t>
  </si>
  <si>
    <t>02-09-2024 DR MANUEL INIDICA SEGUIMIENTO CONTROL EN JUNIO 2025</t>
  </si>
  <si>
    <t>BERTA PALTA CORTES</t>
  </si>
  <si>
    <t>CORRESPONDE COMPLETAR 12 CICLOS DE FOLFOX. CUIDADOS PALIATIVOS.</t>
  </si>
  <si>
    <t>USUARIO COMENZARA TRATAMIENTO DE QMT EN HOSPITAL DE LA SERENA</t>
  </si>
  <si>
    <t xml:space="preserve">BERNARDO PIZARRO YAÑEZ </t>
  </si>
  <si>
    <t xml:space="preserve">SE REALIZO TAC TAP, PENDIENTE COLONO </t>
  </si>
  <si>
    <t xml:space="preserve">BENILDA CONTRERAS CARMONA </t>
  </si>
  <si>
    <t>CUIDADOS PALIATIVOS EXLCUSIVOS</t>
  </si>
  <si>
    <t xml:space="preserve">USUARIA CORRESPONDE CUIDADOS PALIATIVOS EXCLUSIVOS </t>
  </si>
  <si>
    <t>BENEDICTA PASTEN PASTEN</t>
  </si>
  <si>
    <t xml:space="preserve">CONTROL EN JUNIO DEL 2026 CON ESTUDIOS DE SEGUIMIENTO </t>
  </si>
  <si>
    <t>ATANIEL AVARES</t>
  </si>
  <si>
    <t>08-09 DR MIRANDA INDICA COLONOSCOPIA EN MAYO 2026</t>
  </si>
  <si>
    <t xml:space="preserve">ARTEMIO OLIVARES SEGOVIA </t>
  </si>
  <si>
    <t>15-07-2019</t>
  </si>
  <si>
    <t>24-06-2019</t>
  </si>
  <si>
    <t xml:space="preserve">15-05 DR MANUEL INDICA RECONSTITUCION DE TRANSITO, EN PREQUIRURGICA </t>
  </si>
  <si>
    <t>ARNOLDO  LANAS CARRASCO</t>
  </si>
  <si>
    <t>ANNELLA HUIDOBRO NN</t>
  </si>
  <si>
    <t xml:space="preserve">SE SOLICITA TAC TAP Y COLONO Y EXAMENES DE SEGUIMIENTO </t>
  </si>
  <si>
    <t>ANGELICA  CASTRO AVALOS</t>
  </si>
  <si>
    <t>TU NEUROENDCRINO DE APENDICE</t>
  </si>
  <si>
    <t xml:space="preserve">PCTE REPRESENTADA A COMITÉ CON RESOLUCION DE IQ PERO PCTE RECHAZA EL TTO QUEDANDO EN CUIDADOS PALIATIVOS EXCLUSIVOS </t>
  </si>
  <si>
    <t>3  MESES</t>
  </si>
  <si>
    <t>ANA ROSA ROBLES CAMPUSANO</t>
  </si>
  <si>
    <t>15-09 DR MIRANDA INDICA CONTROL CON TAC TAP Y CEA, COLONO EN JUNIO 2026</t>
  </si>
  <si>
    <t>ANA PAVEZ TORRES</t>
  </si>
  <si>
    <t xml:space="preserve">27-02: DR MIRANDA INDICA PRESENTAR  EN COMITÉ CON ESTUDIOS IMAGENOLOGICOS ACTUALIZADOS </t>
  </si>
  <si>
    <t xml:space="preserve">ANA NORA CASTILLO GONZÁLEZ </t>
  </si>
  <si>
    <t>EVALUAR IQ</t>
  </si>
  <si>
    <t xml:space="preserve">CONTROL EN MAYO DEL 2025 CON ESTUDIOS DE SEGUIMIENTO </t>
  </si>
  <si>
    <t>ANA GABY ACEVEDO MOLL</t>
  </si>
  <si>
    <t>AMÉRICO  OGALDE ROJAS</t>
  </si>
  <si>
    <t xml:space="preserve">27-02-25: DR MIRANDA INDICA CONTROL ANUAL CON ESTUDIOS DE SEGUIMIENTO COLONO, TAC TAP Y LAB. </t>
  </si>
  <si>
    <t>AMABLE DE LOS SANTOS ROJAS ARAYA</t>
  </si>
  <si>
    <t>CONTROL</t>
  </si>
  <si>
    <t xml:space="preserve">PENDIENTE CONTROL, RECHAZA COLONO </t>
  </si>
  <si>
    <t xml:space="preserve">PENDIENTE CONTROLPACIENTE RECHAZA COLONO </t>
  </si>
  <si>
    <t xml:space="preserve">ALEX FIORENTINO GONZALEZ </t>
  </si>
  <si>
    <t>CORRESPONDE TTO DE QUIMIOTERAPIA CON CAPEOX 4 CICLOS</t>
  </si>
  <si>
    <t xml:space="preserve">18-06 SE DERIVA A HLS PARA TRATAMIENTO DE QUIMIOTERAPIA A HLS </t>
  </si>
  <si>
    <t>1  MES</t>
  </si>
  <si>
    <t>ENFERMERO</t>
  </si>
  <si>
    <t>ALEJANDRO CORTES PONCE</t>
  </si>
  <si>
    <t>08-09 DR RODRIGUEZ INDICA TAC TAP Y CEA EN  ABRIL 2026</t>
  </si>
  <si>
    <t>ALDO PIZARRO URQUIETA</t>
  </si>
  <si>
    <t xml:space="preserve">EVALUACION POR ONCOLOGIA + CARDIOLOGIA </t>
  </si>
  <si>
    <t xml:space="preserve">CONTROL EN SEPTIEMBRE DEL 2025 CON ESTUDIOS DE SEGUIMIENTO </t>
  </si>
  <si>
    <t>1O MESES</t>
  </si>
  <si>
    <t>ADÁN DEL CARMEN MORGADO ROJAS</t>
  </si>
  <si>
    <t xml:space="preserve">24-04 DR MIRANDA INDICA CONTROL EN 1 AÑO CON TAC, EXAMENES Y COLONO </t>
  </si>
  <si>
    <t>24-04-2025</t>
  </si>
  <si>
    <t>24-04-2026</t>
  </si>
  <si>
    <t>ABELARDO CARVAJAL RIVERA</t>
  </si>
  <si>
    <t>CORRESPONDE SEGUIMIENTO POR CIRUGIA HOSPITAL DE LA SERENA</t>
  </si>
  <si>
    <t>USUARIO EN SEGUIMIENTO POR EL HOSPITAL DE LA SERENA, ESPECIALIDAD DE CIRUGIA</t>
  </si>
  <si>
    <t>2 MES</t>
  </si>
  <si>
    <t>IVAN MUÑOZ CASTILLO</t>
  </si>
  <si>
    <t xml:space="preserve">CORRESPONDE TTO DE QUIMIOTERAPIA </t>
  </si>
  <si>
    <t>USUARIO EN EVALUACIÓN POR  ONCOLOGIA MEDICA CULMINO TRATAMIENTO DE QMT EN ENERO, PENDIENTE CONTROL CON TAC TAP</t>
  </si>
  <si>
    <t xml:space="preserve">CIPRIANO MIRANDA CORTES </t>
  </si>
  <si>
    <t xml:space="preserve">DEBIDO A CONDICION DE PACIENTE CORRESPONDE SEGUIMIENTO EN HOSITAL DE LA SERENA </t>
  </si>
  <si>
    <t xml:space="preserve">JOSE MORALES ACEVEDO </t>
  </si>
  <si>
    <t xml:space="preserve">COLOSTOMIA EN ASA Y TRATAMIENTO DE QMT ADYUVANTE </t>
  </si>
  <si>
    <t>USUARIO SE DERIVA A ONCOLOGIA PARA TRATAMIENTO DE QMT</t>
  </si>
  <si>
    <t xml:space="preserve">JORGE DELGADO LARA </t>
  </si>
  <si>
    <t>20-05-2025</t>
  </si>
  <si>
    <t xml:space="preserve">11-06 CORRESPONDE CONTROL EN NOVIEMBRE CON ESTUDIOS DE SEGUIMIENTO </t>
  </si>
  <si>
    <t xml:space="preserve">SUSAN GOMEZ PEREIRA </t>
  </si>
  <si>
    <t xml:space="preserve">PATRICIA MANQUEZ JUAREZ </t>
  </si>
  <si>
    <t>23-04-2025</t>
  </si>
  <si>
    <t>14-07 DR MANUEL INDICA CONTROL CON TAC TAP, COLONO, EXAMENES EN DICIEMBRE 2025</t>
  </si>
  <si>
    <t xml:space="preserve">PEDRO CORTES TABILO </t>
  </si>
  <si>
    <t xml:space="preserve">JESSICA ALVAREZ BARRAZA </t>
  </si>
  <si>
    <t>ADC DE TUBULO VELLOSO BAJO GRADO</t>
  </si>
  <si>
    <t>CORRESPONDE SEGUIMIENTO EN SERVICIO DE ORIGEN</t>
  </si>
  <si>
    <t xml:space="preserve">06/05/2025: DR MANUEL INDICA CONTROL DE SEGUIMIENTO EN OCTUBRE 2025 </t>
  </si>
  <si>
    <t>ROSSANA CELIS LORCA</t>
  </si>
  <si>
    <t>CARCINOMA INTESTINO GRUESO</t>
  </si>
  <si>
    <t>CORREPONDE EVALUACIÓN POR ONCOLOGIA MEDICA PARA QMT PALIATIVA</t>
  </si>
  <si>
    <t xml:space="preserve">JUDY CARVAJAL CARVAJAL </t>
  </si>
  <si>
    <t xml:space="preserve">13-05 DR MANUEL INDICA CONTROL EN  MARZO 2026 CON ESTUDIOS DE SEGUIMIENTO </t>
  </si>
  <si>
    <t>SERGIO DIAZ VEGA</t>
  </si>
  <si>
    <t>30-04-2025</t>
  </si>
  <si>
    <t>CORRESPONDE SEGUIMIENTO DEBIDO A RECHAZO A TRATAMIENTO</t>
  </si>
  <si>
    <t xml:space="preserve">JUAN ARAYA PIZARRO </t>
  </si>
  <si>
    <t>22-05-2025</t>
  </si>
  <si>
    <t xml:space="preserve">10-11 DR MIRANDA INDICA CONTROL EN MARZO 2026 CON CEA  Y TAC TAP </t>
  </si>
  <si>
    <t xml:space="preserve">ADELINA ARAYA CEPEDA </t>
  </si>
  <si>
    <t>CORRESPONDE CONTROL CON EXAMENES + COLONO + TAC TAP EN DICIEMBRE 2026</t>
  </si>
  <si>
    <t>11 MESES</t>
  </si>
  <si>
    <t>CARLOS PEREIRA CANIBILO</t>
  </si>
  <si>
    <t>REALIZAR RESECCION SUBMUCOSAL DE LESIÓN NEOPLASICA DE RECTO ALTO</t>
  </si>
  <si>
    <t>30-10-2025 DR MIRANDA INDICA CONTROL EN ENERO 2026 CON ESTUDIO DE TAC TAP Y CEA</t>
  </si>
  <si>
    <t>VINKA CASTRO ROJAS</t>
  </si>
  <si>
    <t xml:space="preserve">CORRESPONDE EVALUACIÓN POR CIRUGIA EN HOSPITAL DE LA SERENA </t>
  </si>
  <si>
    <t xml:space="preserve">USUARIA CULMINO TRATAMIENTO DE QMT, CORRESPONDE EVALUACIÓN POR CIRUGA COLOPROCTOLOGIA EN HLS </t>
  </si>
  <si>
    <t xml:space="preserve">EVELYN LANAS LEIVA </t>
  </si>
  <si>
    <t xml:space="preserve">CORRESPONDE CIRUGIA EN HOSPITAL DE OVALLE </t>
  </si>
  <si>
    <t>02-10 SE PRESENTARA A COMITÉ ONCOLOGICO EL LUNES 06-10</t>
  </si>
  <si>
    <t xml:space="preserve">CARLOS ROJAS IBACACHE </t>
  </si>
  <si>
    <t>CORRESPONDE PRESENTAR EN COMITÉ DE TELEMEDICINA PARA RADIOQUIMIO</t>
  </si>
  <si>
    <t xml:space="preserve">SE ENVIA ANTECEDENTES PARA PRESENTACION DE COMITÉ </t>
  </si>
  <si>
    <t xml:space="preserve">ROMILIO GALDAMEZ TRONCOSO </t>
  </si>
  <si>
    <t xml:space="preserve">CORRESPONDE TRATAMIENTO DE RADIO Y QUIMIO.PREVIA INSTLACION DE CATETER </t>
  </si>
  <si>
    <t xml:space="preserve">PACIENTE PENDIENTE INSTALACION DE CATETER, EN EVALUACIÓN POR IRAM PARA TRATAMIENTO DE RT, COMIENZA EL 17 DE NOVIEMBRE </t>
  </si>
  <si>
    <t xml:space="preserve">HILDA CERDA ALVARADO </t>
  </si>
  <si>
    <t>RADIOTERAPIA CURATIVA NEOADYUVANTE SEGUIDO DE QMT</t>
  </si>
  <si>
    <t xml:space="preserve">USUARIA DERIVA A HCB  PARA EVALUACIÓN </t>
  </si>
  <si>
    <t>ANA CASTILLO GONZALEZ</t>
  </si>
  <si>
    <t xml:space="preserve">CORRESPONDE DERIVAR A ONCOLOGIA MEDICA PARA QMT </t>
  </si>
  <si>
    <t xml:space="preserve">USUARIA PENDIENTE INSTALACION DE CATETER PARA QMT </t>
  </si>
  <si>
    <t xml:space="preserve">JUAN CORTES BONILLA </t>
  </si>
  <si>
    <t xml:space="preserve">CORRESPONDE REALIZAR CIRUGIA EN HOSPITAL DE ORIGEN </t>
  </si>
  <si>
    <t xml:space="preserve">13-01 DR MIRANDA INDICA CONTROL CON COLONO + TAC TAP + EXAMENES EN 6 MESES </t>
  </si>
  <si>
    <t>MARILYN ARANDA CASTILLO</t>
  </si>
  <si>
    <t xml:space="preserve">CORRESPONDE DERIVAR A ONCOLOGICA MEDICA </t>
  </si>
  <si>
    <t xml:space="preserve">PENDIENTE INSTALACIÓN DE CATETER, PARA DERIVAR A ONCOLOGIA MEDICA </t>
  </si>
  <si>
    <t>MIRNA ABALOS CASTILLO</t>
  </si>
  <si>
    <t xml:space="preserve">CANCER DE RECTO BAJO </t>
  </si>
  <si>
    <t>COLOSTOMIA, Y RADIOQUIOTERAPIA. INSTALACION DE CATETER</t>
  </si>
  <si>
    <t>DR  RODRIGUEZ</t>
  </si>
  <si>
    <t xml:space="preserve">LUIS CORTES BARAHONA </t>
  </si>
  <si>
    <t xml:space="preserve">USUARIO POR RECHAZO QUEDA EN CUIDADOS PALIATIVOS EXCLUSIVOS </t>
  </si>
  <si>
    <t>FERNANDO MORALEDA VEGA</t>
  </si>
  <si>
    <t>CANCER DE COLON DERECHO</t>
  </si>
  <si>
    <t xml:space="preserve">SE DECIDE CIRUGIA EN HOSPITAL DE OVALLE, PRESENTAR CON BP </t>
  </si>
  <si>
    <t xml:space="preserve">EN PREPARACIÓN POR UNIDAD DE PREQUIRURGICA PARA CIRUGIA </t>
  </si>
  <si>
    <t xml:space="preserve">FRANCISCO ARAYA VARGAS </t>
  </si>
  <si>
    <t xml:space="preserve">USUARIO EN TRATAMIENTO DE QMT EN HLS , EN SU 6TO CICLO MITAD DEL TRATAMIENTO </t>
  </si>
  <si>
    <t>MALVINA RAMIREZ CUELLO</t>
  </si>
  <si>
    <t xml:space="preserve">ETAPIFICACIÓN </t>
  </si>
  <si>
    <t xml:space="preserve">CORRESPONDE CIRUGIA EN HOSPTIAL DE OVALLE E INSTALACION DE CATETER </t>
  </si>
  <si>
    <t xml:space="preserve">USUARIA EN TRATAMIENTO DE QMT EN HLS </t>
  </si>
  <si>
    <t xml:space="preserve">YOLANDA ACOSTA NUÑEZ </t>
  </si>
  <si>
    <t xml:space="preserve">CORRESPONDE CAMBIO DE TRATAMIENTO DE LINEA DE QMT </t>
  </si>
  <si>
    <t>GUSTAVO VARAS ARAYA</t>
  </si>
  <si>
    <t xml:space="preserve">CORRESPONDE PRESENTAR A RADIO QUIMIOTERAPIA </t>
  </si>
  <si>
    <t>EDUARDO ESPINOZA JIMENEZ</t>
  </si>
  <si>
    <t xml:space="preserve">SE DERIVA A CIRUGIA DE HOSPITAL DE LA SERENA </t>
  </si>
  <si>
    <t>SE REALIZA DERIVACIÓN PARA CIRUGIA EN HLS</t>
  </si>
  <si>
    <t>BERNARDO URIBE BARRAZA</t>
  </si>
  <si>
    <t>TUMOR NEUROENDOCRINO ILEON DISTAL</t>
  </si>
  <si>
    <t xml:space="preserve">SE PRESENTARA A COMITE ONCOLOGICO </t>
  </si>
  <si>
    <t>MARIA COFRE DIAZ</t>
  </si>
  <si>
    <t xml:space="preserve">CORRESPONDE QMT 4 CICLOS EN HOSPITAL DE LA SERENA </t>
  </si>
  <si>
    <t xml:space="preserve">USUARIA EN CONTROL POR ONCOLOGIA MEDICA PARA TARTAMIENTO DE QMT </t>
  </si>
  <si>
    <t>MANUEL RIVERA OBANDO</t>
  </si>
  <si>
    <t xml:space="preserve">CORRESPONDE INTERVENCIÓN QUIRURGICA EN HOSPITAL DE OVALLE </t>
  </si>
  <si>
    <t>12-01 DR MANUEL INDICA CONTROL CON EXAMENES + TAC TAP + COLONOSCOPIA EN MAYO 2026</t>
  </si>
  <si>
    <t xml:space="preserve">LEONIDES ABALOS ARAYA </t>
  </si>
  <si>
    <t xml:space="preserve">CORRESPONDE RESOLUCION ENDOSCOPICA DE LST </t>
  </si>
  <si>
    <t xml:space="preserve">PENDIENTE COLONOSCOPIA PARA RESECCION </t>
  </si>
  <si>
    <t xml:space="preserve">MARIA DEVIA BARRERA </t>
  </si>
  <si>
    <t xml:space="preserve">SE DERIVA A ONCOLOGIA MEDICA PARA TRATAMIENTO DE QMT </t>
  </si>
  <si>
    <t xml:space="preserve">USUARIA EN EVALUACIÓN POR UNIDAD DE PREQUIRUGICA PARA INSTALACIÓN DE CATETER </t>
  </si>
  <si>
    <t xml:space="preserve">RODOLFO YAÑEZ NUÑEZ </t>
  </si>
  <si>
    <t xml:space="preserve">ISMENIA URQUIETA ARAYA </t>
  </si>
  <si>
    <t xml:space="preserve">CORRESPONDE CONTROL EN ABRIL 2026 CON COLONO + TAC TAP + EXAMENES DE LABORATORIO </t>
  </si>
  <si>
    <t>CARMEN TALAMILLA MORALES</t>
  </si>
  <si>
    <t>CORRESPONDE CIRUGIA EN HOSPITAL DE OVALLE</t>
  </si>
  <si>
    <t>USUARIA EN ATENCIONES POR SANTIAGO EVALUANDO OTRAS OPCIONES / PENDIENTE ENTREGA DE RESOLUCIÓN</t>
  </si>
  <si>
    <t>OLIMPIA RUBINA ROJO</t>
  </si>
  <si>
    <t>CANCER DEL INTESTINO DELGADO</t>
  </si>
  <si>
    <t xml:space="preserve">SEGUMIENTO </t>
  </si>
  <si>
    <t xml:space="preserve">WILSON ROJAS RAMOS </t>
  </si>
  <si>
    <t xml:space="preserve">CORRESPONDE CIRUGIA. REPRESENTAR CON BIOPSIA </t>
  </si>
  <si>
    <t>SE ENTREGA SET A PREQUIRURGICA PARA PREPARACIÓN</t>
  </si>
  <si>
    <t xml:space="preserve">ALFONSO VEAS VILLALOBOS </t>
  </si>
  <si>
    <t>CORREPONDE CUIDADOS PALIATIVOS EXCLUSIVOS DEBIDO A RECHAZO A CIRUGIA</t>
  </si>
  <si>
    <t>FRANCISCO TELLO GALLARADO</t>
  </si>
  <si>
    <t>SE DERIVA A ONCOLOGIA MEDICA PARA TRATAMIENTO DE QMT</t>
  </si>
  <si>
    <t>MICHAEL ANGEL PEÑA</t>
  </si>
  <si>
    <t>TUMOR NEUROENDOCRINO DE APENDICE</t>
  </si>
  <si>
    <t xml:space="preserve">AGENDAR POR CIRUGIA POR GCO CON RESULTADO DE BIOPSIA </t>
  </si>
  <si>
    <t xml:space="preserve">LUIS MORALES PEREZ </t>
  </si>
  <si>
    <t>CORRESPONDE CONTROL CON EXAMENES DE SEGUIMIENTO PARA JULIO 2026</t>
  </si>
  <si>
    <t>IRIS TORO CASTILLO</t>
  </si>
  <si>
    <t xml:space="preserve">CORRESPONDE SEGUIMIENTO CONTROL EN MAYO CON CEA Y TAC TAP </t>
  </si>
  <si>
    <t xml:space="preserve">ORIELA JAIME ARAYA </t>
  </si>
  <si>
    <t>CORRESPONDE COLOSTOMIA EN ASA + DERIVAR A ONCOLOGIA MEDICA PREVIO INSTALACION</t>
  </si>
  <si>
    <t xml:space="preserve">SE DERIVA A HOSPITAL DE LA SERENA PARA EVALUACIÓN POR HLS </t>
  </si>
  <si>
    <t xml:space="preserve">MARINA MAYA CORTES </t>
  </si>
  <si>
    <t xml:space="preserve">PENDIENTE RNMS DE PELVIS </t>
  </si>
  <si>
    <t xml:space="preserve">LORENZO ALFARO PEREZ </t>
  </si>
  <si>
    <t xml:space="preserve">CORRESPONDE TRATAMIENTO QUIRURGICO EN HOSPITAL DE ORIGEN </t>
  </si>
  <si>
    <t xml:space="preserve">EN PREPARACION EN LA UNIDAD PREQUIRURGICA </t>
  </si>
  <si>
    <t xml:space="preserve">RICARDO COLLAO DIAZ </t>
  </si>
  <si>
    <t xml:space="preserve">REPRESENTAR CON PASE DE CARDIOLOGIA </t>
  </si>
  <si>
    <t xml:space="preserve">SE SOLICITA PRIORIZACIÓN DE SIC PARA CARDIOLOGIA </t>
  </si>
  <si>
    <t>MOISES SANTANDER FLORES</t>
  </si>
  <si>
    <t xml:space="preserve">SE SOLICITA PASE CARDIOLOGICO PARA USO DE QUIMIO Y REPRESENTAR </t>
  </si>
  <si>
    <t xml:space="preserve">SE PRESENTARA A COMITE ONCOLOGICO NUEVAMENTE </t>
  </si>
  <si>
    <t>PEDRO MALDONADO GONZALEZ</t>
  </si>
  <si>
    <t xml:space="preserve">DERIVAR A ONCOLOGIA MEDICA PARA TRATAMIENTO DE QMT, PREVIA INSTALACION DE CATETER </t>
  </si>
  <si>
    <t xml:space="preserve">SE DERIVA A ONCOLOGIA DE HLS PARA TRATAMIENTO DE QMT </t>
  </si>
  <si>
    <t xml:space="preserve">FREDDY ZAPATA CHELME </t>
  </si>
  <si>
    <t xml:space="preserve">CORRESPONDE POR ECOG CUIDADOS PALIATIVOS EXCLUSIVOS </t>
  </si>
  <si>
    <t xml:space="preserve">MARIO MARIN PEÑA </t>
  </si>
  <si>
    <t xml:space="preserve">CORRESPONDE RADIO QUIMIOTERAPIA , LUEGO CIRUGIA A LAS 18 SEMANAS EN SERVICIO DE ORIGEN </t>
  </si>
  <si>
    <t>USUARIO COMENZARA TRATAMIENTO DE RADIO QUIMIO, CATETER YA INSTALADO</t>
  </si>
  <si>
    <t xml:space="preserve">SABA TAPIA ARAYA </t>
  </si>
  <si>
    <t>DERIVAR A ONCOLOGIA MEDICA PARA TRATAMIENTO DE QMT,</t>
  </si>
  <si>
    <t xml:space="preserve">USUARIA PRESENTADA A COMITE ONCOLOGICO POR HOSPITAL DE COQUIMBO, SE DECIDE DERIVAR A ONCOLOGIA MEDICA </t>
  </si>
  <si>
    <t>02-02--2026</t>
  </si>
  <si>
    <t>PATRICIA ZARATE CASTILLO</t>
  </si>
  <si>
    <t xml:space="preserve">PRESENTAR EN COMITE DE RADIOTERAPIA </t>
  </si>
  <si>
    <t xml:space="preserve">SE ENVIA ANTECEDENTES PARA PRESENTAR EN COMITE DE RADIOTERAPIA </t>
  </si>
  <si>
    <t>ELIO CORTES RIVERA</t>
  </si>
  <si>
    <t xml:space="preserve">SE SOLITA ETAPIFICACIÓN </t>
  </si>
  <si>
    <t>HECTOR MILLA BARRAZA</t>
  </si>
  <si>
    <t xml:space="preserve">CORRESPOND CIRUGIA, REPRESENTAR CON BIOPSIA </t>
  </si>
  <si>
    <t>SE ENTREGA SET A LA UNIDAD DE PREQUIRURGICA PARA EVALUACIO</t>
  </si>
  <si>
    <t xml:space="preserve">MIGUEL ROJAS AGUILERA </t>
  </si>
  <si>
    <t xml:space="preserve">CORRESPONDE SEGUIMIENTO POR CIRUGIA EN HOSPITAL DE BASE </t>
  </si>
  <si>
    <t xml:space="preserve">22-12 DR RODRIGUEZ INDICA CONTROL ANUAL EN NOVIEMBRE 2026 CON EXAMENES DE SEGUIMIENTO </t>
  </si>
  <si>
    <t>JEANCIMAR FLORES BETANCOURT</t>
  </si>
  <si>
    <t xml:space="preserve">EN PREPARACION EN LA UNIDAD DE PREQUIRURGICA </t>
  </si>
  <si>
    <t>JOSE CORTES ALFARO</t>
  </si>
  <si>
    <t xml:space="preserve">PENDIENTE ETAPIFICACION </t>
  </si>
  <si>
    <t xml:space="preserve">SEGUNDO CHEPILLO MICHEA </t>
  </si>
  <si>
    <t xml:space="preserve">RODOLFO OLIVARES SIBILA </t>
  </si>
  <si>
    <t>S/B</t>
  </si>
  <si>
    <t xml:space="preserve">DR RODRIGUEZ INDICA CONTROL CON EXAMENES DE SEGUIMIENTO </t>
  </si>
  <si>
    <t xml:space="preserve">GUILLERMO OSSANDON GARCIA </t>
  </si>
  <si>
    <t>PENDIENTE PRESENTACION A COMITE</t>
  </si>
  <si>
    <t xml:space="preserve">MOHAMED VALDERRAMA NAVEA </t>
  </si>
  <si>
    <t xml:space="preserve">JUAN GONZALEZ GALLEGUILLOS </t>
  </si>
  <si>
    <t xml:space="preserve">CESAR LEYTON LOPEZ </t>
  </si>
  <si>
    <t xml:space="preserve">PATRICIA CASTILLO GALLEGUILLOS </t>
  </si>
  <si>
    <t xml:space="preserve">JOSE MERINO POULEUR </t>
  </si>
  <si>
    <t xml:space="preserve">SE PRESENTARA  A COMITE ONCOLOGICO </t>
  </si>
  <si>
    <t xml:space="preserve">IVAN CORTES GONZALEZ </t>
  </si>
  <si>
    <t xml:space="preserve">EVALUADO POR DR RODRIGUEZ EL 26-01, INDICA CONTROL EN 1 MES CON CIRUGIA </t>
  </si>
  <si>
    <t xml:space="preserve">HERIBERTO PEREZ PEREZ </t>
  </si>
  <si>
    <t xml:space="preserve">TUMOR NEUROENDOCRINO DE APENDICE </t>
  </si>
  <si>
    <t xml:space="preserve">MARCO MUNDACA MIRANDA </t>
  </si>
  <si>
    <t xml:space="preserve">DR RODRIGUEZ INDICA PRESENTACIÓN A COMITE ONCOLOGICO </t>
  </si>
  <si>
    <t>EDITA MENESES ESPINOZA</t>
  </si>
  <si>
    <t xml:space="preserve">IRMA HIDALGO VEAS </t>
  </si>
  <si>
    <t>BENILDE GUERRERO DE COLLS</t>
  </si>
  <si>
    <t>USUARIA CORRESPONDE CUIDADOS PALIATIVOS EXCLUSIVOS</t>
  </si>
  <si>
    <t xml:space="preserve">PEDRO RIVERA RIVERA </t>
  </si>
  <si>
    <t>ARTEMIO CORTES CARVAJAL</t>
  </si>
  <si>
    <t xml:space="preserve">HUGO TAPIA ROJAS </t>
  </si>
  <si>
    <t xml:space="preserve">TORIBIO GUERRERO JIMENEZ </t>
  </si>
  <si>
    <t xml:space="preserve">DR MIRANDA NDICA CONTROL CON EXAMENES DE LAB + TAC TAP </t>
  </si>
  <si>
    <t>LUZMIRA CORTES GALLARDO</t>
  </si>
  <si>
    <t>CANCER  DEL INTESTINO DELGADO</t>
  </si>
  <si>
    <t xml:space="preserve">PENDIENTE ESTUDIO DE INMUNOHISTOQUIMICA </t>
  </si>
  <si>
    <t xml:space="preserve">JOSE ANGEL ARDILES </t>
  </si>
  <si>
    <t xml:space="preserve">DR MIRANDA INDICA  EXAMENES Y RESONANCIA DE ABDOMEN </t>
  </si>
  <si>
    <t xml:space="preserve">DR MIRANDA INDICA PRESENTAR A COMITE </t>
  </si>
  <si>
    <t>CELINDA RODRIGUEZ CARVAJAL</t>
  </si>
  <si>
    <t xml:space="preserve">MIRTA RODRIGUEZ RODRIGUEZ </t>
  </si>
  <si>
    <t>NEO MUCINOSO APENDICULAR</t>
  </si>
  <si>
    <t xml:space="preserve">PENDIENTE EVALUACIÓN POR CIRUGIA DE TORAX Y EVALUACION POR CIRUGIA DIGESTIVA </t>
  </si>
  <si>
    <t xml:space="preserve">SIMBOLOGIA </t>
  </si>
  <si>
    <t>OBSERVACIÓN</t>
  </si>
  <si>
    <t xml:space="preserve">DERIVADOS A HLS </t>
  </si>
  <si>
    <t>SEGUIMIENTO EN HOV</t>
  </si>
  <si>
    <t xml:space="preserve">EN ATENCION POR OTROS CENTROS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</si>
</sst>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0" tint="-0.14993743705557422"/>
        <bgColor rgb="FFDAE3F3"/>
      </patternFill>
    </fill>
    <fill>
      <patternFill patternType="solid">
        <fgColor rgb="FFFFCCCC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rgb="FF00A933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4">
    <xf numFmtId="0" fontId="0" fillId="0" borderId="0"/>
    <xf numFmtId="0" fontId="11" fillId="20" borderId="9" applyNumberFormat="0" applyFont="0" applyAlignment="0" applyProtection="0"/>
    <xf numFmtId="0" fontId="11" fillId="0" borderId="0"/>
    <xf numFmtId="0" fontId="11" fillId="0" borderId="0"/>
  </cellStyleXfs>
  <cellXfs count="213">
    <xf numFmtId="0" fontId="0" fillId="0" borderId="0" xfId="0"/>
    <xf numFmtId="0" fontId="0" fillId="4" borderId="0" xfId="0" applyFill="1"/>
    <xf numFmtId="0" fontId="0" fillId="0" borderId="0" xfId="0" applyAlignment="1">
      <alignment vertical="center"/>
    </xf>
    <xf numFmtId="0" fontId="0" fillId="2" borderId="0" xfId="0" applyFill="1" applyAlignment="1">
      <alignment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/>
    </xf>
    <xf numFmtId="0" fontId="0" fillId="0" borderId="2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horizontal="right" vertical="center"/>
    </xf>
    <xf numFmtId="0" fontId="0" fillId="4" borderId="2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vertical="center"/>
    </xf>
    <xf numFmtId="14" fontId="0" fillId="4" borderId="1" xfId="0" applyNumberFormat="1" applyFill="1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wrapText="1"/>
    </xf>
    <xf numFmtId="0" fontId="0" fillId="4" borderId="1" xfId="0" applyFill="1" applyBorder="1" applyAlignment="1">
      <alignment horizontal="center" vertical="center" wrapText="1"/>
    </xf>
    <xf numFmtId="14" fontId="0" fillId="4" borderId="1" xfId="0" applyNumberFormat="1" applyFill="1" applyBorder="1" applyAlignment="1">
      <alignment vertical="center"/>
    </xf>
    <xf numFmtId="0" fontId="2" fillId="10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0" fillId="4" borderId="1" xfId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left"/>
    </xf>
    <xf numFmtId="0" fontId="6" fillId="4" borderId="1" xfId="0" applyFont="1" applyFill="1" applyBorder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14" borderId="0" xfId="0" applyFill="1" applyAlignment="1">
      <alignment vertical="center" wrapText="1"/>
    </xf>
    <xf numFmtId="0" fontId="0" fillId="13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2" borderId="0" xfId="0" applyFill="1" applyAlignment="1">
      <alignment horizontal="right" vertical="center" wrapText="1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right" vertical="center" wrapText="1"/>
    </xf>
    <xf numFmtId="0" fontId="0" fillId="4" borderId="2" xfId="0" applyFill="1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  <xf numFmtId="0" fontId="0" fillId="0" borderId="2" xfId="0" applyBorder="1" applyAlignment="1">
      <alignment horizontal="left" vertical="center" wrapText="1"/>
    </xf>
    <xf numFmtId="0" fontId="6" fillId="4" borderId="1" xfId="0" applyFont="1" applyFill="1" applyBorder="1" applyAlignment="1">
      <alignment horizontal="right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righ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0" fillId="13" borderId="1" xfId="0" applyFill="1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6" fillId="0" borderId="1" xfId="0" applyFont="1" applyBorder="1" applyAlignment="1">
      <alignment horizontal="righ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0" fillId="13" borderId="1" xfId="0" applyFill="1" applyBorder="1" applyAlignment="1">
      <alignment horizontal="right" vertical="center" wrapText="1"/>
    </xf>
    <xf numFmtId="0" fontId="0" fillId="13" borderId="2" xfId="0" applyFill="1" applyBorder="1" applyAlignment="1">
      <alignment horizontal="left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1" fontId="0" fillId="4" borderId="1" xfId="0" applyNumberFormat="1" applyFill="1" applyBorder="1" applyAlignment="1">
      <alignment horizontal="center" vertical="center" wrapText="1"/>
    </xf>
    <xf numFmtId="14" fontId="0" fillId="4" borderId="1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14" fontId="0" fillId="0" borderId="1" xfId="0" applyNumberFormat="1" applyBorder="1" applyAlignment="1">
      <alignment vertical="center" wrapText="1"/>
    </xf>
    <xf numFmtId="14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15" borderId="5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14" fontId="0" fillId="13" borderId="1" xfId="0" applyNumberFormat="1" applyFill="1" applyBorder="1" applyAlignment="1">
      <alignment horizontal="center" vertical="center" wrapText="1"/>
    </xf>
    <xf numFmtId="14" fontId="0" fillId="2" borderId="0" xfId="0" applyNumberFormat="1" applyFill="1" applyAlignment="1">
      <alignment vertical="center" wrapText="1"/>
    </xf>
    <xf numFmtId="14" fontId="5" fillId="12" borderId="1" xfId="0" applyNumberFormat="1" applyFont="1" applyFill="1" applyBorder="1" applyAlignment="1">
      <alignment horizontal="center" vertical="center" wrapText="1"/>
    </xf>
    <xf numFmtId="14" fontId="0" fillId="4" borderId="1" xfId="0" applyNumberFormat="1" applyFill="1" applyBorder="1" applyAlignment="1">
      <alignment vertical="center" wrapText="1"/>
    </xf>
    <xf numFmtId="14" fontId="0" fillId="4" borderId="1" xfId="1" applyNumberFormat="1" applyFont="1" applyFill="1" applyBorder="1" applyAlignment="1">
      <alignment vertical="center" wrapText="1"/>
    </xf>
    <xf numFmtId="0" fontId="0" fillId="4" borderId="8" xfId="0" applyFill="1" applyBorder="1" applyAlignment="1">
      <alignment vertical="center" wrapText="1"/>
    </xf>
    <xf numFmtId="17" fontId="0" fillId="4" borderId="1" xfId="0" applyNumberFormat="1" applyFill="1" applyBorder="1" applyAlignment="1">
      <alignment vertical="center" wrapText="1"/>
    </xf>
    <xf numFmtId="0" fontId="0" fillId="16" borderId="1" xfId="0" applyFill="1" applyBorder="1" applyAlignment="1">
      <alignment vertical="center" wrapText="1"/>
    </xf>
    <xf numFmtId="14" fontId="6" fillId="0" borderId="1" xfId="0" applyNumberFormat="1" applyFont="1" applyBorder="1" applyAlignment="1">
      <alignment vertical="center" wrapText="1"/>
    </xf>
    <xf numFmtId="14" fontId="0" fillId="13" borderId="1" xfId="0" applyNumberFormat="1" applyFill="1" applyBorder="1" applyAlignment="1">
      <alignment vertical="center" wrapText="1"/>
    </xf>
    <xf numFmtId="0" fontId="0" fillId="17" borderId="1" xfId="0" applyFill="1" applyBorder="1" applyAlignment="1">
      <alignment horizontal="center" vertical="center" wrapText="1"/>
    </xf>
    <xf numFmtId="14" fontId="0" fillId="5" borderId="0" xfId="0" applyNumberFormat="1" applyFill="1" applyAlignment="1">
      <alignment vertical="center" wrapText="1"/>
    </xf>
    <xf numFmtId="1" fontId="0" fillId="5" borderId="0" xfId="0" applyNumberFormat="1" applyFill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0" fillId="7" borderId="1" xfId="0" applyFill="1" applyBorder="1" applyAlignment="1">
      <alignment horizontal="right" vertical="center" wrapText="1"/>
    </xf>
    <xf numFmtId="0" fontId="0" fillId="7" borderId="2" xfId="0" applyFill="1" applyBorder="1" applyAlignment="1">
      <alignment horizontal="left" vertical="center" wrapText="1"/>
    </xf>
    <xf numFmtId="0" fontId="0" fillId="0" borderId="1" xfId="0" applyBorder="1" applyAlignment="1" applyProtection="1">
      <alignment horizontal="right" vertical="center" wrapText="1"/>
      <protection locked="0"/>
    </xf>
    <xf numFmtId="0" fontId="0" fillId="0" borderId="2" xfId="0" applyBorder="1" applyAlignment="1">
      <alignment vertical="center" wrapText="1"/>
    </xf>
    <xf numFmtId="14" fontId="0" fillId="7" borderId="1" xfId="0" applyNumberFormat="1" applyFill="1" applyBorder="1" applyAlignment="1">
      <alignment horizontal="center" vertical="center" wrapText="1"/>
    </xf>
    <xf numFmtId="14" fontId="0" fillId="7" borderId="1" xfId="0" applyNumberFormat="1" applyFill="1" applyBorder="1" applyAlignment="1">
      <alignment vertical="center" wrapText="1"/>
    </xf>
    <xf numFmtId="14" fontId="0" fillId="0" borderId="2" xfId="0" applyNumberFormat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18" borderId="1" xfId="0" applyFill="1" applyBorder="1" applyAlignment="1">
      <alignment horizontal="center" vertical="center" wrapText="1"/>
    </xf>
    <xf numFmtId="0" fontId="0" fillId="16" borderId="0" xfId="0" applyFill="1" applyAlignment="1">
      <alignment vertical="center" wrapText="1"/>
    </xf>
    <xf numFmtId="0" fontId="0" fillId="4" borderId="1" xfId="0" applyFill="1" applyBorder="1" applyAlignment="1">
      <alignment wrapText="1"/>
    </xf>
    <xf numFmtId="0" fontId="0" fillId="0" borderId="6" xfId="0" applyBorder="1" applyAlignment="1">
      <alignment vertical="center" wrapText="1"/>
    </xf>
    <xf numFmtId="0" fontId="0" fillId="0" borderId="6" xfId="0" applyBorder="1" applyAlignment="1">
      <alignment horizontal="right" vertical="center" wrapText="1"/>
    </xf>
    <xf numFmtId="0" fontId="0" fillId="0" borderId="7" xfId="0" applyBorder="1" applyAlignment="1">
      <alignment horizontal="left" vertical="center" wrapText="1"/>
    </xf>
    <xf numFmtId="0" fontId="0" fillId="0" borderId="6" xfId="0" applyBorder="1" applyAlignment="1">
      <alignment horizontal="center" vertical="center" wrapText="1"/>
    </xf>
    <xf numFmtId="0" fontId="6" fillId="4" borderId="1" xfId="0" applyFont="1" applyFill="1" applyBorder="1" applyAlignment="1">
      <alignment wrapText="1"/>
    </xf>
    <xf numFmtId="0" fontId="6" fillId="4" borderId="1" xfId="0" applyFont="1" applyFill="1" applyBorder="1"/>
    <xf numFmtId="0" fontId="0" fillId="4" borderId="1" xfId="0" applyFill="1" applyBorder="1" applyAlignment="1">
      <alignment horizontal="left" vertical="center" wrapText="1"/>
    </xf>
    <xf numFmtId="0" fontId="11" fillId="0" borderId="1" xfId="2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0" fillId="16" borderId="1" xfId="0" applyFill="1" applyBorder="1" applyAlignment="1">
      <alignment wrapText="1"/>
    </xf>
    <xf numFmtId="17" fontId="6" fillId="0" borderId="1" xfId="0" applyNumberFormat="1" applyFont="1" applyBorder="1" applyAlignment="1">
      <alignment vertical="center" wrapText="1"/>
    </xf>
    <xf numFmtId="0" fontId="0" fillId="14" borderId="1" xfId="0" applyFill="1" applyBorder="1" applyAlignment="1">
      <alignment vertical="center" wrapText="1"/>
    </xf>
    <xf numFmtId="0" fontId="0" fillId="14" borderId="1" xfId="0" applyFill="1" applyBorder="1" applyAlignment="1">
      <alignment horizontal="right" vertical="center" wrapText="1"/>
    </xf>
    <xf numFmtId="0" fontId="0" fillId="14" borderId="1" xfId="0" applyFill="1" applyBorder="1" applyAlignment="1">
      <alignment horizontal="left" vertical="center" wrapText="1"/>
    </xf>
    <xf numFmtId="0" fontId="0" fillId="14" borderId="1" xfId="0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right" vertical="center" wrapText="1"/>
    </xf>
    <xf numFmtId="14" fontId="0" fillId="14" borderId="1" xfId="0" applyNumberFormat="1" applyFill="1" applyBorder="1" applyAlignment="1">
      <alignment horizontal="center" vertical="center" wrapText="1"/>
    </xf>
    <xf numFmtId="14" fontId="0" fillId="14" borderId="1" xfId="0" applyNumberFormat="1" applyFill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9" fillId="6" borderId="1" xfId="0" applyFont="1" applyFill="1" applyBorder="1" applyAlignment="1">
      <alignment vertical="center" wrapText="1"/>
    </xf>
    <xf numFmtId="0" fontId="9" fillId="6" borderId="1" xfId="0" applyFont="1" applyFill="1" applyBorder="1" applyAlignment="1">
      <alignment horizontal="right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right" vertical="center" wrapText="1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3" applyBorder="1" applyAlignment="1">
      <alignment horizontal="right" vertical="center" wrapText="1"/>
    </xf>
    <xf numFmtId="0" fontId="9" fillId="10" borderId="1" xfId="0" applyFont="1" applyFill="1" applyBorder="1" applyAlignment="1">
      <alignment horizontal="center" vertical="center" wrapText="1"/>
    </xf>
    <xf numFmtId="14" fontId="10" fillId="0" borderId="1" xfId="0" applyNumberFormat="1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left" vertical="center" wrapText="1"/>
    </xf>
    <xf numFmtId="0" fontId="10" fillId="0" borderId="2" xfId="0" applyFont="1" applyBorder="1" applyAlignment="1">
      <alignment vertical="center" wrapText="1"/>
    </xf>
    <xf numFmtId="0" fontId="10" fillId="0" borderId="1" xfId="0" applyFont="1" applyBorder="1" applyAlignment="1" applyProtection="1">
      <alignment horizontal="right" vertical="center" wrapText="1"/>
      <protection locked="0"/>
    </xf>
    <xf numFmtId="1" fontId="10" fillId="0" borderId="1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14" fontId="10" fillId="0" borderId="1" xfId="0" applyNumberFormat="1" applyFont="1" applyBorder="1" applyAlignment="1">
      <alignment vertical="center" wrapText="1"/>
    </xf>
    <xf numFmtId="0" fontId="0" fillId="9" borderId="1" xfId="0" applyFill="1" applyBorder="1" applyAlignment="1">
      <alignment vertical="center" wrapText="1"/>
    </xf>
    <xf numFmtId="17" fontId="0" fillId="0" borderId="1" xfId="0" applyNumberFormat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14" fontId="0" fillId="0" borderId="3" xfId="0" applyNumberFormat="1" applyBorder="1" applyAlignment="1">
      <alignment horizontal="center" vertical="center" wrapText="1"/>
    </xf>
    <xf numFmtId="14" fontId="0" fillId="0" borderId="3" xfId="0" applyNumberFormat="1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0" fontId="0" fillId="8" borderId="3" xfId="0" applyFill="1" applyBorder="1" applyAlignment="1">
      <alignment vertical="center" wrapText="1"/>
    </xf>
    <xf numFmtId="0" fontId="0" fillId="8" borderId="1" xfId="0" applyFill="1" applyBorder="1" applyAlignment="1">
      <alignment vertical="center"/>
    </xf>
    <xf numFmtId="0" fontId="0" fillId="4" borderId="6" xfId="0" applyFill="1" applyBorder="1" applyAlignment="1">
      <alignment horizontal="center" vertical="center"/>
    </xf>
    <xf numFmtId="0" fontId="0" fillId="16" borderId="1" xfId="1" applyFont="1" applyFill="1" applyBorder="1" applyAlignment="1">
      <alignment vertical="center" wrapText="1"/>
    </xf>
    <xf numFmtId="0" fontId="0" fillId="7" borderId="10" xfId="0" applyFill="1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6" fillId="4" borderId="1" xfId="1" applyFont="1" applyFill="1" applyBorder="1" applyAlignment="1">
      <alignment vertical="center" wrapText="1"/>
    </xf>
    <xf numFmtId="0" fontId="0" fillId="13" borderId="3" xfId="0" applyFill="1" applyBorder="1" applyAlignment="1">
      <alignment horizontal="right" vertical="center" wrapText="1"/>
    </xf>
    <xf numFmtId="0" fontId="0" fillId="13" borderId="4" xfId="0" applyFill="1" applyBorder="1" applyAlignment="1">
      <alignment horizontal="left" vertical="center" wrapText="1"/>
    </xf>
    <xf numFmtId="0" fontId="0" fillId="13" borderId="10" xfId="0" applyFill="1" applyBorder="1" applyAlignment="1">
      <alignment vertical="center" wrapText="1"/>
    </xf>
    <xf numFmtId="0" fontId="0" fillId="9" borderId="1" xfId="0" applyFill="1" applyBorder="1"/>
    <xf numFmtId="0" fontId="0" fillId="19" borderId="1" xfId="0" applyFill="1" applyBorder="1"/>
    <xf numFmtId="0" fontId="0" fillId="15" borderId="1" xfId="0" applyFill="1" applyBorder="1"/>
    <xf numFmtId="0" fontId="8" fillId="4" borderId="1" xfId="0" applyFont="1" applyFill="1" applyBorder="1" applyAlignment="1">
      <alignment horizontal="right" vertical="center" wrapText="1"/>
    </xf>
    <xf numFmtId="14" fontId="0" fillId="4" borderId="1" xfId="0" applyNumberFormat="1" applyFill="1" applyBorder="1" applyAlignment="1">
      <alignment horizontal="center" wrapText="1"/>
    </xf>
    <xf numFmtId="0" fontId="0" fillId="21" borderId="1" xfId="0" applyFill="1" applyBorder="1" applyAlignment="1">
      <alignment vertical="center" wrapText="1"/>
    </xf>
    <xf numFmtId="0" fontId="0" fillId="21" borderId="1" xfId="0" applyFill="1" applyBorder="1" applyAlignment="1">
      <alignment horizontal="right" vertical="center" wrapText="1"/>
    </xf>
    <xf numFmtId="0" fontId="0" fillId="21" borderId="1" xfId="0" applyFill="1" applyBorder="1" applyAlignment="1">
      <alignment horizontal="left" vertical="center" wrapText="1"/>
    </xf>
    <xf numFmtId="0" fontId="0" fillId="21" borderId="1" xfId="0" applyFill="1" applyBorder="1" applyAlignment="1">
      <alignment horizontal="center" vertical="center" wrapText="1"/>
    </xf>
    <xf numFmtId="14" fontId="0" fillId="21" borderId="1" xfId="0" applyNumberFormat="1" applyFill="1" applyBorder="1" applyAlignment="1">
      <alignment horizontal="center" vertical="center" wrapText="1"/>
    </xf>
    <xf numFmtId="14" fontId="0" fillId="21" borderId="1" xfId="0" applyNumberFormat="1" applyFill="1" applyBorder="1" applyAlignment="1">
      <alignment vertical="center" wrapText="1"/>
    </xf>
    <xf numFmtId="0" fontId="0" fillId="21" borderId="0" xfId="0" applyFill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4" borderId="3" xfId="0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0" fillId="9" borderId="1" xfId="0" applyFill="1" applyBorder="1" applyAlignment="1">
      <alignment horizontal="center" vertical="center" wrapText="1"/>
    </xf>
    <xf numFmtId="0" fontId="0" fillId="22" borderId="1" xfId="0" applyFill="1" applyBorder="1" applyAlignment="1">
      <alignment horizontal="center" vertical="center" wrapText="1"/>
    </xf>
    <xf numFmtId="0" fontId="0" fillId="23" borderId="1" xfId="0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4" borderId="1" xfId="1" applyFont="1" applyFill="1" applyBorder="1" applyAlignment="1">
      <alignment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2" xfId="0" applyBorder="1" applyAlignment="1">
      <alignment vertical="center" wrapText="1"/>
    </xf>
    <xf numFmtId="0" fontId="0" fillId="0" borderId="12" xfId="0" applyBorder="1" applyAlignment="1">
      <alignment horizontal="righ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2" xfId="0" applyBorder="1" applyAlignment="1">
      <alignment horizontal="center" vertical="center" wrapText="1"/>
    </xf>
    <xf numFmtId="14" fontId="0" fillId="0" borderId="12" xfId="0" applyNumberFormat="1" applyBorder="1" applyAlignment="1">
      <alignment vertical="center" wrapText="1"/>
    </xf>
    <xf numFmtId="0" fontId="0" fillId="8" borderId="3" xfId="0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14" fontId="0" fillId="0" borderId="12" xfId="0" applyNumberFormat="1" applyBorder="1" applyAlignment="1">
      <alignment horizontal="center" vertical="center" wrapText="1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 wrapText="1"/>
    </xf>
    <xf numFmtId="0" fontId="0" fillId="0" borderId="14" xfId="0" applyBorder="1" applyAlignment="1">
      <alignment horizontal="righ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4" xfId="0" applyBorder="1" applyAlignment="1">
      <alignment horizontal="center" vertical="center" wrapText="1"/>
    </xf>
    <xf numFmtId="14" fontId="0" fillId="0" borderId="14" xfId="0" applyNumberFormat="1" applyBorder="1" applyAlignment="1">
      <alignment vertical="center" wrapText="1"/>
    </xf>
    <xf numFmtId="0" fontId="0" fillId="0" borderId="12" xfId="0" applyBorder="1" applyAlignment="1">
      <alignment vertical="center"/>
    </xf>
    <xf numFmtId="14" fontId="0" fillId="0" borderId="15" xfId="0" applyNumberFormat="1" applyBorder="1" applyAlignment="1">
      <alignment vertical="center" wrapText="1"/>
    </xf>
    <xf numFmtId="0" fontId="0" fillId="0" borderId="14" xfId="0" applyBorder="1" applyAlignment="1">
      <alignment vertical="center"/>
    </xf>
    <xf numFmtId="14" fontId="0" fillId="0" borderId="14" xfId="0" applyNumberFormat="1" applyBorder="1" applyAlignment="1">
      <alignment horizontal="center" vertical="center" wrapText="1"/>
    </xf>
  </cellXfs>
  <cellStyles count="4">
    <cellStyle name="Normal" xfId="0" builtinId="0"/>
    <cellStyle name="Normal 2" xfId="2" xr:uid="{00000000-0005-0000-0000-000031000000}"/>
    <cellStyle name="Normal 3" xfId="3" xr:uid="{00000000-0005-0000-0000-000032000000}"/>
    <cellStyle name="Notas" xfId="1" builtinId="10"/>
  </cellStyles>
  <dxfs count="346">
    <dxf>
      <fill>
        <patternFill patternType="solid">
          <bgColor rgb="FFCCCCFF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theme="9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theme="9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theme="9" tint="0.79992065187536243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theme="9" tint="0.79992065187536243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theme="9" tint="0.79992065187536243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theme="9" tint="0.79992065187536243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theme="9" tint="0.79992065187536243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theme="9" tint="0.79992065187536243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theme="9" tint="0.79992065187536243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theme="9" tint="0.79992065187536243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theme="9" tint="0.79992065187536243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theme="9" tint="0.79992065187536243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rgb="FFFFCC99"/>
        </patternFill>
      </fill>
    </dxf>
    <dxf>
      <fill>
        <patternFill patternType="solid">
          <bgColor theme="9" tint="0.79992065187536243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FF9999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CCCCFF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rgb="FFFFCCCC"/>
        </patternFill>
      </fill>
    </dxf>
    <dxf>
      <fill>
        <patternFill patternType="solid">
          <bgColor rgb="FFCCECFF"/>
        </patternFill>
      </fill>
    </dxf>
    <dxf>
      <fill>
        <patternFill patternType="solid">
          <bgColor theme="9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9" tint="0.79992065187536243"/>
        </patternFill>
      </fill>
    </dxf>
    <dxf>
      <fill>
        <patternFill patternType="solid">
          <bgColor rgb="FFFFCC99"/>
        </patternFill>
      </fill>
    </dxf>
  </dxfs>
  <tableStyles count="0" defaultTableStyle="TableStyleMedium2" defaultPivotStyle="PivotStyleLight16"/>
  <colors>
    <mruColors>
      <color rgb="FFFFCCCC"/>
      <color rgb="FFCCCCFF"/>
      <color rgb="FFFF9999"/>
      <color rgb="FFCCECFF"/>
      <color rgb="FFFFCCFF"/>
      <color rgb="FFFF99FF"/>
      <color rgb="FFC3B9FF"/>
      <color rgb="FFFFCC99"/>
      <color rgb="FF003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1295400</xdr:colOff>
      <xdr:row>0</xdr:row>
      <xdr:rowOff>76200</xdr:rowOff>
    </xdr:from>
    <xdr:to>
      <xdr:col>10</xdr:col>
      <xdr:colOff>1314450</xdr:colOff>
      <xdr:row>2</xdr:row>
      <xdr:rowOff>152400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8477250" y="76200"/>
          <a:ext cx="4562475" cy="457200"/>
        </a:xfrm>
        <a:prstGeom prst="rect">
          <a:avLst/>
        </a:prstGeom>
        <a:solidFill>
          <a:srgbClr val="003366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2000" b="1">
              <a:solidFill>
                <a:schemeClr val="bg1"/>
              </a:solidFill>
            </a:rPr>
            <a:t>DIGESTIVO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669925</xdr:colOff>
      <xdr:row>0</xdr:row>
      <xdr:rowOff>65617</xdr:rowOff>
    </xdr:from>
    <xdr:to>
      <xdr:col>14</xdr:col>
      <xdr:colOff>142875</xdr:colOff>
      <xdr:row>2</xdr:row>
      <xdr:rowOff>141817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11547475" y="65405"/>
          <a:ext cx="2749550" cy="457200"/>
        </a:xfrm>
        <a:prstGeom prst="rect">
          <a:avLst/>
        </a:prstGeom>
        <a:solidFill>
          <a:srgbClr val="003366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2000" b="1">
              <a:solidFill>
                <a:schemeClr val="bg1"/>
              </a:solidFill>
            </a:rPr>
            <a:t>GASTROINTESTINAL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G233"/>
  <sheetViews>
    <sheetView topLeftCell="N230" zoomScale="90" zoomScaleNormal="90" workbookViewId="0">
      <selection activeCell="R238" sqref="R238"/>
    </sheetView>
  </sheetViews>
  <sheetFormatPr defaultColWidth="11.375" defaultRowHeight="40.5" customHeight="1"/>
  <cols>
    <col min="1" max="1" width="14.625" style="34" customWidth="1"/>
    <col min="2" max="2" width="32.125" style="34" customWidth="1"/>
    <col min="3" max="3" width="20.75" style="43" customWidth="1"/>
    <col min="4" max="4" width="7" style="44" customWidth="1"/>
    <col min="5" max="5" width="12.625" style="45" customWidth="1"/>
    <col min="6" max="6" width="20.75" style="45" customWidth="1"/>
    <col min="7" max="7" width="22.375" style="45" customWidth="1"/>
    <col min="8" max="8" width="11" style="45" customWidth="1"/>
    <col min="9" max="9" width="20.75" style="45" customWidth="1"/>
    <col min="10" max="10" width="14" style="45" customWidth="1"/>
    <col min="11" max="11" width="20.75" style="45" customWidth="1"/>
    <col min="12" max="13" width="20.75" style="34" customWidth="1"/>
    <col min="14" max="14" width="20.75" style="45" customWidth="1"/>
    <col min="15" max="15" width="20.75" style="34" customWidth="1"/>
    <col min="16" max="16" width="30.875" style="34" customWidth="1"/>
    <col min="17" max="16384" width="11.375" style="34"/>
  </cols>
  <sheetData>
    <row r="1" spans="1:16" ht="15">
      <c r="A1" s="3"/>
      <c r="B1" s="3"/>
      <c r="C1" s="47"/>
      <c r="D1" s="48"/>
      <c r="E1" s="49"/>
      <c r="F1" s="49"/>
      <c r="G1" s="49"/>
      <c r="H1" s="49"/>
      <c r="I1" s="49"/>
      <c r="J1" s="49"/>
      <c r="K1" s="49"/>
      <c r="L1" s="3"/>
      <c r="M1" s="3"/>
      <c r="N1" s="49"/>
      <c r="O1" s="3"/>
      <c r="P1" s="3"/>
    </row>
    <row r="2" spans="1:16" ht="15">
      <c r="A2" s="3"/>
      <c r="B2" s="3"/>
      <c r="C2" s="47"/>
      <c r="D2" s="48"/>
      <c r="E2" s="49"/>
      <c r="F2" s="49"/>
      <c r="G2" s="49"/>
      <c r="H2" s="49"/>
      <c r="I2" s="49"/>
      <c r="J2" s="49"/>
      <c r="K2" s="49"/>
      <c r="L2" s="3"/>
      <c r="M2" s="3"/>
      <c r="N2" s="49"/>
      <c r="O2" s="3"/>
      <c r="P2" s="3"/>
    </row>
    <row r="3" spans="1:16" ht="15">
      <c r="A3" s="3"/>
      <c r="B3" s="3"/>
      <c r="C3" s="47"/>
      <c r="D3" s="48"/>
      <c r="E3" s="49"/>
      <c r="F3" s="49"/>
      <c r="G3" s="49"/>
      <c r="H3" s="49"/>
      <c r="I3" s="49"/>
      <c r="J3" s="49"/>
      <c r="K3" s="49"/>
      <c r="L3" s="3"/>
      <c r="M3" s="3"/>
      <c r="N3" s="49"/>
      <c r="O3" s="3"/>
      <c r="P3" s="3"/>
    </row>
    <row r="4" spans="1:16" ht="40.5" customHeight="1">
      <c r="A4" s="130" t="s">
        <v>0</v>
      </c>
      <c r="B4" s="130" t="s">
        <v>1</v>
      </c>
      <c r="C4" s="131" t="s">
        <v>2</v>
      </c>
      <c r="D4" s="132" t="s">
        <v>3</v>
      </c>
      <c r="E4" s="133" t="s">
        <v>4</v>
      </c>
      <c r="F4" s="133" t="s">
        <v>5</v>
      </c>
      <c r="G4" s="133" t="s">
        <v>6</v>
      </c>
      <c r="H4" s="133" t="s">
        <v>7</v>
      </c>
      <c r="I4" s="133" t="s">
        <v>8</v>
      </c>
      <c r="J4" s="133" t="s">
        <v>9</v>
      </c>
      <c r="K4" s="133" t="s">
        <v>10</v>
      </c>
      <c r="L4" s="130" t="s">
        <v>11</v>
      </c>
      <c r="M4" s="130" t="s">
        <v>12</v>
      </c>
      <c r="N4" s="133" t="s">
        <v>13</v>
      </c>
      <c r="O4" s="130" t="s">
        <v>14</v>
      </c>
      <c r="P4" s="139" t="s">
        <v>15</v>
      </c>
    </row>
    <row r="5" spans="1:16" ht="40.5" customHeight="1">
      <c r="A5" s="6" t="s">
        <v>16</v>
      </c>
      <c r="B5" s="6" t="s">
        <v>17</v>
      </c>
      <c r="C5" s="53">
        <v>5441995</v>
      </c>
      <c r="D5" s="18">
        <v>3</v>
      </c>
      <c r="E5" s="69">
        <v>75.435616438356206</v>
      </c>
      <c r="F5" s="19" t="s">
        <v>18</v>
      </c>
      <c r="G5" s="19" t="s">
        <v>19</v>
      </c>
      <c r="H5" s="19">
        <v>2022</v>
      </c>
      <c r="I5" s="73">
        <v>44770</v>
      </c>
      <c r="J5" s="19" t="s">
        <v>20</v>
      </c>
      <c r="K5" s="19" t="s">
        <v>21</v>
      </c>
      <c r="L5" s="75">
        <v>44801</v>
      </c>
      <c r="M5" s="6" t="s">
        <v>22</v>
      </c>
      <c r="N5" s="19" t="s">
        <v>23</v>
      </c>
      <c r="P5" s="6" t="s">
        <v>24</v>
      </c>
    </row>
    <row r="6" spans="1:16" ht="40.5" customHeight="1">
      <c r="A6" s="6"/>
      <c r="B6" s="6" t="s">
        <v>25</v>
      </c>
      <c r="C6" s="53">
        <v>5416009</v>
      </c>
      <c r="D6" s="18">
        <v>7</v>
      </c>
      <c r="E6" s="19">
        <v>91</v>
      </c>
      <c r="F6" s="19" t="s">
        <v>26</v>
      </c>
      <c r="G6" s="19" t="s">
        <v>19</v>
      </c>
      <c r="H6" s="19"/>
      <c r="I6" s="19"/>
      <c r="J6" s="19"/>
      <c r="K6" s="19"/>
      <c r="L6" s="6"/>
      <c r="M6" s="6"/>
      <c r="N6" s="19"/>
      <c r="O6" s="6" t="s">
        <v>27</v>
      </c>
      <c r="P6" s="6" t="s">
        <v>28</v>
      </c>
    </row>
    <row r="7" spans="1:16" ht="40.5" customHeight="1">
      <c r="A7" s="6" t="s">
        <v>16</v>
      </c>
      <c r="B7" s="6" t="s">
        <v>29</v>
      </c>
      <c r="C7" s="53">
        <v>3381575</v>
      </c>
      <c r="D7" s="18">
        <v>1</v>
      </c>
      <c r="E7" s="19">
        <v>91</v>
      </c>
      <c r="F7" s="19" t="s">
        <v>18</v>
      </c>
      <c r="G7" s="19" t="s">
        <v>19</v>
      </c>
      <c r="H7" s="19">
        <v>2023</v>
      </c>
      <c r="I7" s="73">
        <v>45041</v>
      </c>
      <c r="J7" s="19" t="s">
        <v>20</v>
      </c>
      <c r="K7" s="19" t="s">
        <v>21</v>
      </c>
      <c r="L7" s="75">
        <v>45082</v>
      </c>
      <c r="M7" s="6" t="s">
        <v>22</v>
      </c>
      <c r="N7" s="19" t="s">
        <v>23</v>
      </c>
      <c r="O7" s="6"/>
      <c r="P7" s="6" t="s">
        <v>24</v>
      </c>
    </row>
    <row r="8" spans="1:16" ht="40.5" customHeight="1">
      <c r="A8" s="6" t="s">
        <v>16</v>
      </c>
      <c r="B8" s="6" t="s">
        <v>30</v>
      </c>
      <c r="C8" s="53">
        <v>10337455</v>
      </c>
      <c r="D8" s="18">
        <v>3</v>
      </c>
      <c r="E8" s="69">
        <v>60.4876712328767</v>
      </c>
      <c r="F8" s="19" t="s">
        <v>18</v>
      </c>
      <c r="G8" s="19" t="s">
        <v>19</v>
      </c>
      <c r="H8" s="19">
        <v>2020</v>
      </c>
      <c r="I8" s="73">
        <v>44019</v>
      </c>
      <c r="J8" s="19" t="s">
        <v>31</v>
      </c>
      <c r="K8" s="19" t="s">
        <v>32</v>
      </c>
      <c r="L8" s="75">
        <v>44053</v>
      </c>
      <c r="M8" s="6" t="s">
        <v>33</v>
      </c>
      <c r="N8" s="19" t="s">
        <v>34</v>
      </c>
      <c r="O8" s="6"/>
      <c r="P8" s="6" t="s">
        <v>24</v>
      </c>
    </row>
    <row r="9" spans="1:16" ht="40.5" customHeight="1">
      <c r="A9" s="6" t="s">
        <v>16</v>
      </c>
      <c r="B9" s="6" t="s">
        <v>35</v>
      </c>
      <c r="C9" s="53">
        <v>4905907</v>
      </c>
      <c r="D9" s="18">
        <v>8</v>
      </c>
      <c r="E9" s="69">
        <v>77.608219178082194</v>
      </c>
      <c r="F9" s="19" t="s">
        <v>26</v>
      </c>
      <c r="G9" s="19" t="s">
        <v>19</v>
      </c>
      <c r="H9" s="19">
        <v>2022</v>
      </c>
      <c r="I9" s="73">
        <v>44714</v>
      </c>
      <c r="J9" s="19" t="s">
        <v>20</v>
      </c>
      <c r="K9" s="19" t="s">
        <v>21</v>
      </c>
      <c r="L9" s="75">
        <v>44893</v>
      </c>
      <c r="M9" s="6" t="s">
        <v>22</v>
      </c>
      <c r="N9" s="19" t="s">
        <v>23</v>
      </c>
      <c r="O9" s="6"/>
      <c r="P9" s="6" t="s">
        <v>24</v>
      </c>
    </row>
    <row r="10" spans="1:16" ht="40.5" customHeight="1">
      <c r="A10" s="6" t="s">
        <v>16</v>
      </c>
      <c r="B10" s="6" t="s">
        <v>36</v>
      </c>
      <c r="C10" s="98">
        <v>2968531</v>
      </c>
      <c r="D10" s="18">
        <v>2</v>
      </c>
      <c r="E10" s="69">
        <v>93</v>
      </c>
      <c r="F10" s="19" t="s">
        <v>37</v>
      </c>
      <c r="G10" s="19" t="s">
        <v>19</v>
      </c>
      <c r="H10" s="19">
        <v>2023</v>
      </c>
      <c r="I10" s="73">
        <v>44930</v>
      </c>
      <c r="J10" s="19" t="s">
        <v>20</v>
      </c>
      <c r="K10" s="19" t="s">
        <v>21</v>
      </c>
      <c r="L10" s="75">
        <v>44991</v>
      </c>
      <c r="M10" s="6" t="s">
        <v>22</v>
      </c>
      <c r="N10" s="19" t="s">
        <v>23</v>
      </c>
      <c r="O10" s="6"/>
      <c r="P10" s="6" t="s">
        <v>24</v>
      </c>
    </row>
    <row r="11" spans="1:16" ht="40.5" customHeight="1">
      <c r="A11" s="6" t="s">
        <v>16</v>
      </c>
      <c r="B11" s="99" t="s">
        <v>38</v>
      </c>
      <c r="C11" s="53">
        <v>12426199</v>
      </c>
      <c r="D11" s="18">
        <v>6</v>
      </c>
      <c r="E11" s="69">
        <v>50.736986301369903</v>
      </c>
      <c r="F11" s="19" t="s">
        <v>18</v>
      </c>
      <c r="G11" s="19" t="s">
        <v>19</v>
      </c>
      <c r="H11" s="19">
        <v>2022</v>
      </c>
      <c r="I11" s="73">
        <v>44572</v>
      </c>
      <c r="J11" s="19" t="s">
        <v>20</v>
      </c>
      <c r="K11" s="19" t="s">
        <v>32</v>
      </c>
      <c r="L11" s="75">
        <v>44585</v>
      </c>
      <c r="M11" s="6" t="s">
        <v>39</v>
      </c>
      <c r="N11" s="19" t="s">
        <v>40</v>
      </c>
      <c r="O11" s="6"/>
      <c r="P11" s="6" t="s">
        <v>24</v>
      </c>
    </row>
    <row r="12" spans="1:16" ht="40.5" customHeight="1">
      <c r="A12" s="6" t="s">
        <v>16</v>
      </c>
      <c r="B12" s="99" t="s">
        <v>41</v>
      </c>
      <c r="C12" s="53">
        <v>6568379</v>
      </c>
      <c r="D12" s="18">
        <v>2</v>
      </c>
      <c r="E12" s="69">
        <v>70.197260273972603</v>
      </c>
      <c r="F12" s="19" t="s">
        <v>37</v>
      </c>
      <c r="G12" s="19" t="s">
        <v>19</v>
      </c>
      <c r="H12" s="19">
        <v>2022</v>
      </c>
      <c r="I12" s="73">
        <v>44572</v>
      </c>
      <c r="J12" s="19" t="s">
        <v>31</v>
      </c>
      <c r="K12" s="19" t="s">
        <v>21</v>
      </c>
      <c r="L12" s="75">
        <v>44585</v>
      </c>
      <c r="M12" s="6" t="s">
        <v>42</v>
      </c>
      <c r="N12" s="19" t="s">
        <v>43</v>
      </c>
      <c r="O12" s="6"/>
      <c r="P12" s="6" t="s">
        <v>44</v>
      </c>
    </row>
    <row r="13" spans="1:16" ht="40.5" customHeight="1">
      <c r="A13" s="6" t="s">
        <v>16</v>
      </c>
      <c r="B13" s="99" t="s">
        <v>45</v>
      </c>
      <c r="C13" s="53">
        <v>12717745</v>
      </c>
      <c r="D13" s="18">
        <v>7</v>
      </c>
      <c r="E13" s="19">
        <v>48</v>
      </c>
      <c r="F13" s="19" t="s">
        <v>37</v>
      </c>
      <c r="G13" s="19" t="s">
        <v>19</v>
      </c>
      <c r="H13" s="19">
        <v>2020</v>
      </c>
      <c r="I13" s="73">
        <v>44126</v>
      </c>
      <c r="J13" s="19" t="s">
        <v>31</v>
      </c>
      <c r="K13" s="19" t="s">
        <v>21</v>
      </c>
      <c r="L13" s="75">
        <v>44140</v>
      </c>
      <c r="M13" s="6"/>
      <c r="N13" s="19" t="s">
        <v>43</v>
      </c>
      <c r="O13" s="6"/>
      <c r="P13" s="6" t="s">
        <v>44</v>
      </c>
    </row>
    <row r="14" spans="1:16" ht="40.5" customHeight="1">
      <c r="A14" s="6" t="s">
        <v>16</v>
      </c>
      <c r="B14" s="99" t="s">
        <v>46</v>
      </c>
      <c r="C14" s="134">
        <v>14310892</v>
      </c>
      <c r="D14" s="18">
        <v>9</v>
      </c>
      <c r="E14" s="19">
        <v>46</v>
      </c>
      <c r="F14" s="19" t="s">
        <v>18</v>
      </c>
      <c r="G14" s="19" t="s">
        <v>19</v>
      </c>
      <c r="H14" s="19">
        <v>2023</v>
      </c>
      <c r="I14" s="73">
        <v>45054</v>
      </c>
      <c r="J14" s="19" t="s">
        <v>31</v>
      </c>
      <c r="K14" s="19" t="s">
        <v>32</v>
      </c>
      <c r="L14" s="75">
        <v>45068</v>
      </c>
      <c r="M14" s="6" t="s">
        <v>47</v>
      </c>
      <c r="N14" s="19" t="s">
        <v>43</v>
      </c>
      <c r="O14" s="6"/>
      <c r="P14" s="6" t="s">
        <v>44</v>
      </c>
    </row>
    <row r="15" spans="1:16" ht="40.5" customHeight="1">
      <c r="A15" s="6" t="s">
        <v>16</v>
      </c>
      <c r="B15" s="99" t="s">
        <v>48</v>
      </c>
      <c r="C15" s="53">
        <v>6073427</v>
      </c>
      <c r="D15" s="18">
        <v>5</v>
      </c>
      <c r="E15" s="19">
        <v>75</v>
      </c>
      <c r="F15" s="19"/>
      <c r="G15" s="19" t="s">
        <v>19</v>
      </c>
      <c r="H15" s="19">
        <v>2020</v>
      </c>
      <c r="I15" s="73">
        <v>44168</v>
      </c>
      <c r="J15" s="19" t="s">
        <v>49</v>
      </c>
      <c r="K15" s="19" t="s">
        <v>21</v>
      </c>
      <c r="L15" s="6"/>
      <c r="M15" s="6"/>
      <c r="N15" s="19" t="s">
        <v>34</v>
      </c>
      <c r="O15" s="6" t="s">
        <v>27</v>
      </c>
      <c r="P15" s="6" t="s">
        <v>24</v>
      </c>
    </row>
    <row r="16" spans="1:16" ht="40.5" customHeight="1">
      <c r="A16" s="6" t="s">
        <v>16</v>
      </c>
      <c r="B16" s="99" t="s">
        <v>50</v>
      </c>
      <c r="C16" s="53">
        <v>19770322</v>
      </c>
      <c r="D16" s="18">
        <v>9</v>
      </c>
      <c r="E16" s="69">
        <v>26</v>
      </c>
      <c r="F16" s="19" t="s">
        <v>51</v>
      </c>
      <c r="G16" s="19" t="s">
        <v>19</v>
      </c>
      <c r="H16" s="19">
        <v>2023</v>
      </c>
      <c r="I16" s="73">
        <v>45271</v>
      </c>
      <c r="J16" s="19" t="s">
        <v>49</v>
      </c>
      <c r="K16" s="19" t="s">
        <v>52</v>
      </c>
      <c r="L16" s="75"/>
      <c r="M16" s="6"/>
      <c r="N16" s="19" t="s">
        <v>40</v>
      </c>
      <c r="O16" s="6" t="s">
        <v>27</v>
      </c>
      <c r="P16" s="6" t="s">
        <v>44</v>
      </c>
    </row>
    <row r="17" spans="1:16" ht="40.5" customHeight="1">
      <c r="A17" s="6" t="s">
        <v>16</v>
      </c>
      <c r="B17" s="6" t="s">
        <v>53</v>
      </c>
      <c r="C17" s="53">
        <v>10305663</v>
      </c>
      <c r="D17" s="18">
        <v>2</v>
      </c>
      <c r="E17" s="19">
        <v>55</v>
      </c>
      <c r="F17" s="19" t="s">
        <v>26</v>
      </c>
      <c r="G17" s="19" t="s">
        <v>54</v>
      </c>
      <c r="H17" s="19">
        <v>2020</v>
      </c>
      <c r="I17" s="73">
        <v>44123</v>
      </c>
      <c r="J17" s="19" t="s">
        <v>31</v>
      </c>
      <c r="K17" s="19" t="s">
        <v>21</v>
      </c>
      <c r="L17" s="6"/>
      <c r="M17" s="6"/>
      <c r="N17" s="19" t="s">
        <v>43</v>
      </c>
      <c r="O17" s="6" t="s">
        <v>27</v>
      </c>
      <c r="P17" s="6" t="s">
        <v>44</v>
      </c>
    </row>
    <row r="18" spans="1:16" ht="40.5" customHeight="1">
      <c r="A18" s="6" t="s">
        <v>16</v>
      </c>
      <c r="B18" s="6" t="s">
        <v>55</v>
      </c>
      <c r="C18" s="53">
        <v>5791284</v>
      </c>
      <c r="D18" s="18">
        <v>7</v>
      </c>
      <c r="E18" s="19">
        <v>76</v>
      </c>
      <c r="F18" s="19" t="s">
        <v>18</v>
      </c>
      <c r="G18" s="19" t="s">
        <v>54</v>
      </c>
      <c r="H18" s="19"/>
      <c r="I18" s="19"/>
      <c r="J18" s="19"/>
      <c r="K18" s="19"/>
      <c r="L18" s="6"/>
      <c r="M18" s="6"/>
      <c r="N18" s="19"/>
      <c r="O18" s="6" t="s">
        <v>27</v>
      </c>
      <c r="P18" s="6" t="s">
        <v>24</v>
      </c>
    </row>
    <row r="19" spans="1:16" ht="40.5" customHeight="1">
      <c r="A19" s="6" t="s">
        <v>16</v>
      </c>
      <c r="B19" s="6" t="s">
        <v>56</v>
      </c>
      <c r="C19" s="53">
        <v>9102190</v>
      </c>
      <c r="D19" s="18">
        <v>0</v>
      </c>
      <c r="E19" s="19">
        <v>63</v>
      </c>
      <c r="F19" s="19" t="s">
        <v>18</v>
      </c>
      <c r="G19" s="19" t="s">
        <v>54</v>
      </c>
      <c r="H19" s="19">
        <v>2022</v>
      </c>
      <c r="I19" s="73">
        <v>44736</v>
      </c>
      <c r="J19" s="19" t="s">
        <v>20</v>
      </c>
      <c r="K19" s="19" t="s">
        <v>32</v>
      </c>
      <c r="L19" s="6"/>
      <c r="M19" s="6"/>
      <c r="N19" s="19" t="s">
        <v>34</v>
      </c>
      <c r="O19" s="6" t="s">
        <v>27</v>
      </c>
      <c r="P19" s="6" t="s">
        <v>24</v>
      </c>
    </row>
    <row r="20" spans="1:16" ht="40.5" customHeight="1">
      <c r="A20" s="6" t="s">
        <v>16</v>
      </c>
      <c r="B20" s="6" t="s">
        <v>57</v>
      </c>
      <c r="C20" s="53">
        <v>5887164</v>
      </c>
      <c r="D20" s="18">
        <v>8</v>
      </c>
      <c r="E20" s="19">
        <v>75</v>
      </c>
      <c r="F20" s="19" t="s">
        <v>26</v>
      </c>
      <c r="G20" s="19" t="s">
        <v>54</v>
      </c>
      <c r="H20" s="19"/>
      <c r="I20" s="19"/>
      <c r="J20" s="19" t="s">
        <v>20</v>
      </c>
      <c r="K20" s="19" t="s">
        <v>52</v>
      </c>
      <c r="L20" s="6"/>
      <c r="M20" s="6"/>
      <c r="N20" s="19" t="s">
        <v>58</v>
      </c>
      <c r="O20" s="6" t="s">
        <v>27</v>
      </c>
      <c r="P20" s="6" t="s">
        <v>24</v>
      </c>
    </row>
    <row r="21" spans="1:16" ht="40.5" customHeight="1">
      <c r="A21" s="6" t="s">
        <v>59</v>
      </c>
      <c r="B21" s="135" t="s">
        <v>60</v>
      </c>
      <c r="C21" s="53">
        <v>6051320</v>
      </c>
      <c r="D21" s="18">
        <v>1</v>
      </c>
      <c r="E21" s="19">
        <v>77</v>
      </c>
      <c r="F21" s="19" t="s">
        <v>18</v>
      </c>
      <c r="G21" s="19" t="s">
        <v>61</v>
      </c>
      <c r="H21" s="19">
        <v>2023</v>
      </c>
      <c r="I21" s="73">
        <v>45133</v>
      </c>
      <c r="J21" s="19" t="s">
        <v>62</v>
      </c>
      <c r="K21" s="19" t="s">
        <v>21</v>
      </c>
      <c r="L21" s="6"/>
      <c r="M21" s="6"/>
      <c r="N21" s="19" t="s">
        <v>23</v>
      </c>
      <c r="O21" s="6" t="s">
        <v>27</v>
      </c>
      <c r="P21" s="6" t="s">
        <v>24</v>
      </c>
    </row>
    <row r="22" spans="1:16" ht="40.5" customHeight="1">
      <c r="A22" s="6" t="s">
        <v>59</v>
      </c>
      <c r="B22" s="135" t="s">
        <v>63</v>
      </c>
      <c r="C22" s="134">
        <v>7657546</v>
      </c>
      <c r="D22" s="136">
        <v>0</v>
      </c>
      <c r="E22" s="137">
        <v>67</v>
      </c>
      <c r="F22" s="19" t="s">
        <v>64</v>
      </c>
      <c r="G22" s="19" t="s">
        <v>61</v>
      </c>
      <c r="H22" s="19">
        <v>2022</v>
      </c>
      <c r="I22" s="140">
        <v>44782</v>
      </c>
      <c r="J22" s="137" t="s">
        <v>20</v>
      </c>
      <c r="K22" s="137" t="s">
        <v>21</v>
      </c>
      <c r="L22" s="6"/>
      <c r="M22" s="6"/>
      <c r="N22" s="137" t="s">
        <v>23</v>
      </c>
      <c r="O22" s="6" t="s">
        <v>27</v>
      </c>
      <c r="P22" s="6" t="s">
        <v>24</v>
      </c>
    </row>
    <row r="23" spans="1:16" ht="40.5" customHeight="1">
      <c r="A23" s="6" t="s">
        <v>59</v>
      </c>
      <c r="B23" s="6" t="s">
        <v>65</v>
      </c>
      <c r="C23" s="138">
        <v>5793673</v>
      </c>
      <c r="D23" s="18">
        <v>8</v>
      </c>
      <c r="E23" s="19">
        <v>75</v>
      </c>
      <c r="F23" s="19" t="s">
        <v>18</v>
      </c>
      <c r="G23" s="19" t="s">
        <v>61</v>
      </c>
      <c r="H23" s="19">
        <v>2023</v>
      </c>
      <c r="I23" s="73">
        <v>45180</v>
      </c>
      <c r="J23" s="19" t="s">
        <v>20</v>
      </c>
      <c r="K23" s="19" t="s">
        <v>21</v>
      </c>
      <c r="L23" s="6"/>
      <c r="M23" s="6"/>
      <c r="N23" s="19" t="s">
        <v>23</v>
      </c>
      <c r="O23" s="6" t="s">
        <v>27</v>
      </c>
      <c r="P23" s="6" t="s">
        <v>24</v>
      </c>
    </row>
    <row r="24" spans="1:16" ht="40.5" customHeight="1">
      <c r="A24" s="6" t="s">
        <v>59</v>
      </c>
      <c r="B24" s="6" t="s">
        <v>66</v>
      </c>
      <c r="C24" s="53">
        <v>3829662</v>
      </c>
      <c r="D24" s="18">
        <v>0</v>
      </c>
      <c r="E24" s="19">
        <v>88</v>
      </c>
      <c r="F24" s="19" t="s">
        <v>18</v>
      </c>
      <c r="G24" s="19" t="s">
        <v>61</v>
      </c>
      <c r="H24" s="19">
        <v>2023</v>
      </c>
      <c r="I24" s="73">
        <v>45244</v>
      </c>
      <c r="J24" s="19" t="s">
        <v>20</v>
      </c>
      <c r="K24" s="19" t="s">
        <v>21</v>
      </c>
      <c r="L24" s="6"/>
      <c r="M24" s="6"/>
      <c r="N24" s="19" t="s">
        <v>58</v>
      </c>
      <c r="O24" s="6" t="s">
        <v>27</v>
      </c>
      <c r="P24" s="6" t="s">
        <v>24</v>
      </c>
    </row>
    <row r="25" spans="1:16" ht="40.5" customHeight="1">
      <c r="A25" s="6" t="s">
        <v>16</v>
      </c>
      <c r="B25" s="6" t="s">
        <v>67</v>
      </c>
      <c r="C25" s="53">
        <v>6127805</v>
      </c>
      <c r="D25" s="18">
        <v>2</v>
      </c>
      <c r="E25" s="69">
        <v>72.589041095890394</v>
      </c>
      <c r="F25" s="19" t="s">
        <v>37</v>
      </c>
      <c r="G25" s="19" t="s">
        <v>68</v>
      </c>
      <c r="H25" s="19">
        <v>2012</v>
      </c>
      <c r="I25" s="73">
        <v>41099</v>
      </c>
      <c r="J25" s="19" t="s">
        <v>31</v>
      </c>
      <c r="K25" s="19" t="s">
        <v>21</v>
      </c>
      <c r="L25" s="6"/>
      <c r="M25" s="6"/>
      <c r="N25" s="19" t="s">
        <v>23</v>
      </c>
      <c r="O25" s="6" t="s">
        <v>27</v>
      </c>
      <c r="P25" s="6" t="s">
        <v>69</v>
      </c>
    </row>
    <row r="26" spans="1:16" ht="40.5" customHeight="1">
      <c r="A26" s="6" t="s">
        <v>16</v>
      </c>
      <c r="B26" s="6" t="s">
        <v>70</v>
      </c>
      <c r="C26" s="53">
        <v>6250827</v>
      </c>
      <c r="D26" s="18">
        <v>2</v>
      </c>
      <c r="E26" s="19">
        <v>74</v>
      </c>
      <c r="F26" s="19"/>
      <c r="G26" s="19" t="s">
        <v>71</v>
      </c>
      <c r="H26" s="19"/>
      <c r="I26" s="19"/>
      <c r="J26" s="19"/>
      <c r="K26" s="19"/>
      <c r="L26" s="6"/>
      <c r="M26" s="6"/>
      <c r="N26" s="19"/>
      <c r="O26" s="6" t="s">
        <v>27</v>
      </c>
      <c r="P26" s="6" t="s">
        <v>24</v>
      </c>
    </row>
    <row r="27" spans="1:16" ht="40.5" customHeight="1">
      <c r="A27" s="6" t="s">
        <v>16</v>
      </c>
      <c r="B27" s="6" t="s">
        <v>72</v>
      </c>
      <c r="C27" s="53">
        <v>5252902</v>
      </c>
      <c r="D27" s="18">
        <v>6</v>
      </c>
      <c r="E27" s="69">
        <v>80</v>
      </c>
      <c r="F27" s="19" t="s">
        <v>64</v>
      </c>
      <c r="G27" s="19" t="s">
        <v>54</v>
      </c>
      <c r="H27" s="19">
        <v>2024</v>
      </c>
      <c r="I27" s="73">
        <v>45299</v>
      </c>
      <c r="J27" s="19"/>
      <c r="K27" s="19" t="s">
        <v>73</v>
      </c>
      <c r="L27" s="6"/>
      <c r="M27" s="6"/>
      <c r="N27" s="19"/>
      <c r="O27" s="6" t="s">
        <v>27</v>
      </c>
      <c r="P27" s="6" t="s">
        <v>28</v>
      </c>
    </row>
    <row r="28" spans="1:16" ht="40.5" customHeight="1">
      <c r="A28" s="6" t="s">
        <v>16</v>
      </c>
      <c r="B28" s="6" t="s">
        <v>74</v>
      </c>
      <c r="C28" s="53">
        <v>10337455</v>
      </c>
      <c r="D28" s="18">
        <v>3</v>
      </c>
      <c r="E28" s="19">
        <v>60</v>
      </c>
      <c r="F28" s="19" t="s">
        <v>18</v>
      </c>
      <c r="G28" s="19" t="s">
        <v>68</v>
      </c>
      <c r="H28" s="19">
        <v>2023</v>
      </c>
      <c r="I28" s="73">
        <v>44931</v>
      </c>
      <c r="J28" s="19"/>
      <c r="K28" s="19" t="s">
        <v>21</v>
      </c>
      <c r="L28" s="6"/>
      <c r="M28" s="6"/>
      <c r="N28" s="19" t="s">
        <v>58</v>
      </c>
      <c r="O28" s="6" t="s">
        <v>27</v>
      </c>
      <c r="P28" s="6" t="s">
        <v>24</v>
      </c>
    </row>
    <row r="29" spans="1:16" ht="40.5" customHeight="1">
      <c r="A29" s="6" t="s">
        <v>16</v>
      </c>
      <c r="B29" s="6" t="s">
        <v>75</v>
      </c>
      <c r="C29" s="53">
        <v>4725923</v>
      </c>
      <c r="D29" s="18">
        <v>1</v>
      </c>
      <c r="E29" s="69">
        <v>81.115068493150702</v>
      </c>
      <c r="F29" s="19" t="s">
        <v>18</v>
      </c>
      <c r="G29" s="19" t="s">
        <v>68</v>
      </c>
      <c r="H29" s="19">
        <v>2022</v>
      </c>
      <c r="I29" s="103">
        <v>44790</v>
      </c>
      <c r="J29" s="19" t="s">
        <v>20</v>
      </c>
      <c r="K29" s="45" t="s">
        <v>32</v>
      </c>
      <c r="L29" s="6"/>
      <c r="M29" s="6"/>
      <c r="N29" s="45" t="s">
        <v>34</v>
      </c>
      <c r="O29" s="6" t="s">
        <v>27</v>
      </c>
      <c r="P29" s="6" t="s">
        <v>24</v>
      </c>
    </row>
    <row r="30" spans="1:16" ht="40.5" customHeight="1">
      <c r="A30" s="6" t="s">
        <v>16</v>
      </c>
      <c r="B30" s="6" t="s">
        <v>76</v>
      </c>
      <c r="C30" s="53">
        <v>10796485</v>
      </c>
      <c r="D30" s="18">
        <v>1</v>
      </c>
      <c r="E30" s="19"/>
      <c r="F30" s="19" t="s">
        <v>51</v>
      </c>
      <c r="G30" s="19" t="s">
        <v>68</v>
      </c>
      <c r="H30" s="19"/>
      <c r="I30" s="61"/>
      <c r="J30" s="61"/>
      <c r="K30" s="61"/>
      <c r="L30" s="6"/>
      <c r="M30" s="6"/>
      <c r="N30" s="61"/>
      <c r="O30" s="6" t="s">
        <v>27</v>
      </c>
      <c r="P30" s="6" t="s">
        <v>44</v>
      </c>
    </row>
    <row r="31" spans="1:16" ht="40.5" customHeight="1">
      <c r="A31" s="6" t="s">
        <v>16</v>
      </c>
      <c r="B31" s="6" t="s">
        <v>77</v>
      </c>
      <c r="C31" s="53">
        <v>7964017</v>
      </c>
      <c r="D31" s="18">
        <v>4</v>
      </c>
      <c r="E31" s="19">
        <v>64</v>
      </c>
      <c r="F31" s="19" t="s">
        <v>64</v>
      </c>
      <c r="G31" s="19" t="s">
        <v>68</v>
      </c>
      <c r="H31" s="19">
        <v>2023</v>
      </c>
      <c r="I31" s="73">
        <v>45078</v>
      </c>
      <c r="J31" s="19" t="s">
        <v>20</v>
      </c>
      <c r="K31" s="19" t="s">
        <v>32</v>
      </c>
      <c r="L31" s="6"/>
      <c r="M31" s="6"/>
      <c r="N31" s="19" t="s">
        <v>34</v>
      </c>
      <c r="O31" s="6" t="s">
        <v>27</v>
      </c>
      <c r="P31" s="6" t="s">
        <v>24</v>
      </c>
    </row>
    <row r="32" spans="1:16" s="42" customFormat="1" ht="40.5" customHeight="1">
      <c r="A32" s="64" t="s">
        <v>59</v>
      </c>
      <c r="B32" s="64" t="s">
        <v>78</v>
      </c>
      <c r="C32" s="62">
        <v>7357784</v>
      </c>
      <c r="D32" s="115">
        <v>5</v>
      </c>
      <c r="E32" s="80"/>
      <c r="F32" s="80"/>
      <c r="G32" s="80"/>
      <c r="H32" s="80"/>
      <c r="I32" s="80"/>
      <c r="J32" s="80"/>
      <c r="K32" s="80"/>
      <c r="L32" s="64"/>
      <c r="M32" s="64"/>
      <c r="N32" s="80"/>
      <c r="O32" s="6" t="s">
        <v>27</v>
      </c>
      <c r="P32" s="6" t="s">
        <v>24</v>
      </c>
    </row>
    <row r="33" spans="1:16" ht="40.5" customHeight="1">
      <c r="A33" s="6" t="s">
        <v>59</v>
      </c>
      <c r="B33" s="6" t="s">
        <v>79</v>
      </c>
      <c r="C33" s="53">
        <v>12571807</v>
      </c>
      <c r="D33" s="18">
        <v>8</v>
      </c>
      <c r="E33" s="19"/>
      <c r="F33" s="19" t="s">
        <v>18</v>
      </c>
      <c r="G33" s="19" t="s">
        <v>80</v>
      </c>
      <c r="H33" s="19"/>
      <c r="I33" s="19"/>
      <c r="J33" s="19"/>
      <c r="K33" s="19"/>
      <c r="L33" s="6"/>
      <c r="M33" s="6"/>
      <c r="N33" s="19"/>
      <c r="O33" s="6" t="s">
        <v>27</v>
      </c>
      <c r="P33" s="6" t="s">
        <v>24</v>
      </c>
    </row>
    <row r="34" spans="1:16" ht="40.5" customHeight="1">
      <c r="A34" s="6" t="s">
        <v>59</v>
      </c>
      <c r="B34" s="6" t="s">
        <v>56</v>
      </c>
      <c r="C34" s="53">
        <v>9102190</v>
      </c>
      <c r="D34" s="18">
        <v>0</v>
      </c>
      <c r="E34" s="19"/>
      <c r="F34" s="19" t="s">
        <v>18</v>
      </c>
      <c r="G34" s="19" t="s">
        <v>54</v>
      </c>
      <c r="H34" s="19"/>
      <c r="I34" s="19"/>
      <c r="J34" s="19"/>
      <c r="K34" s="19"/>
      <c r="L34" s="6"/>
      <c r="M34" s="6"/>
      <c r="N34" s="19"/>
      <c r="O34" s="6" t="s">
        <v>27</v>
      </c>
      <c r="P34" s="6" t="s">
        <v>24</v>
      </c>
    </row>
    <row r="35" spans="1:16" ht="40.5" customHeight="1">
      <c r="A35" s="6" t="s">
        <v>59</v>
      </c>
      <c r="B35" s="6" t="s">
        <v>81</v>
      </c>
      <c r="C35" s="53">
        <v>3691515</v>
      </c>
      <c r="D35" s="18">
        <v>3</v>
      </c>
      <c r="E35" s="19"/>
      <c r="F35" s="19" t="s">
        <v>64</v>
      </c>
      <c r="G35" s="19" t="s">
        <v>82</v>
      </c>
      <c r="H35" s="19"/>
      <c r="I35" s="19"/>
      <c r="J35" s="19"/>
      <c r="K35" s="19"/>
      <c r="L35" s="6"/>
      <c r="M35" s="6"/>
      <c r="N35" s="19"/>
      <c r="O35" s="6" t="s">
        <v>27</v>
      </c>
      <c r="P35" s="6" t="s">
        <v>24</v>
      </c>
    </row>
    <row r="36" spans="1:16" ht="40.5" customHeight="1">
      <c r="A36" s="6" t="s">
        <v>59</v>
      </c>
      <c r="B36" s="6" t="s">
        <v>83</v>
      </c>
      <c r="C36" s="53">
        <v>8364590</v>
      </c>
      <c r="D36" s="18">
        <v>3</v>
      </c>
      <c r="E36" s="19"/>
      <c r="F36" s="19" t="s">
        <v>18</v>
      </c>
      <c r="G36" s="19"/>
      <c r="H36" s="19"/>
      <c r="I36" s="19"/>
      <c r="J36" s="19"/>
      <c r="K36" s="19"/>
      <c r="L36" s="6"/>
      <c r="M36" s="6"/>
      <c r="N36" s="19"/>
      <c r="O36" s="6" t="s">
        <v>27</v>
      </c>
      <c r="P36" s="6" t="s">
        <v>24</v>
      </c>
    </row>
    <row r="37" spans="1:16" ht="40.5" customHeight="1">
      <c r="A37" s="6" t="s">
        <v>59</v>
      </c>
      <c r="B37" s="6" t="s">
        <v>84</v>
      </c>
      <c r="C37" s="53">
        <v>3998593</v>
      </c>
      <c r="D37" s="18">
        <v>4</v>
      </c>
      <c r="E37" s="19"/>
      <c r="F37" s="19" t="s">
        <v>18</v>
      </c>
      <c r="G37" s="19" t="s">
        <v>82</v>
      </c>
      <c r="H37" s="19"/>
      <c r="I37" s="19"/>
      <c r="J37" s="19"/>
      <c r="K37" s="19"/>
      <c r="L37" s="6"/>
      <c r="M37" s="6"/>
      <c r="N37" s="19"/>
      <c r="O37" s="6" t="s">
        <v>27</v>
      </c>
      <c r="P37" s="6" t="s">
        <v>24</v>
      </c>
    </row>
    <row r="38" spans="1:16" ht="40.5" customHeight="1">
      <c r="A38" s="6" t="s">
        <v>59</v>
      </c>
      <c r="B38" s="6" t="s">
        <v>85</v>
      </c>
      <c r="C38" s="53">
        <v>8995479</v>
      </c>
      <c r="D38" s="18">
        <v>7</v>
      </c>
      <c r="E38" s="19">
        <v>65</v>
      </c>
      <c r="F38" s="19" t="s">
        <v>64</v>
      </c>
      <c r="G38" s="19"/>
      <c r="H38" s="19"/>
      <c r="I38" s="19"/>
      <c r="J38" s="19"/>
      <c r="K38" s="19"/>
      <c r="L38" s="6"/>
      <c r="M38" s="6"/>
      <c r="N38" s="19"/>
      <c r="O38" s="6" t="s">
        <v>27</v>
      </c>
      <c r="P38" s="6" t="s">
        <v>24</v>
      </c>
    </row>
    <row r="39" spans="1:16" ht="40.5" customHeight="1">
      <c r="A39" s="6" t="s">
        <v>59</v>
      </c>
      <c r="B39" s="6" t="s">
        <v>86</v>
      </c>
      <c r="C39" s="53">
        <v>6549504</v>
      </c>
      <c r="D39" s="18" t="s">
        <v>87</v>
      </c>
      <c r="E39" s="19">
        <v>81</v>
      </c>
      <c r="F39" s="19" t="s">
        <v>88</v>
      </c>
      <c r="G39" s="19" t="s">
        <v>80</v>
      </c>
      <c r="H39" s="19"/>
      <c r="I39" s="19"/>
      <c r="J39" s="19"/>
      <c r="K39" s="19"/>
      <c r="L39" s="6"/>
      <c r="M39" s="6"/>
      <c r="N39" s="19"/>
      <c r="O39" s="6" t="s">
        <v>27</v>
      </c>
      <c r="P39" s="6" t="s">
        <v>24</v>
      </c>
    </row>
    <row r="40" spans="1:16" ht="40.5" customHeight="1">
      <c r="A40" s="6" t="s">
        <v>59</v>
      </c>
      <c r="B40" s="6" t="s">
        <v>89</v>
      </c>
      <c r="C40" s="53">
        <v>7317731</v>
      </c>
      <c r="D40" s="18">
        <v>6</v>
      </c>
      <c r="E40" s="19">
        <v>66</v>
      </c>
      <c r="F40" s="19" t="s">
        <v>18</v>
      </c>
      <c r="G40" s="19" t="s">
        <v>82</v>
      </c>
      <c r="H40" s="19"/>
      <c r="I40" s="19"/>
      <c r="J40" s="19"/>
      <c r="K40" s="19"/>
      <c r="L40" s="6"/>
      <c r="M40" s="6"/>
      <c r="N40" s="19"/>
      <c r="O40" s="6" t="s">
        <v>27</v>
      </c>
      <c r="P40" s="6" t="s">
        <v>24</v>
      </c>
    </row>
    <row r="41" spans="1:16" ht="40.5" customHeight="1">
      <c r="A41" s="6" t="s">
        <v>59</v>
      </c>
      <c r="B41" s="6" t="s">
        <v>90</v>
      </c>
      <c r="C41" s="53">
        <v>5500842</v>
      </c>
      <c r="D41" s="18">
        <v>6</v>
      </c>
      <c r="E41" s="19">
        <v>82</v>
      </c>
      <c r="F41" s="19" t="s">
        <v>64</v>
      </c>
      <c r="G41" s="19" t="s">
        <v>82</v>
      </c>
      <c r="H41" s="19"/>
      <c r="I41" s="19"/>
      <c r="J41" s="19"/>
      <c r="K41" s="19"/>
      <c r="L41" s="6"/>
      <c r="M41" s="6"/>
      <c r="N41" s="19"/>
      <c r="O41" s="6" t="s">
        <v>27</v>
      </c>
      <c r="P41" s="6" t="s">
        <v>24</v>
      </c>
    </row>
    <row r="42" spans="1:16" ht="40.5" customHeight="1">
      <c r="A42" s="6" t="s">
        <v>59</v>
      </c>
      <c r="B42" s="6" t="s">
        <v>91</v>
      </c>
      <c r="C42" s="53">
        <v>10531133</v>
      </c>
      <c r="D42" s="18">
        <v>8</v>
      </c>
      <c r="E42" s="19">
        <v>57</v>
      </c>
      <c r="F42" s="19" t="s">
        <v>18</v>
      </c>
      <c r="G42" s="19"/>
      <c r="H42" s="19">
        <v>2023</v>
      </c>
      <c r="I42" s="73">
        <v>45077</v>
      </c>
      <c r="J42" s="19" t="s">
        <v>31</v>
      </c>
      <c r="K42" s="19" t="s">
        <v>92</v>
      </c>
      <c r="L42" s="6"/>
      <c r="M42" s="6"/>
      <c r="N42" s="19" t="s">
        <v>58</v>
      </c>
      <c r="O42" s="6" t="s">
        <v>27</v>
      </c>
      <c r="P42" s="6" t="s">
        <v>93</v>
      </c>
    </row>
    <row r="43" spans="1:16" ht="40.5" customHeight="1">
      <c r="A43" s="6" t="s">
        <v>59</v>
      </c>
      <c r="B43" s="6" t="s">
        <v>94</v>
      </c>
      <c r="C43" s="53">
        <v>20713915</v>
      </c>
      <c r="D43" s="18">
        <v>7</v>
      </c>
      <c r="E43" s="19">
        <v>22</v>
      </c>
      <c r="F43" s="19" t="s">
        <v>18</v>
      </c>
      <c r="G43" s="19" t="s">
        <v>95</v>
      </c>
      <c r="H43" s="19">
        <v>2022</v>
      </c>
      <c r="I43" s="73">
        <v>44922</v>
      </c>
      <c r="J43" s="19" t="s">
        <v>31</v>
      </c>
      <c r="K43" s="19" t="s">
        <v>92</v>
      </c>
      <c r="L43" s="75">
        <v>45257</v>
      </c>
      <c r="M43" s="6" t="s">
        <v>96</v>
      </c>
      <c r="N43" s="19" t="s">
        <v>34</v>
      </c>
      <c r="O43" s="6" t="s">
        <v>27</v>
      </c>
      <c r="P43" s="6" t="s">
        <v>44</v>
      </c>
    </row>
    <row r="44" spans="1:16" ht="40.5" customHeight="1">
      <c r="A44" s="6" t="s">
        <v>59</v>
      </c>
      <c r="B44" s="6" t="s">
        <v>97</v>
      </c>
      <c r="C44" s="53">
        <v>3998588</v>
      </c>
      <c r="D44" s="18">
        <v>8</v>
      </c>
      <c r="E44" s="19">
        <v>86</v>
      </c>
      <c r="F44" s="19" t="s">
        <v>64</v>
      </c>
      <c r="G44" s="19" t="s">
        <v>98</v>
      </c>
      <c r="H44" s="19"/>
      <c r="I44" s="19"/>
      <c r="J44" s="19"/>
      <c r="K44" s="19"/>
      <c r="L44" s="6"/>
      <c r="M44" s="6"/>
      <c r="N44" s="19"/>
      <c r="O44" s="6" t="s">
        <v>27</v>
      </c>
      <c r="P44" s="6" t="s">
        <v>24</v>
      </c>
    </row>
    <row r="45" spans="1:16" ht="40.5" customHeight="1">
      <c r="A45" s="6" t="s">
        <v>59</v>
      </c>
      <c r="B45" s="6" t="s">
        <v>99</v>
      </c>
      <c r="C45" s="53">
        <v>6313667</v>
      </c>
      <c r="D45" s="18">
        <v>0</v>
      </c>
      <c r="E45" s="19">
        <v>71</v>
      </c>
      <c r="F45" s="19" t="s">
        <v>18</v>
      </c>
      <c r="G45" s="19" t="s">
        <v>100</v>
      </c>
      <c r="H45" s="19"/>
      <c r="I45" s="19"/>
      <c r="J45" s="19"/>
      <c r="K45" s="19"/>
      <c r="L45" s="6"/>
      <c r="M45" s="6"/>
      <c r="N45" s="19"/>
      <c r="O45" s="6" t="s">
        <v>27</v>
      </c>
      <c r="P45" s="6" t="s">
        <v>24</v>
      </c>
    </row>
    <row r="46" spans="1:16" ht="40.5" customHeight="1">
      <c r="A46" s="6" t="s">
        <v>59</v>
      </c>
      <c r="B46" s="6" t="s">
        <v>101</v>
      </c>
      <c r="C46" s="53">
        <v>13330273</v>
      </c>
      <c r="D46" s="18">
        <v>5</v>
      </c>
      <c r="E46" s="19">
        <v>45</v>
      </c>
      <c r="F46" s="19" t="s">
        <v>18</v>
      </c>
      <c r="G46" s="19"/>
      <c r="H46" s="19">
        <v>2023</v>
      </c>
      <c r="I46" s="73">
        <v>45057</v>
      </c>
      <c r="J46" s="19"/>
      <c r="K46" s="19"/>
      <c r="L46" s="6"/>
      <c r="M46" s="6"/>
      <c r="N46" s="19"/>
      <c r="O46" s="6" t="s">
        <v>27</v>
      </c>
      <c r="P46" s="6" t="s">
        <v>93</v>
      </c>
    </row>
    <row r="47" spans="1:16" ht="40.5" customHeight="1">
      <c r="A47" s="6" t="s">
        <v>59</v>
      </c>
      <c r="B47" s="6" t="s">
        <v>102</v>
      </c>
      <c r="C47" s="53">
        <v>6614459</v>
      </c>
      <c r="D47" s="18">
        <v>3</v>
      </c>
      <c r="E47" s="19">
        <v>72</v>
      </c>
      <c r="F47" s="19" t="s">
        <v>18</v>
      </c>
      <c r="G47" s="19" t="s">
        <v>82</v>
      </c>
      <c r="H47" s="19"/>
      <c r="I47" s="19"/>
      <c r="J47" s="19"/>
      <c r="K47" s="19"/>
      <c r="L47" s="6"/>
      <c r="M47" s="6"/>
      <c r="N47" s="19"/>
      <c r="O47" s="6" t="s">
        <v>27</v>
      </c>
      <c r="P47" s="6" t="s">
        <v>24</v>
      </c>
    </row>
    <row r="48" spans="1:16" ht="40.5" customHeight="1">
      <c r="A48" s="6" t="s">
        <v>59</v>
      </c>
      <c r="B48" s="6" t="s">
        <v>103</v>
      </c>
      <c r="C48" s="53">
        <v>12044014</v>
      </c>
      <c r="D48" s="18">
        <v>4</v>
      </c>
      <c r="E48" s="19">
        <v>53</v>
      </c>
      <c r="F48" s="19" t="s">
        <v>18</v>
      </c>
      <c r="G48" s="19" t="s">
        <v>104</v>
      </c>
      <c r="H48" s="19">
        <v>2022</v>
      </c>
      <c r="I48" s="73">
        <v>44756</v>
      </c>
      <c r="J48" s="19" t="s">
        <v>31</v>
      </c>
      <c r="K48" s="19"/>
      <c r="L48" s="6"/>
      <c r="M48" s="6"/>
      <c r="N48" s="19"/>
      <c r="O48" s="6" t="s">
        <v>27</v>
      </c>
      <c r="P48" s="6" t="s">
        <v>93</v>
      </c>
    </row>
    <row r="49" spans="1:16" ht="40.5" customHeight="1">
      <c r="A49" s="6" t="s">
        <v>59</v>
      </c>
      <c r="B49" s="6" t="s">
        <v>105</v>
      </c>
      <c r="C49" s="53">
        <v>7345059</v>
      </c>
      <c r="D49" s="18">
        <v>4</v>
      </c>
      <c r="E49" s="19">
        <v>69</v>
      </c>
      <c r="F49" s="19" t="s">
        <v>18</v>
      </c>
      <c r="G49" s="19" t="s">
        <v>80</v>
      </c>
      <c r="H49" s="19"/>
      <c r="I49" s="19"/>
      <c r="J49" s="19"/>
      <c r="K49" s="19"/>
      <c r="L49" s="6"/>
      <c r="M49" s="6"/>
      <c r="N49" s="19"/>
      <c r="O49" s="6" t="s">
        <v>27</v>
      </c>
      <c r="P49" s="6" t="s">
        <v>24</v>
      </c>
    </row>
    <row r="50" spans="1:16" ht="40.5" customHeight="1">
      <c r="A50" s="6" t="s">
        <v>59</v>
      </c>
      <c r="B50" s="6" t="s">
        <v>106</v>
      </c>
      <c r="C50" s="43">
        <v>10796485</v>
      </c>
      <c r="D50" s="18">
        <v>1</v>
      </c>
      <c r="E50" s="19">
        <v>58</v>
      </c>
      <c r="F50" s="19" t="s">
        <v>51</v>
      </c>
      <c r="G50" s="19" t="s">
        <v>107</v>
      </c>
      <c r="H50" s="19">
        <v>2020</v>
      </c>
      <c r="I50" s="73">
        <v>44167</v>
      </c>
      <c r="J50" s="19" t="s">
        <v>20</v>
      </c>
      <c r="K50" s="19" t="s">
        <v>92</v>
      </c>
      <c r="L50" s="6"/>
      <c r="M50" s="6"/>
      <c r="N50" s="19" t="s">
        <v>40</v>
      </c>
      <c r="O50" s="6" t="s">
        <v>27</v>
      </c>
      <c r="P50" s="6" t="s">
        <v>44</v>
      </c>
    </row>
    <row r="51" spans="1:16" ht="40.5" customHeight="1">
      <c r="A51" s="6" t="s">
        <v>59</v>
      </c>
      <c r="B51" s="6" t="s">
        <v>108</v>
      </c>
      <c r="C51" s="53">
        <v>5798908</v>
      </c>
      <c r="D51" s="18">
        <v>4</v>
      </c>
      <c r="E51" s="19">
        <v>76</v>
      </c>
      <c r="F51" s="19" t="s">
        <v>18</v>
      </c>
      <c r="G51" s="19" t="s">
        <v>80</v>
      </c>
      <c r="H51" s="19"/>
      <c r="I51" s="19"/>
      <c r="J51" s="19"/>
      <c r="K51" s="19"/>
      <c r="L51" s="6"/>
      <c r="M51" s="6"/>
      <c r="N51" s="19"/>
      <c r="O51" s="6" t="s">
        <v>27</v>
      </c>
      <c r="P51" s="6" t="s">
        <v>24</v>
      </c>
    </row>
    <row r="52" spans="1:16" ht="40.5" customHeight="1">
      <c r="A52" s="6" t="s">
        <v>59</v>
      </c>
      <c r="B52" s="6" t="s">
        <v>109</v>
      </c>
      <c r="C52" s="53">
        <v>4831270</v>
      </c>
      <c r="D52" s="18">
        <v>5</v>
      </c>
      <c r="E52" s="19">
        <v>79</v>
      </c>
      <c r="F52" s="19" t="s">
        <v>110</v>
      </c>
      <c r="G52" s="19" t="s">
        <v>82</v>
      </c>
      <c r="H52" s="19"/>
      <c r="I52" s="19"/>
      <c r="J52" s="19"/>
      <c r="K52" s="19"/>
      <c r="L52" s="6"/>
      <c r="M52" s="6"/>
      <c r="N52" s="19"/>
      <c r="O52" s="6" t="s">
        <v>27</v>
      </c>
      <c r="P52" s="6" t="s">
        <v>24</v>
      </c>
    </row>
    <row r="53" spans="1:16" ht="40.5" customHeight="1">
      <c r="A53" s="6" t="s">
        <v>59</v>
      </c>
      <c r="B53" s="6" t="s">
        <v>111</v>
      </c>
      <c r="C53" s="53">
        <v>5415606</v>
      </c>
      <c r="D53" s="18">
        <v>5</v>
      </c>
      <c r="E53" s="19">
        <v>87</v>
      </c>
      <c r="F53" s="19" t="s">
        <v>64</v>
      </c>
      <c r="G53" s="19" t="s">
        <v>98</v>
      </c>
      <c r="H53" s="19"/>
      <c r="I53" s="19"/>
      <c r="J53" s="19"/>
      <c r="K53" s="19"/>
      <c r="L53" s="6"/>
      <c r="M53" s="6"/>
      <c r="N53" s="19"/>
      <c r="O53" s="6" t="s">
        <v>27</v>
      </c>
      <c r="P53" s="6" t="s">
        <v>24</v>
      </c>
    </row>
    <row r="54" spans="1:16" ht="40.5" customHeight="1">
      <c r="A54" s="6" t="s">
        <v>59</v>
      </c>
      <c r="B54" s="6" t="s">
        <v>112</v>
      </c>
      <c r="C54" s="53">
        <v>27348162</v>
      </c>
      <c r="D54" s="18">
        <v>1</v>
      </c>
      <c r="E54" s="19">
        <v>70</v>
      </c>
      <c r="F54" s="19" t="s">
        <v>110</v>
      </c>
      <c r="G54" s="19" t="s">
        <v>82</v>
      </c>
      <c r="H54" s="19"/>
      <c r="I54" s="19"/>
      <c r="J54" s="19"/>
      <c r="K54" s="19"/>
      <c r="L54" s="6"/>
      <c r="M54" s="6"/>
      <c r="N54" s="19"/>
      <c r="O54" s="6" t="s">
        <v>27</v>
      </c>
      <c r="P54" s="6" t="s">
        <v>24</v>
      </c>
    </row>
    <row r="55" spans="1:16" ht="40.5" customHeight="1">
      <c r="A55" s="6" t="s">
        <v>16</v>
      </c>
      <c r="B55" s="99" t="s">
        <v>113</v>
      </c>
      <c r="C55" s="53">
        <v>3902891</v>
      </c>
      <c r="D55" s="18">
        <v>3</v>
      </c>
      <c r="E55" s="19">
        <v>87</v>
      </c>
      <c r="F55" s="19" t="s">
        <v>18</v>
      </c>
      <c r="G55" s="19" t="s">
        <v>68</v>
      </c>
      <c r="H55" s="19">
        <v>2020</v>
      </c>
      <c r="I55" s="102">
        <v>43992</v>
      </c>
      <c r="J55" s="19" t="s">
        <v>20</v>
      </c>
      <c r="K55" s="141" t="s">
        <v>21</v>
      </c>
      <c r="L55" s="6"/>
      <c r="M55" s="6"/>
      <c r="N55" s="19" t="s">
        <v>23</v>
      </c>
      <c r="O55" s="6" t="s">
        <v>27</v>
      </c>
      <c r="P55" s="6" t="s">
        <v>24</v>
      </c>
    </row>
    <row r="56" spans="1:16" ht="40.5" customHeight="1">
      <c r="A56" s="6" t="s">
        <v>16</v>
      </c>
      <c r="B56" s="6" t="s">
        <v>114</v>
      </c>
      <c r="C56" s="53">
        <v>10156878</v>
      </c>
      <c r="D56" s="18">
        <v>4</v>
      </c>
      <c r="E56" s="69">
        <v>58.904109589041099</v>
      </c>
      <c r="F56" s="19" t="s">
        <v>18</v>
      </c>
      <c r="G56" s="19" t="s">
        <v>68</v>
      </c>
      <c r="H56" s="19">
        <v>2022</v>
      </c>
      <c r="I56" s="102">
        <v>44817</v>
      </c>
      <c r="J56" s="19" t="s">
        <v>20</v>
      </c>
      <c r="K56" s="141" t="s">
        <v>21</v>
      </c>
      <c r="L56" s="6"/>
      <c r="M56" s="6"/>
      <c r="N56" s="19" t="s">
        <v>23</v>
      </c>
      <c r="O56" s="6" t="s">
        <v>27</v>
      </c>
      <c r="P56" s="6" t="s">
        <v>24</v>
      </c>
    </row>
    <row r="57" spans="1:16" ht="40.5" customHeight="1">
      <c r="A57" s="6" t="s">
        <v>59</v>
      </c>
      <c r="B57" s="135" t="s">
        <v>115</v>
      </c>
      <c r="C57" s="53">
        <v>5251766</v>
      </c>
      <c r="D57" s="18">
        <v>4</v>
      </c>
      <c r="E57" s="19">
        <v>89</v>
      </c>
      <c r="F57" s="19" t="s">
        <v>18</v>
      </c>
      <c r="G57" s="19" t="s">
        <v>61</v>
      </c>
      <c r="H57" s="19">
        <v>2024</v>
      </c>
      <c r="I57" s="73">
        <v>45295</v>
      </c>
      <c r="J57" s="19" t="s">
        <v>62</v>
      </c>
      <c r="K57" s="19" t="s">
        <v>52</v>
      </c>
      <c r="L57" s="6"/>
      <c r="M57" s="6"/>
      <c r="N57" s="19" t="s">
        <v>23</v>
      </c>
      <c r="O57" s="6" t="s">
        <v>27</v>
      </c>
      <c r="P57" s="6" t="s">
        <v>24</v>
      </c>
    </row>
    <row r="58" spans="1:16" ht="40.5" customHeight="1">
      <c r="A58" s="6" t="s">
        <v>59</v>
      </c>
      <c r="B58" s="6" t="s">
        <v>116</v>
      </c>
      <c r="C58" s="53">
        <v>7421868</v>
      </c>
      <c r="D58" s="18">
        <v>7</v>
      </c>
      <c r="E58" s="19">
        <v>67</v>
      </c>
      <c r="F58" s="19" t="s">
        <v>18</v>
      </c>
      <c r="G58" s="19" t="s">
        <v>61</v>
      </c>
      <c r="H58" s="19">
        <v>2020</v>
      </c>
      <c r="I58" s="73">
        <v>44155</v>
      </c>
      <c r="J58" s="19" t="s">
        <v>62</v>
      </c>
      <c r="K58" s="19" t="s">
        <v>21</v>
      </c>
      <c r="L58" s="6"/>
      <c r="M58" s="6"/>
      <c r="N58" s="19" t="s">
        <v>23</v>
      </c>
      <c r="O58" s="6" t="s">
        <v>27</v>
      </c>
      <c r="P58" s="6" t="s">
        <v>24</v>
      </c>
    </row>
    <row r="59" spans="1:16" ht="40.5" customHeight="1">
      <c r="A59" s="6" t="s">
        <v>59</v>
      </c>
      <c r="B59" s="6" t="s">
        <v>117</v>
      </c>
      <c r="C59" s="53">
        <v>4211369</v>
      </c>
      <c r="D59" s="18">
        <v>7</v>
      </c>
      <c r="E59" s="19">
        <v>83</v>
      </c>
      <c r="F59" s="19" t="s">
        <v>18</v>
      </c>
      <c r="G59" s="19" t="s">
        <v>61</v>
      </c>
      <c r="H59" s="19">
        <v>2023</v>
      </c>
      <c r="I59" s="73">
        <v>45161</v>
      </c>
      <c r="J59" s="19" t="s">
        <v>20</v>
      </c>
      <c r="K59" s="19" t="s">
        <v>32</v>
      </c>
      <c r="L59" s="6"/>
      <c r="M59" s="6"/>
      <c r="N59" s="19" t="s">
        <v>34</v>
      </c>
      <c r="O59" s="6" t="s">
        <v>27</v>
      </c>
      <c r="P59" s="6" t="s">
        <v>24</v>
      </c>
    </row>
    <row r="60" spans="1:16" ht="40.5" customHeight="1">
      <c r="A60" s="6"/>
      <c r="B60" s="6" t="s">
        <v>118</v>
      </c>
      <c r="C60" s="53">
        <v>27348162</v>
      </c>
      <c r="D60" s="18">
        <v>1</v>
      </c>
      <c r="E60" s="19">
        <v>70</v>
      </c>
      <c r="F60" s="19" t="s">
        <v>110</v>
      </c>
      <c r="G60" s="19"/>
      <c r="H60" s="19"/>
      <c r="I60" s="19"/>
      <c r="J60" s="19"/>
      <c r="K60" s="19"/>
      <c r="L60" s="6"/>
      <c r="M60" s="6"/>
      <c r="N60" s="19"/>
      <c r="O60" s="6" t="s">
        <v>27</v>
      </c>
      <c r="P60" s="6" t="s">
        <v>24</v>
      </c>
    </row>
    <row r="61" spans="1:16" ht="40.5" customHeight="1">
      <c r="A61" s="6"/>
      <c r="B61" s="34" t="s">
        <v>119</v>
      </c>
      <c r="C61" s="53">
        <v>2954257</v>
      </c>
      <c r="D61" s="18">
        <v>0</v>
      </c>
      <c r="E61" s="19">
        <v>79</v>
      </c>
      <c r="F61" s="19" t="s">
        <v>37</v>
      </c>
      <c r="G61" s="19"/>
      <c r="H61" s="19"/>
      <c r="I61" s="19"/>
      <c r="J61" s="19"/>
      <c r="K61" s="19"/>
      <c r="L61" s="6"/>
      <c r="M61" s="6"/>
      <c r="N61" s="19"/>
      <c r="O61" s="6" t="s">
        <v>27</v>
      </c>
      <c r="P61" s="6" t="s">
        <v>24</v>
      </c>
    </row>
    <row r="62" spans="1:16" ht="40.5" customHeight="1">
      <c r="A62" s="6"/>
      <c r="B62" s="6" t="s">
        <v>120</v>
      </c>
      <c r="C62" s="53">
        <v>9712504</v>
      </c>
      <c r="D62" s="18" t="s">
        <v>87</v>
      </c>
      <c r="E62" s="19">
        <v>85</v>
      </c>
      <c r="F62" s="19" t="s">
        <v>18</v>
      </c>
      <c r="G62" s="19"/>
      <c r="H62" s="19"/>
      <c r="I62" s="19"/>
      <c r="J62" s="19"/>
      <c r="K62" s="19" t="s">
        <v>121</v>
      </c>
      <c r="L62" s="6"/>
      <c r="M62" s="6"/>
      <c r="N62" s="19" t="s">
        <v>23</v>
      </c>
      <c r="O62" s="6" t="s">
        <v>27</v>
      </c>
      <c r="P62" s="6" t="s">
        <v>24</v>
      </c>
    </row>
    <row r="63" spans="1:16" ht="40.5" customHeight="1">
      <c r="A63" s="6"/>
      <c r="B63" s="6" t="s">
        <v>122</v>
      </c>
      <c r="C63" s="53">
        <v>6250827</v>
      </c>
      <c r="D63" s="18">
        <v>2</v>
      </c>
      <c r="E63" s="19">
        <v>74</v>
      </c>
      <c r="F63" s="19"/>
      <c r="G63" s="19"/>
      <c r="H63" s="19"/>
      <c r="I63" s="19"/>
      <c r="J63" s="19"/>
      <c r="K63" s="19" t="s">
        <v>121</v>
      </c>
      <c r="L63" s="6"/>
      <c r="M63" s="6"/>
      <c r="N63" s="19" t="s">
        <v>23</v>
      </c>
      <c r="O63" s="6" t="s">
        <v>27</v>
      </c>
      <c r="P63" s="6" t="s">
        <v>24</v>
      </c>
    </row>
    <row r="64" spans="1:16" ht="40.5" customHeight="1">
      <c r="A64" s="6"/>
      <c r="B64" s="6" t="s">
        <v>123</v>
      </c>
      <c r="C64" s="53">
        <v>4476412</v>
      </c>
      <c r="D64" s="18">
        <v>1</v>
      </c>
      <c r="E64" s="19">
        <v>81</v>
      </c>
      <c r="F64" s="19" t="s">
        <v>18</v>
      </c>
      <c r="G64" s="19"/>
      <c r="H64" s="19"/>
      <c r="I64" s="19"/>
      <c r="J64" s="19"/>
      <c r="K64" s="19" t="s">
        <v>121</v>
      </c>
      <c r="L64" s="6"/>
      <c r="M64" s="6"/>
      <c r="N64" s="19" t="s">
        <v>23</v>
      </c>
      <c r="O64" s="6" t="s">
        <v>27</v>
      </c>
      <c r="P64" s="6" t="s">
        <v>24</v>
      </c>
    </row>
    <row r="65" spans="1:16" ht="40.5" customHeight="1">
      <c r="A65" s="142"/>
      <c r="B65" s="142" t="s">
        <v>124</v>
      </c>
      <c r="C65" s="143">
        <v>4384933</v>
      </c>
      <c r="D65" s="144">
        <v>6</v>
      </c>
      <c r="E65" s="61">
        <v>89</v>
      </c>
      <c r="F65" s="61"/>
      <c r="G65" s="61"/>
      <c r="H65" s="61"/>
      <c r="I65" s="61"/>
      <c r="J65" s="61"/>
      <c r="K65" s="61" t="s">
        <v>121</v>
      </c>
      <c r="L65" s="142"/>
      <c r="M65" s="142"/>
      <c r="N65" s="61" t="s">
        <v>23</v>
      </c>
      <c r="O65" s="6" t="s">
        <v>27</v>
      </c>
      <c r="P65" s="6" t="s">
        <v>24</v>
      </c>
    </row>
    <row r="66" spans="1:16" s="6" customFormat="1" ht="40.5" customHeight="1">
      <c r="A66" s="6" t="s">
        <v>16</v>
      </c>
      <c r="B66" s="6" t="s">
        <v>125</v>
      </c>
      <c r="C66" s="53">
        <v>14370651</v>
      </c>
      <c r="D66" s="18">
        <v>6</v>
      </c>
      <c r="E66" s="19">
        <v>52</v>
      </c>
      <c r="F66" s="19" t="s">
        <v>18</v>
      </c>
      <c r="G66" s="19" t="s">
        <v>54</v>
      </c>
      <c r="H66" s="19">
        <v>2022</v>
      </c>
      <c r="I66" s="73">
        <v>44707</v>
      </c>
      <c r="J66" s="19" t="s">
        <v>20</v>
      </c>
      <c r="K66" s="19" t="s">
        <v>32</v>
      </c>
      <c r="L66" s="75">
        <v>45328</v>
      </c>
      <c r="M66" s="6" t="s">
        <v>22</v>
      </c>
      <c r="N66" s="19" t="s">
        <v>58</v>
      </c>
      <c r="O66" s="6" t="s">
        <v>27</v>
      </c>
      <c r="P66" s="6" t="s">
        <v>24</v>
      </c>
    </row>
    <row r="67" spans="1:16" ht="40.5" customHeight="1">
      <c r="A67" s="6" t="s">
        <v>16</v>
      </c>
      <c r="B67" s="6" t="s">
        <v>126</v>
      </c>
      <c r="C67" s="53">
        <v>4672516</v>
      </c>
      <c r="D67" s="18">
        <v>6</v>
      </c>
      <c r="E67" s="19">
        <v>79</v>
      </c>
      <c r="F67" s="19" t="s">
        <v>18</v>
      </c>
      <c r="G67" s="19" t="s">
        <v>19</v>
      </c>
      <c r="H67" s="19">
        <v>2018</v>
      </c>
      <c r="I67" s="73">
        <v>43434</v>
      </c>
      <c r="J67" s="19" t="s">
        <v>31</v>
      </c>
      <c r="K67" s="19" t="s">
        <v>32</v>
      </c>
      <c r="L67" s="75">
        <v>43226</v>
      </c>
      <c r="M67" s="6" t="s">
        <v>127</v>
      </c>
      <c r="N67" s="19" t="s">
        <v>58</v>
      </c>
      <c r="O67" s="6" t="s">
        <v>27</v>
      </c>
      <c r="P67" s="6" t="s">
        <v>69</v>
      </c>
    </row>
    <row r="68" spans="1:16" ht="40.5" customHeight="1">
      <c r="A68" s="6" t="s">
        <v>59</v>
      </c>
      <c r="B68" s="6" t="s">
        <v>128</v>
      </c>
      <c r="C68" s="53">
        <v>9314449</v>
      </c>
      <c r="D68" s="18" t="s">
        <v>129</v>
      </c>
      <c r="E68" s="19">
        <v>58</v>
      </c>
      <c r="F68" s="19" t="s">
        <v>18</v>
      </c>
      <c r="G68" s="19" t="s">
        <v>130</v>
      </c>
      <c r="H68" s="19">
        <v>2021</v>
      </c>
      <c r="I68" s="73">
        <v>44260</v>
      </c>
      <c r="J68" s="19" t="s">
        <v>31</v>
      </c>
      <c r="K68" s="19" t="s">
        <v>92</v>
      </c>
      <c r="L68" s="6"/>
      <c r="M68" s="6"/>
      <c r="N68" s="19" t="s">
        <v>58</v>
      </c>
      <c r="O68" s="6" t="s">
        <v>27</v>
      </c>
      <c r="P68" s="6"/>
    </row>
    <row r="69" spans="1:16" ht="40.5" customHeight="1">
      <c r="A69" s="6" t="s">
        <v>59</v>
      </c>
      <c r="B69" s="6" t="s">
        <v>131</v>
      </c>
      <c r="C69" s="53">
        <v>6413350</v>
      </c>
      <c r="D69" s="18">
        <v>0</v>
      </c>
      <c r="E69" s="69">
        <v>71.879452054794498</v>
      </c>
      <c r="F69" s="19" t="s">
        <v>18</v>
      </c>
      <c r="G69" s="19" t="s">
        <v>61</v>
      </c>
      <c r="H69" s="19"/>
      <c r="I69" s="19"/>
      <c r="J69" s="19" t="s">
        <v>20</v>
      </c>
      <c r="K69" s="19" t="s">
        <v>21</v>
      </c>
      <c r="L69" s="6"/>
      <c r="M69" s="6"/>
      <c r="N69" s="141" t="s">
        <v>43</v>
      </c>
      <c r="O69" s="6" t="s">
        <v>27</v>
      </c>
      <c r="P69" s="6"/>
    </row>
    <row r="70" spans="1:16" ht="40.5" customHeight="1">
      <c r="A70" s="6" t="s">
        <v>16</v>
      </c>
      <c r="B70" s="6" t="s">
        <v>132</v>
      </c>
      <c r="C70" s="53">
        <v>6998139</v>
      </c>
      <c r="D70" s="18">
        <v>9</v>
      </c>
      <c r="E70" s="69">
        <v>88.693150684931496</v>
      </c>
      <c r="F70" s="19" t="s">
        <v>18</v>
      </c>
      <c r="G70" s="19" t="s">
        <v>19</v>
      </c>
      <c r="H70" s="19">
        <v>2022</v>
      </c>
      <c r="I70" s="73">
        <v>44851</v>
      </c>
      <c r="J70" s="19" t="s">
        <v>20</v>
      </c>
      <c r="K70" s="19" t="s">
        <v>21</v>
      </c>
      <c r="L70" s="75">
        <v>44914</v>
      </c>
      <c r="M70" s="6" t="s">
        <v>21</v>
      </c>
      <c r="N70" s="19" t="s">
        <v>23</v>
      </c>
      <c r="O70" s="6" t="s">
        <v>27</v>
      </c>
      <c r="P70" s="6" t="s">
        <v>24</v>
      </c>
    </row>
    <row r="71" spans="1:16" ht="40.5" customHeight="1">
      <c r="A71" s="6" t="s">
        <v>59</v>
      </c>
      <c r="B71" s="99" t="s">
        <v>133</v>
      </c>
      <c r="C71" s="53">
        <v>7226693</v>
      </c>
      <c r="D71" s="18">
        <v>5</v>
      </c>
      <c r="E71" s="19">
        <v>69</v>
      </c>
      <c r="F71" s="19" t="s">
        <v>18</v>
      </c>
      <c r="G71" s="19" t="s">
        <v>82</v>
      </c>
      <c r="H71" s="19">
        <v>2022</v>
      </c>
      <c r="I71" s="73">
        <v>44669</v>
      </c>
      <c r="J71" s="19" t="s">
        <v>31</v>
      </c>
      <c r="K71" s="19" t="s">
        <v>21</v>
      </c>
      <c r="L71" s="75">
        <v>44977</v>
      </c>
      <c r="M71" s="6" t="s">
        <v>134</v>
      </c>
      <c r="N71" s="19" t="s">
        <v>58</v>
      </c>
      <c r="O71" s="6" t="s">
        <v>27</v>
      </c>
      <c r="P71" s="6" t="s">
        <v>44</v>
      </c>
    </row>
    <row r="72" spans="1:16" ht="40.5" customHeight="1">
      <c r="A72" s="135" t="s">
        <v>16</v>
      </c>
      <c r="B72" s="145" t="s">
        <v>135</v>
      </c>
      <c r="C72" s="146">
        <v>7908493</v>
      </c>
      <c r="D72" s="136" t="s">
        <v>129</v>
      </c>
      <c r="E72" s="147">
        <v>64</v>
      </c>
      <c r="F72" s="19" t="s">
        <v>64</v>
      </c>
      <c r="G72" s="19" t="s">
        <v>19</v>
      </c>
      <c r="H72" s="19">
        <v>2023</v>
      </c>
      <c r="I72" s="140">
        <v>45037</v>
      </c>
      <c r="J72" s="137" t="s">
        <v>20</v>
      </c>
      <c r="K72" s="137" t="s">
        <v>32</v>
      </c>
      <c r="L72" s="149">
        <v>45215</v>
      </c>
      <c r="M72" s="135" t="s">
        <v>47</v>
      </c>
      <c r="N72" s="137" t="s">
        <v>34</v>
      </c>
      <c r="O72" s="6" t="s">
        <v>27</v>
      </c>
      <c r="P72" s="6" t="s">
        <v>24</v>
      </c>
    </row>
    <row r="73" spans="1:16" ht="40.5" customHeight="1">
      <c r="A73" s="6" t="s">
        <v>16</v>
      </c>
      <c r="B73" s="6" t="s">
        <v>136</v>
      </c>
      <c r="C73" s="53">
        <v>4421024</v>
      </c>
      <c r="D73" s="18" t="s">
        <v>129</v>
      </c>
      <c r="E73" s="69">
        <v>82.646575342465795</v>
      </c>
      <c r="F73" s="19" t="s">
        <v>64</v>
      </c>
      <c r="G73" s="19" t="s">
        <v>19</v>
      </c>
      <c r="H73" s="19">
        <v>2019</v>
      </c>
      <c r="I73" s="73">
        <v>43633</v>
      </c>
      <c r="J73" s="19" t="s">
        <v>20</v>
      </c>
      <c r="K73" s="19" t="s">
        <v>32</v>
      </c>
      <c r="L73" s="75">
        <v>44382</v>
      </c>
      <c r="M73" s="6" t="s">
        <v>33</v>
      </c>
      <c r="N73" s="19" t="s">
        <v>34</v>
      </c>
      <c r="O73" s="6" t="s">
        <v>27</v>
      </c>
      <c r="P73" s="6" t="s">
        <v>24</v>
      </c>
    </row>
    <row r="74" spans="1:16" ht="40.5" customHeight="1">
      <c r="A74" s="6"/>
      <c r="B74" s="6" t="s">
        <v>137</v>
      </c>
      <c r="C74" s="53">
        <v>10131536</v>
      </c>
      <c r="D74" s="18">
        <v>3</v>
      </c>
      <c r="E74" s="19">
        <v>56</v>
      </c>
      <c r="F74" s="19" t="s">
        <v>18</v>
      </c>
      <c r="G74" s="19" t="s">
        <v>19</v>
      </c>
      <c r="H74" s="19">
        <v>2024</v>
      </c>
      <c r="I74" s="73">
        <v>45307</v>
      </c>
      <c r="J74" s="19"/>
      <c r="K74" s="19" t="s">
        <v>138</v>
      </c>
      <c r="L74" s="75"/>
      <c r="M74" s="6"/>
      <c r="N74" s="19" t="s">
        <v>58</v>
      </c>
      <c r="O74" s="6" t="s">
        <v>27</v>
      </c>
      <c r="P74" s="6" t="s">
        <v>24</v>
      </c>
    </row>
    <row r="75" spans="1:16" ht="40.5" customHeight="1">
      <c r="A75" s="6" t="s">
        <v>16</v>
      </c>
      <c r="B75" s="6" t="s">
        <v>139</v>
      </c>
      <c r="C75" s="53">
        <v>8976517</v>
      </c>
      <c r="D75" s="18" t="s">
        <v>129</v>
      </c>
      <c r="E75" s="69">
        <v>63.6</v>
      </c>
      <c r="F75" s="19" t="s">
        <v>18</v>
      </c>
      <c r="G75" s="19" t="s">
        <v>54</v>
      </c>
      <c r="H75" s="19">
        <v>2022</v>
      </c>
      <c r="I75" s="73">
        <v>44736</v>
      </c>
      <c r="J75" s="19" t="s">
        <v>20</v>
      </c>
      <c r="K75" s="19" t="s">
        <v>32</v>
      </c>
      <c r="L75" s="6"/>
      <c r="M75" s="6"/>
      <c r="N75" s="19" t="s">
        <v>43</v>
      </c>
      <c r="O75" s="6" t="s">
        <v>27</v>
      </c>
      <c r="P75" s="6" t="s">
        <v>24</v>
      </c>
    </row>
    <row r="76" spans="1:16" ht="40.5" customHeight="1">
      <c r="A76" s="6" t="s">
        <v>16</v>
      </c>
      <c r="B76" s="6" t="s">
        <v>140</v>
      </c>
      <c r="C76" s="53">
        <v>13746864</v>
      </c>
      <c r="D76" s="18">
        <v>6</v>
      </c>
      <c r="E76" s="19">
        <v>44</v>
      </c>
      <c r="F76" s="19" t="s">
        <v>18</v>
      </c>
      <c r="G76" s="19" t="s">
        <v>141</v>
      </c>
      <c r="H76" s="19">
        <v>2024</v>
      </c>
      <c r="I76" s="73">
        <v>45343</v>
      </c>
      <c r="J76" s="19" t="s">
        <v>142</v>
      </c>
      <c r="K76" s="19" t="s">
        <v>143</v>
      </c>
      <c r="L76" s="6"/>
      <c r="M76" s="6"/>
      <c r="N76" s="19" t="s">
        <v>58</v>
      </c>
      <c r="O76" s="6" t="s">
        <v>27</v>
      </c>
      <c r="P76" s="6" t="s">
        <v>24</v>
      </c>
    </row>
    <row r="77" spans="1:16" ht="40.5" customHeight="1">
      <c r="A77" s="6" t="s">
        <v>16</v>
      </c>
      <c r="B77" s="6" t="s">
        <v>144</v>
      </c>
      <c r="C77" s="53">
        <v>10735818</v>
      </c>
      <c r="D77" s="18">
        <v>8</v>
      </c>
      <c r="E77" s="69">
        <v>57.298630136986297</v>
      </c>
      <c r="F77" s="19"/>
      <c r="G77" s="19" t="s">
        <v>19</v>
      </c>
      <c r="H77" s="19">
        <v>2022</v>
      </c>
      <c r="I77" s="73">
        <v>44833</v>
      </c>
      <c r="J77" s="19" t="s">
        <v>31</v>
      </c>
      <c r="K77" s="19" t="s">
        <v>32</v>
      </c>
      <c r="L77" s="75">
        <v>44589</v>
      </c>
      <c r="M77" s="6" t="s">
        <v>33</v>
      </c>
      <c r="N77" s="19" t="s">
        <v>145</v>
      </c>
      <c r="O77" s="6" t="s">
        <v>27</v>
      </c>
      <c r="P77" s="6" t="s">
        <v>44</v>
      </c>
    </row>
    <row r="78" spans="1:16" ht="40.5" customHeight="1">
      <c r="A78" s="6" t="s">
        <v>59</v>
      </c>
      <c r="B78" s="6" t="s">
        <v>146</v>
      </c>
      <c r="C78" s="53">
        <v>7284670</v>
      </c>
      <c r="D78" s="18">
        <v>2</v>
      </c>
      <c r="E78" s="19">
        <v>70</v>
      </c>
      <c r="F78" s="19" t="s">
        <v>64</v>
      </c>
      <c r="G78" s="141" t="s">
        <v>147</v>
      </c>
      <c r="H78" s="19">
        <v>2023</v>
      </c>
      <c r="I78" s="73">
        <v>45155</v>
      </c>
      <c r="J78" s="19" t="s">
        <v>148</v>
      </c>
      <c r="K78" s="19" t="s">
        <v>92</v>
      </c>
      <c r="L78" s="6"/>
      <c r="M78" s="6"/>
      <c r="N78" s="19" t="s">
        <v>58</v>
      </c>
      <c r="O78" s="6" t="s">
        <v>149</v>
      </c>
      <c r="P78" s="6" t="s">
        <v>69</v>
      </c>
    </row>
    <row r="79" spans="1:16" ht="40.5" customHeight="1">
      <c r="A79" s="6" t="s">
        <v>16</v>
      </c>
      <c r="B79" s="6" t="s">
        <v>150</v>
      </c>
      <c r="C79" s="53">
        <v>3610178</v>
      </c>
      <c r="D79" s="18">
        <v>4</v>
      </c>
      <c r="E79" s="69">
        <v>88.219178082191803</v>
      </c>
      <c r="F79" s="19" t="s">
        <v>18</v>
      </c>
      <c r="G79" s="19" t="s">
        <v>19</v>
      </c>
      <c r="H79" s="19">
        <v>2021</v>
      </c>
      <c r="I79" s="73">
        <v>44512</v>
      </c>
      <c r="J79" s="19" t="s">
        <v>20</v>
      </c>
      <c r="K79" s="19" t="s">
        <v>21</v>
      </c>
      <c r="L79" s="75">
        <v>44564</v>
      </c>
      <c r="M79" s="6" t="s">
        <v>151</v>
      </c>
      <c r="N79" s="19" t="s">
        <v>23</v>
      </c>
      <c r="O79" s="6" t="s">
        <v>152</v>
      </c>
      <c r="P79" s="6" t="s">
        <v>24</v>
      </c>
    </row>
    <row r="80" spans="1:16" ht="40.5" customHeight="1">
      <c r="A80" s="6" t="s">
        <v>59</v>
      </c>
      <c r="B80" s="6" t="s">
        <v>153</v>
      </c>
      <c r="C80" s="53">
        <v>6834913</v>
      </c>
      <c r="D80" s="18">
        <v>3</v>
      </c>
      <c r="E80" s="19"/>
      <c r="F80" s="19" t="s">
        <v>18</v>
      </c>
      <c r="G80" s="19" t="s">
        <v>154</v>
      </c>
      <c r="H80" s="19">
        <v>2022</v>
      </c>
      <c r="I80" s="73">
        <v>44768</v>
      </c>
      <c r="J80" s="19" t="s">
        <v>20</v>
      </c>
      <c r="K80" s="19" t="s">
        <v>155</v>
      </c>
      <c r="L80" s="75">
        <v>45294</v>
      </c>
      <c r="M80" s="6" t="s">
        <v>156</v>
      </c>
      <c r="N80" s="19" t="s">
        <v>23</v>
      </c>
      <c r="O80" s="6" t="s">
        <v>152</v>
      </c>
      <c r="P80" s="6" t="s">
        <v>24</v>
      </c>
    </row>
    <row r="81" spans="1:24" ht="40.5" customHeight="1">
      <c r="A81" s="6" t="s">
        <v>16</v>
      </c>
      <c r="B81" s="6" t="s">
        <v>157</v>
      </c>
      <c r="C81" s="53">
        <v>6809702</v>
      </c>
      <c r="D81" s="18">
        <v>9</v>
      </c>
      <c r="E81" s="19">
        <v>72</v>
      </c>
      <c r="F81" s="19" t="s">
        <v>18</v>
      </c>
      <c r="G81" s="19" t="s">
        <v>19</v>
      </c>
      <c r="H81" s="19">
        <v>2016</v>
      </c>
      <c r="I81" s="73">
        <v>42716</v>
      </c>
      <c r="J81" s="19" t="s">
        <v>31</v>
      </c>
      <c r="K81" s="19" t="s">
        <v>21</v>
      </c>
      <c r="L81" s="75">
        <v>42741</v>
      </c>
      <c r="M81" s="6" t="s">
        <v>21</v>
      </c>
      <c r="N81" s="19" t="s">
        <v>23</v>
      </c>
      <c r="O81" s="6" t="s">
        <v>27</v>
      </c>
      <c r="P81" s="6" t="s">
        <v>69</v>
      </c>
    </row>
    <row r="82" spans="1:24" ht="40.5" customHeight="1">
      <c r="A82" s="6" t="s">
        <v>16</v>
      </c>
      <c r="B82" s="6" t="s">
        <v>158</v>
      </c>
      <c r="C82" s="53">
        <v>13329006</v>
      </c>
      <c r="D82" s="18">
        <v>0</v>
      </c>
      <c r="E82" s="19">
        <v>46</v>
      </c>
      <c r="F82" s="19" t="s">
        <v>18</v>
      </c>
      <c r="G82" s="19" t="s">
        <v>141</v>
      </c>
      <c r="H82" s="19">
        <v>2024</v>
      </c>
      <c r="I82" s="73">
        <v>45303</v>
      </c>
      <c r="J82" s="19" t="s">
        <v>20</v>
      </c>
      <c r="K82" s="19" t="s">
        <v>32</v>
      </c>
      <c r="L82" s="75">
        <v>45306</v>
      </c>
      <c r="M82" s="6" t="s">
        <v>159</v>
      </c>
      <c r="N82" s="19" t="s">
        <v>34</v>
      </c>
      <c r="O82" s="6" t="s">
        <v>152</v>
      </c>
      <c r="P82" s="6"/>
    </row>
    <row r="83" spans="1:24" ht="40.5" customHeight="1">
      <c r="A83" s="6" t="s">
        <v>16</v>
      </c>
      <c r="B83" s="6" t="s">
        <v>160</v>
      </c>
      <c r="C83" s="53">
        <v>5102358</v>
      </c>
      <c r="D83" s="18">
        <v>7</v>
      </c>
      <c r="E83" s="19">
        <v>79</v>
      </c>
      <c r="F83" s="19" t="s">
        <v>18</v>
      </c>
      <c r="G83" s="19" t="s">
        <v>141</v>
      </c>
      <c r="H83" s="19">
        <v>2024</v>
      </c>
      <c r="I83" s="73">
        <v>45383</v>
      </c>
      <c r="J83" s="19" t="s">
        <v>161</v>
      </c>
      <c r="K83" s="19" t="s">
        <v>121</v>
      </c>
      <c r="L83" s="75">
        <v>45376</v>
      </c>
      <c r="M83" s="6" t="s">
        <v>162</v>
      </c>
      <c r="N83" s="19" t="s">
        <v>40</v>
      </c>
      <c r="O83" s="6" t="s">
        <v>149</v>
      </c>
      <c r="P83" s="6" t="s">
        <v>24</v>
      </c>
    </row>
    <row r="84" spans="1:24" ht="40.5" customHeight="1">
      <c r="A84" s="6" t="s">
        <v>16</v>
      </c>
      <c r="B84" s="6" t="s">
        <v>163</v>
      </c>
      <c r="C84" s="53">
        <v>13976964</v>
      </c>
      <c r="D84" s="18">
        <v>3</v>
      </c>
      <c r="E84" s="69">
        <v>46.942465753424699</v>
      </c>
      <c r="F84" s="19" t="s">
        <v>18</v>
      </c>
      <c r="G84" s="19" t="s">
        <v>54</v>
      </c>
      <c r="H84" s="19">
        <v>2022</v>
      </c>
      <c r="I84" s="73">
        <v>44862</v>
      </c>
      <c r="J84" s="19" t="s">
        <v>62</v>
      </c>
      <c r="K84" s="19" t="s">
        <v>32</v>
      </c>
      <c r="L84" s="6"/>
      <c r="M84" s="6"/>
      <c r="N84" s="19" t="s">
        <v>40</v>
      </c>
      <c r="O84" s="6"/>
      <c r="P84" s="6" t="s">
        <v>24</v>
      </c>
    </row>
    <row r="85" spans="1:24" ht="40.5" customHeight="1">
      <c r="A85" s="6" t="s">
        <v>59</v>
      </c>
      <c r="B85" s="6" t="s">
        <v>164</v>
      </c>
      <c r="C85" s="53">
        <v>6079867</v>
      </c>
      <c r="D85" s="18">
        <v>2</v>
      </c>
      <c r="E85" s="19">
        <v>70</v>
      </c>
      <c r="F85" s="19" t="s">
        <v>26</v>
      </c>
      <c r="G85" s="19" t="s">
        <v>165</v>
      </c>
      <c r="H85" s="19"/>
      <c r="I85" s="19"/>
      <c r="J85" s="19" t="s">
        <v>166</v>
      </c>
      <c r="K85" s="19" t="s">
        <v>156</v>
      </c>
      <c r="L85" s="6"/>
      <c r="M85" s="6"/>
      <c r="N85" s="19" t="s">
        <v>58</v>
      </c>
      <c r="O85" s="6" t="s">
        <v>152</v>
      </c>
      <c r="P85" s="6" t="s">
        <v>69</v>
      </c>
    </row>
    <row r="86" spans="1:24" ht="40.5" customHeight="1">
      <c r="A86" s="6" t="s">
        <v>59</v>
      </c>
      <c r="B86" s="6" t="s">
        <v>167</v>
      </c>
      <c r="C86" s="53">
        <v>9271499</v>
      </c>
      <c r="D86" s="18">
        <v>3</v>
      </c>
      <c r="E86" s="19">
        <v>63</v>
      </c>
      <c r="F86" s="19" t="s">
        <v>18</v>
      </c>
      <c r="G86" s="19" t="s">
        <v>98</v>
      </c>
      <c r="H86" s="19">
        <v>2024</v>
      </c>
      <c r="I86" s="19"/>
      <c r="J86" s="19" t="s">
        <v>49</v>
      </c>
      <c r="K86" s="19" t="s">
        <v>168</v>
      </c>
      <c r="L86" s="75">
        <v>45378</v>
      </c>
      <c r="M86" s="6" t="s">
        <v>159</v>
      </c>
      <c r="N86" s="19" t="s">
        <v>169</v>
      </c>
      <c r="O86" s="6" t="s">
        <v>152</v>
      </c>
      <c r="P86" s="6" t="s">
        <v>24</v>
      </c>
    </row>
    <row r="87" spans="1:24" ht="40.5" customHeight="1">
      <c r="A87" s="6"/>
      <c r="B87" s="6" t="s">
        <v>170</v>
      </c>
      <c r="C87" s="53">
        <v>4541394</v>
      </c>
      <c r="D87" s="18">
        <v>2</v>
      </c>
      <c r="E87" s="19">
        <v>83</v>
      </c>
      <c r="F87" s="19" t="s">
        <v>18</v>
      </c>
      <c r="G87" s="19"/>
      <c r="H87" s="19"/>
      <c r="I87" s="19"/>
      <c r="J87" s="19"/>
      <c r="K87" s="19"/>
      <c r="L87" s="6"/>
      <c r="M87" s="6"/>
      <c r="N87" s="19"/>
      <c r="O87" s="6"/>
      <c r="P87" s="6" t="s">
        <v>24</v>
      </c>
    </row>
    <row r="88" spans="1:24" ht="40.5" customHeight="1">
      <c r="A88" s="6" t="s">
        <v>59</v>
      </c>
      <c r="B88" s="6" t="s">
        <v>171</v>
      </c>
      <c r="C88" s="53">
        <v>15042976</v>
      </c>
      <c r="D88" s="18">
        <v>5</v>
      </c>
      <c r="E88" s="19">
        <v>40</v>
      </c>
      <c r="F88" s="19" t="s">
        <v>64</v>
      </c>
      <c r="G88" s="19"/>
      <c r="H88" s="19">
        <v>2018</v>
      </c>
      <c r="I88" s="73">
        <v>43284</v>
      </c>
      <c r="J88" s="19" t="s">
        <v>31</v>
      </c>
      <c r="K88" s="19" t="s">
        <v>21</v>
      </c>
      <c r="L88" s="6"/>
      <c r="M88" s="6"/>
      <c r="N88" s="19" t="s">
        <v>58</v>
      </c>
      <c r="O88" s="6" t="s">
        <v>149</v>
      </c>
      <c r="P88" s="6" t="s">
        <v>172</v>
      </c>
    </row>
    <row r="89" spans="1:24" ht="40.5" customHeight="1">
      <c r="A89" s="6" t="s">
        <v>16</v>
      </c>
      <c r="B89" s="6" t="s">
        <v>173</v>
      </c>
      <c r="C89" s="53">
        <v>3208974</v>
      </c>
      <c r="D89" s="18">
        <v>7</v>
      </c>
      <c r="E89" s="19">
        <v>91</v>
      </c>
      <c r="F89" s="19" t="s">
        <v>88</v>
      </c>
      <c r="G89" s="19" t="s">
        <v>68</v>
      </c>
      <c r="H89" s="19" t="s">
        <v>174</v>
      </c>
      <c r="I89" s="73">
        <v>45380</v>
      </c>
      <c r="J89" s="19" t="s">
        <v>31</v>
      </c>
      <c r="K89" s="19" t="s">
        <v>175</v>
      </c>
      <c r="L89" s="6" t="s">
        <v>176</v>
      </c>
      <c r="M89" s="6" t="s">
        <v>176</v>
      </c>
      <c r="N89" s="19" t="s">
        <v>58</v>
      </c>
      <c r="O89" s="6" t="s">
        <v>27</v>
      </c>
      <c r="P89" s="6" t="s">
        <v>24</v>
      </c>
    </row>
    <row r="90" spans="1:24" ht="40.5" customHeight="1">
      <c r="A90" s="6" t="s">
        <v>16</v>
      </c>
      <c r="B90" s="6" t="s">
        <v>177</v>
      </c>
      <c r="C90" s="53">
        <v>21917512</v>
      </c>
      <c r="D90" s="18">
        <v>4</v>
      </c>
      <c r="E90" s="19">
        <v>18</v>
      </c>
      <c r="F90" s="19" t="s">
        <v>26</v>
      </c>
      <c r="G90" s="19" t="s">
        <v>71</v>
      </c>
      <c r="H90" s="19" t="s">
        <v>174</v>
      </c>
      <c r="I90" s="19" t="s">
        <v>178</v>
      </c>
      <c r="J90" s="19" t="s">
        <v>31</v>
      </c>
      <c r="K90" s="19" t="s">
        <v>179</v>
      </c>
      <c r="L90" s="19" t="s">
        <v>180</v>
      </c>
      <c r="M90" s="6" t="s">
        <v>176</v>
      </c>
      <c r="N90" s="19" t="s">
        <v>58</v>
      </c>
      <c r="O90" s="6" t="s">
        <v>27</v>
      </c>
      <c r="P90" s="6" t="s">
        <v>93</v>
      </c>
      <c r="Q90" s="6" t="e">
        <f ca="1">#REF!-TODAY()</f>
        <v>#REF!</v>
      </c>
      <c r="R90" s="6" t="e">
        <f ca="1">IF(Q90&gt;=25,"Vigente",IF(AND(Q90&gt;=1,Q90&lt;=25),"Por Vencer","Vencido"))</f>
        <v>#REF!</v>
      </c>
      <c r="S90" s="6"/>
    </row>
    <row r="91" spans="1:24" ht="65.25" customHeight="1">
      <c r="A91" s="6" t="s">
        <v>59</v>
      </c>
      <c r="B91" s="6" t="s">
        <v>181</v>
      </c>
      <c r="C91" s="53">
        <v>12426551</v>
      </c>
      <c r="D91" s="54">
        <v>7</v>
      </c>
      <c r="E91" s="19">
        <v>57</v>
      </c>
      <c r="F91" s="19" t="s">
        <v>18</v>
      </c>
      <c r="G91" s="6" t="s">
        <v>182</v>
      </c>
      <c r="H91" s="19">
        <v>2022</v>
      </c>
      <c r="I91" s="73">
        <v>44830</v>
      </c>
      <c r="J91" s="19" t="s">
        <v>31</v>
      </c>
      <c r="K91" s="19" t="s">
        <v>21</v>
      </c>
      <c r="L91" s="19" t="s">
        <v>180</v>
      </c>
      <c r="M91" s="6" t="s">
        <v>176</v>
      </c>
      <c r="N91" s="19" t="s">
        <v>23</v>
      </c>
      <c r="O91" s="6" t="s">
        <v>149</v>
      </c>
      <c r="P91" s="6" t="s">
        <v>183</v>
      </c>
      <c r="Q91" s="6" t="e">
        <f ca="1">#REF!-TODAY()</f>
        <v>#REF!</v>
      </c>
      <c r="R91" s="6" t="e">
        <f ca="1">IF(Q91&gt;=20,"Vigente",IF(AND(Q91&gt;=1,Q91&lt;=20),"Por Vencer","Vencido"))</f>
        <v>#REF!</v>
      </c>
      <c r="S91" s="6"/>
    </row>
    <row r="92" spans="1:24" ht="65.25" customHeight="1">
      <c r="A92" s="6" t="s">
        <v>184</v>
      </c>
      <c r="B92" s="6" t="s">
        <v>185</v>
      </c>
      <c r="C92" s="53">
        <v>5704764</v>
      </c>
      <c r="D92" s="54" t="s">
        <v>129</v>
      </c>
      <c r="E92" s="69">
        <v>73.739726027397296</v>
      </c>
      <c r="F92" s="19" t="s">
        <v>18</v>
      </c>
      <c r="G92" s="6" t="s">
        <v>54</v>
      </c>
      <c r="H92" s="19">
        <v>2020</v>
      </c>
      <c r="I92" s="73">
        <v>43867</v>
      </c>
      <c r="J92" s="19" t="s">
        <v>20</v>
      </c>
      <c r="K92" s="19" t="s">
        <v>32</v>
      </c>
      <c r="L92" s="73">
        <v>45462</v>
      </c>
      <c r="M92" s="6" t="s">
        <v>186</v>
      </c>
      <c r="N92" s="19" t="s">
        <v>23</v>
      </c>
      <c r="O92" s="6" t="s">
        <v>152</v>
      </c>
      <c r="P92" s="6" t="s">
        <v>24</v>
      </c>
    </row>
    <row r="93" spans="1:24" ht="65.25" customHeight="1">
      <c r="A93" s="6" t="s">
        <v>59</v>
      </c>
      <c r="B93" s="6" t="s">
        <v>187</v>
      </c>
      <c r="C93" s="53">
        <v>5679629</v>
      </c>
      <c r="D93" s="54">
        <v>0</v>
      </c>
      <c r="E93" s="19">
        <v>81</v>
      </c>
      <c r="F93" s="61" t="s">
        <v>64</v>
      </c>
      <c r="G93" s="6" t="s">
        <v>61</v>
      </c>
      <c r="H93" s="19">
        <v>2024</v>
      </c>
      <c r="I93" s="73">
        <v>45218</v>
      </c>
      <c r="J93" s="19" t="s">
        <v>62</v>
      </c>
      <c r="K93" s="19" t="s">
        <v>52</v>
      </c>
      <c r="L93" s="73">
        <v>45406</v>
      </c>
      <c r="M93" s="6" t="s">
        <v>188</v>
      </c>
      <c r="N93" s="19" t="s">
        <v>23</v>
      </c>
      <c r="O93" s="6" t="s">
        <v>149</v>
      </c>
      <c r="P93" s="6" t="s">
        <v>24</v>
      </c>
    </row>
    <row r="94" spans="1:24" ht="65.25" customHeight="1">
      <c r="A94" s="6" t="s">
        <v>184</v>
      </c>
      <c r="B94" s="6" t="s">
        <v>189</v>
      </c>
      <c r="C94" s="53">
        <v>7486835</v>
      </c>
      <c r="D94" s="54">
        <v>5</v>
      </c>
      <c r="E94" s="19" t="e">
        <f ca="1">DATEDIF(#REF!,TODAY(),"Y")</f>
        <v>#REF!</v>
      </c>
      <c r="F94" s="19" t="s">
        <v>18</v>
      </c>
      <c r="G94" s="6" t="s">
        <v>54</v>
      </c>
      <c r="H94" s="19" t="s">
        <v>174</v>
      </c>
      <c r="I94" s="19" t="s">
        <v>178</v>
      </c>
      <c r="J94" s="19" t="s">
        <v>62</v>
      </c>
      <c r="K94" s="19" t="s">
        <v>32</v>
      </c>
      <c r="L94" s="19" t="s">
        <v>180</v>
      </c>
      <c r="M94" s="6" t="s">
        <v>176</v>
      </c>
      <c r="N94" s="19" t="s">
        <v>58</v>
      </c>
      <c r="O94" s="6" t="s">
        <v>152</v>
      </c>
      <c r="P94" s="6" t="s">
        <v>24</v>
      </c>
      <c r="Q94" s="6"/>
      <c r="R94" s="6"/>
      <c r="S94" s="6"/>
      <c r="T94" s="6"/>
      <c r="U94" s="75"/>
      <c r="V94" s="6">
        <f ca="1">U94-TODAY()</f>
        <v>-46085</v>
      </c>
      <c r="W94" s="6" t="str">
        <f t="shared" ref="W94:W99" ca="1" si="0">IF(V94&gt;=20,"Vigente",IF(AND(V94&gt;=1,V94&lt;=20),"Por Vencer","Vencido"))</f>
        <v>Vencido</v>
      </c>
      <c r="X94" s="6"/>
    </row>
    <row r="95" spans="1:24" ht="65.25" customHeight="1">
      <c r="A95" s="6" t="s">
        <v>59</v>
      </c>
      <c r="B95" s="6" t="s">
        <v>190</v>
      </c>
      <c r="C95" s="53">
        <v>4175016</v>
      </c>
      <c r="D95" s="54">
        <v>2</v>
      </c>
      <c r="E95" s="19" t="e">
        <f ca="1">DATEDIF(#REF!,TODAY(),"Y")</f>
        <v>#REF!</v>
      </c>
      <c r="F95" s="19"/>
      <c r="G95" s="6" t="s">
        <v>82</v>
      </c>
      <c r="H95" s="19" t="s">
        <v>174</v>
      </c>
      <c r="I95" s="19" t="s">
        <v>178</v>
      </c>
      <c r="J95" s="19" t="s">
        <v>62</v>
      </c>
      <c r="K95" s="19" t="s">
        <v>191</v>
      </c>
      <c r="L95" s="19" t="s">
        <v>180</v>
      </c>
      <c r="M95" s="6" t="s">
        <v>176</v>
      </c>
      <c r="N95" s="19" t="s">
        <v>58</v>
      </c>
      <c r="O95" s="6" t="s">
        <v>152</v>
      </c>
      <c r="P95" s="6" t="s">
        <v>24</v>
      </c>
      <c r="Q95" s="6"/>
      <c r="R95" s="6"/>
      <c r="S95" s="6"/>
      <c r="T95" s="6"/>
      <c r="U95" s="75"/>
      <c r="V95" s="6">
        <f ca="1">U95-TODAY()</f>
        <v>-46085</v>
      </c>
      <c r="W95" s="6" t="str">
        <f t="shared" ca="1" si="0"/>
        <v>Vencido</v>
      </c>
      <c r="X95" s="6"/>
    </row>
    <row r="96" spans="1:24" ht="65.25" customHeight="1">
      <c r="A96" s="6" t="s">
        <v>59</v>
      </c>
      <c r="B96" s="142" t="s">
        <v>192</v>
      </c>
      <c r="C96" s="143">
        <v>7117699</v>
      </c>
      <c r="D96" s="148">
        <v>1</v>
      </c>
      <c r="E96" s="61" t="e">
        <f ca="1">DATEDIF(#REF!,TODAY(),"Y")</f>
        <v>#REF!</v>
      </c>
      <c r="F96" s="61" t="s">
        <v>18</v>
      </c>
      <c r="G96" s="142" t="s">
        <v>193</v>
      </c>
      <c r="H96" s="19">
        <v>2024</v>
      </c>
      <c r="I96" s="19" t="s">
        <v>178</v>
      </c>
      <c r="J96" s="19" t="s">
        <v>62</v>
      </c>
      <c r="K96" s="19" t="s">
        <v>191</v>
      </c>
      <c r="L96" s="19" t="s">
        <v>180</v>
      </c>
      <c r="M96" s="6" t="s">
        <v>176</v>
      </c>
      <c r="N96" s="19" t="s">
        <v>58</v>
      </c>
      <c r="O96" s="6" t="s">
        <v>152</v>
      </c>
      <c r="P96" s="6" t="s">
        <v>24</v>
      </c>
      <c r="Q96" s="6"/>
      <c r="R96" s="6"/>
      <c r="S96" s="6"/>
      <c r="T96" s="75"/>
      <c r="U96" s="75"/>
      <c r="V96" s="6"/>
      <c r="W96" s="6" t="str">
        <f t="shared" si="0"/>
        <v>Vencido</v>
      </c>
      <c r="X96" s="6"/>
    </row>
    <row r="97" spans="1:24" ht="65.25" customHeight="1">
      <c r="A97" s="6" t="s">
        <v>59</v>
      </c>
      <c r="B97" s="6" t="s">
        <v>194</v>
      </c>
      <c r="C97" s="53">
        <v>8579503</v>
      </c>
      <c r="D97" s="54">
        <v>1</v>
      </c>
      <c r="E97" s="19" t="e">
        <f ca="1">DATEDIF(#REF!,TODAY(),"Y")</f>
        <v>#REF!</v>
      </c>
      <c r="F97" s="19" t="s">
        <v>18</v>
      </c>
      <c r="G97" s="6" t="s">
        <v>61</v>
      </c>
      <c r="H97" s="19">
        <v>2024</v>
      </c>
      <c r="I97" s="73">
        <v>45447</v>
      </c>
      <c r="J97" s="19" t="s">
        <v>166</v>
      </c>
      <c r="K97" s="19" t="s">
        <v>32</v>
      </c>
      <c r="L97" s="19" t="s">
        <v>180</v>
      </c>
      <c r="M97" s="6" t="s">
        <v>176</v>
      </c>
      <c r="N97" s="19" t="s">
        <v>58</v>
      </c>
      <c r="O97" s="6" t="s">
        <v>152</v>
      </c>
      <c r="P97" s="6" t="s">
        <v>24</v>
      </c>
      <c r="Q97" s="6"/>
      <c r="R97" s="6"/>
      <c r="S97" s="6"/>
      <c r="T97" s="6"/>
      <c r="U97" s="75"/>
      <c r="V97" s="6">
        <f t="shared" ref="V97:V106" ca="1" si="1">U97-TODAY()</f>
        <v>-46085</v>
      </c>
      <c r="W97" s="6" t="str">
        <f t="shared" ca="1" si="0"/>
        <v>Vencido</v>
      </c>
      <c r="X97" s="6"/>
    </row>
    <row r="98" spans="1:24" ht="65.25" customHeight="1">
      <c r="A98" s="6" t="s">
        <v>184</v>
      </c>
      <c r="B98" s="6" t="s">
        <v>195</v>
      </c>
      <c r="C98" s="53">
        <v>7923341</v>
      </c>
      <c r="D98" s="54">
        <v>2</v>
      </c>
      <c r="E98" s="19" t="e">
        <f ca="1">DATEDIF(#REF!,TODAY(),"Y")</f>
        <v>#REF!</v>
      </c>
      <c r="F98" s="19" t="s">
        <v>18</v>
      </c>
      <c r="G98" s="6" t="s">
        <v>19</v>
      </c>
      <c r="H98" s="19">
        <v>2023</v>
      </c>
      <c r="I98" s="73">
        <v>45212</v>
      </c>
      <c r="J98" s="19" t="s">
        <v>20</v>
      </c>
      <c r="K98" s="19" t="s">
        <v>32</v>
      </c>
      <c r="L98" s="73">
        <v>45236</v>
      </c>
      <c r="M98" s="6"/>
      <c r="N98" s="19" t="s">
        <v>34</v>
      </c>
      <c r="O98" s="6" t="s">
        <v>152</v>
      </c>
      <c r="P98" s="6" t="s">
        <v>24</v>
      </c>
      <c r="Q98" s="6"/>
      <c r="R98" s="6"/>
      <c r="S98" s="6"/>
      <c r="T98" s="6"/>
      <c r="U98" s="75"/>
      <c r="V98" s="6">
        <f t="shared" ca="1" si="1"/>
        <v>-46085</v>
      </c>
      <c r="W98" s="6" t="str">
        <f t="shared" ca="1" si="0"/>
        <v>Vencido</v>
      </c>
      <c r="X98" s="6"/>
    </row>
    <row r="99" spans="1:24" s="129" customFormat="1" ht="65.25" customHeight="1">
      <c r="A99" s="6" t="s">
        <v>59</v>
      </c>
      <c r="B99" s="6" t="s">
        <v>196</v>
      </c>
      <c r="C99" s="53">
        <v>11008549</v>
      </c>
      <c r="D99" s="54">
        <v>4</v>
      </c>
      <c r="E99" s="19" t="e">
        <f ca="1">DATEDIF(#REF!,TODAY(),"Y")</f>
        <v>#REF!</v>
      </c>
      <c r="F99" s="19" t="s">
        <v>18</v>
      </c>
      <c r="G99" s="6" t="s">
        <v>197</v>
      </c>
      <c r="H99" s="19">
        <v>2024</v>
      </c>
      <c r="I99" s="19" t="s">
        <v>178</v>
      </c>
      <c r="J99" s="19" t="s">
        <v>20</v>
      </c>
      <c r="K99" s="19" t="s">
        <v>32</v>
      </c>
      <c r="L99" s="73" t="s">
        <v>180</v>
      </c>
      <c r="M99" s="6" t="s">
        <v>176</v>
      </c>
      <c r="N99" s="19" t="s">
        <v>58</v>
      </c>
      <c r="O99" s="6" t="s">
        <v>152</v>
      </c>
      <c r="P99" s="6" t="s">
        <v>198</v>
      </c>
      <c r="Q99" s="6"/>
      <c r="R99" s="6"/>
      <c r="S99" s="6"/>
      <c r="T99" s="75"/>
      <c r="U99" s="75"/>
      <c r="V99" s="6">
        <f t="shared" ca="1" si="1"/>
        <v>-46085</v>
      </c>
      <c r="W99" s="6" t="str">
        <f t="shared" ca="1" si="0"/>
        <v>Vencido</v>
      </c>
      <c r="X99" s="6"/>
    </row>
    <row r="100" spans="1:24" ht="65.25" customHeight="1">
      <c r="A100" s="6" t="s">
        <v>59</v>
      </c>
      <c r="B100" s="6" t="s">
        <v>199</v>
      </c>
      <c r="C100" s="53">
        <v>8783646</v>
      </c>
      <c r="D100" s="54">
        <v>0</v>
      </c>
      <c r="E100" s="19" t="e">
        <f ca="1">DATEDIF(#REF!,TODAY(),"Y")</f>
        <v>#REF!</v>
      </c>
      <c r="F100" s="19" t="s">
        <v>18</v>
      </c>
      <c r="G100" s="6" t="s">
        <v>200</v>
      </c>
      <c r="H100" s="19">
        <v>2023</v>
      </c>
      <c r="I100" s="73">
        <v>45147</v>
      </c>
      <c r="J100" s="19" t="s">
        <v>20</v>
      </c>
      <c r="K100" s="19" t="s">
        <v>21</v>
      </c>
      <c r="L100" s="73">
        <v>45510</v>
      </c>
      <c r="M100" s="6" t="s">
        <v>201</v>
      </c>
      <c r="N100" s="19" t="s">
        <v>34</v>
      </c>
      <c r="O100" s="6" t="s">
        <v>152</v>
      </c>
      <c r="P100" s="6" t="s">
        <v>24</v>
      </c>
      <c r="Q100" s="151"/>
      <c r="R100" s="6"/>
      <c r="S100" s="6"/>
      <c r="T100" s="75"/>
      <c r="U100" s="75"/>
      <c r="V100" s="6">
        <f t="shared" ca="1" si="1"/>
        <v>-46085</v>
      </c>
      <c r="W100" s="6" t="str">
        <f t="shared" ref="W100:W106" ca="1" si="2">IF(V100&gt;=20,"Vigente",IF(AND(V100&gt;=1,V100&lt;=20),"Por Vencer","Vencido"))</f>
        <v>Vencido</v>
      </c>
      <c r="X100" s="6"/>
    </row>
    <row r="101" spans="1:24" s="37" customFormat="1" ht="65.25" customHeight="1">
      <c r="A101" s="13" t="s">
        <v>184</v>
      </c>
      <c r="B101" s="13" t="s">
        <v>202</v>
      </c>
      <c r="C101" s="51">
        <v>10812531</v>
      </c>
      <c r="D101" s="52">
        <v>4</v>
      </c>
      <c r="E101" s="27" t="e">
        <f ca="1">DATEDIF(#REF!,TODAY(),"Y")</f>
        <v>#REF!</v>
      </c>
      <c r="F101" s="27" t="s">
        <v>18</v>
      </c>
      <c r="G101" s="13" t="s">
        <v>19</v>
      </c>
      <c r="H101" s="27">
        <v>2024</v>
      </c>
      <c r="I101" s="71">
        <v>45299</v>
      </c>
      <c r="J101" s="27" t="s">
        <v>20</v>
      </c>
      <c r="K101" s="27" t="s">
        <v>32</v>
      </c>
      <c r="L101" s="71">
        <v>45306</v>
      </c>
      <c r="M101" s="13" t="s">
        <v>203</v>
      </c>
      <c r="N101" s="27" t="s">
        <v>58</v>
      </c>
      <c r="O101" s="13" t="s">
        <v>152</v>
      </c>
      <c r="P101" s="13" t="s">
        <v>24</v>
      </c>
      <c r="Q101" s="13"/>
      <c r="R101" s="13"/>
      <c r="S101" s="13"/>
      <c r="T101" s="85"/>
      <c r="U101" s="85"/>
      <c r="V101" s="13">
        <f t="shared" ca="1" si="1"/>
        <v>-46085</v>
      </c>
      <c r="W101" s="13" t="str">
        <f t="shared" ca="1" si="2"/>
        <v>Vencido</v>
      </c>
      <c r="X101" s="152"/>
    </row>
    <row r="102" spans="1:24" ht="65.25" customHeight="1">
      <c r="A102" s="6" t="s">
        <v>59</v>
      </c>
      <c r="B102" s="6" t="s">
        <v>204</v>
      </c>
      <c r="C102" s="53">
        <v>6780520</v>
      </c>
      <c r="D102" s="54">
        <v>8</v>
      </c>
      <c r="E102" s="19" t="e">
        <f ca="1">DATEDIF(#REF!,TODAY(),"Y")</f>
        <v>#REF!</v>
      </c>
      <c r="F102" s="19" t="s">
        <v>18</v>
      </c>
      <c r="G102" s="6" t="s">
        <v>193</v>
      </c>
      <c r="H102" s="19">
        <v>2024</v>
      </c>
      <c r="I102" s="19"/>
      <c r="J102" s="19" t="s">
        <v>62</v>
      </c>
      <c r="K102" s="19" t="s">
        <v>21</v>
      </c>
      <c r="L102" s="73">
        <v>45427</v>
      </c>
      <c r="M102" s="6"/>
      <c r="N102" s="19" t="s">
        <v>23</v>
      </c>
      <c r="O102" s="6" t="s">
        <v>149</v>
      </c>
      <c r="P102" s="6" t="s">
        <v>24</v>
      </c>
      <c r="Q102" s="6"/>
      <c r="R102" s="6"/>
      <c r="S102" s="6"/>
      <c r="T102" s="6"/>
      <c r="U102" s="75"/>
      <c r="V102" s="6">
        <f t="shared" ca="1" si="1"/>
        <v>-46085</v>
      </c>
      <c r="W102" s="6" t="str">
        <f t="shared" ca="1" si="2"/>
        <v>Vencido</v>
      </c>
      <c r="X102" s="6"/>
    </row>
    <row r="103" spans="1:24" ht="65.25" customHeight="1">
      <c r="A103" s="6" t="s">
        <v>59</v>
      </c>
      <c r="B103" s="6" t="s">
        <v>205</v>
      </c>
      <c r="C103" s="53">
        <v>3903609</v>
      </c>
      <c r="D103" s="54">
        <v>6</v>
      </c>
      <c r="E103" s="19" t="e">
        <f ca="1">DATEDIF(#REF!,TODAY(),"Y")</f>
        <v>#REF!</v>
      </c>
      <c r="F103" s="19" t="s">
        <v>18</v>
      </c>
      <c r="G103" s="6" t="s">
        <v>206</v>
      </c>
      <c r="H103" s="19" t="s">
        <v>174</v>
      </c>
      <c r="I103" s="19" t="s">
        <v>178</v>
      </c>
      <c r="J103" s="19"/>
      <c r="K103" s="19" t="s">
        <v>52</v>
      </c>
      <c r="L103" s="19" t="s">
        <v>180</v>
      </c>
      <c r="M103" s="6" t="s">
        <v>176</v>
      </c>
      <c r="N103" s="19" t="s">
        <v>23</v>
      </c>
      <c r="O103" s="6" t="s">
        <v>149</v>
      </c>
      <c r="P103" s="6" t="s">
        <v>207</v>
      </c>
      <c r="Q103" s="6"/>
      <c r="R103" s="6"/>
      <c r="S103" s="6"/>
      <c r="T103" s="6"/>
      <c r="U103" s="75"/>
      <c r="V103" s="6">
        <f t="shared" ca="1" si="1"/>
        <v>-46085</v>
      </c>
      <c r="W103" s="6" t="str">
        <f t="shared" ca="1" si="2"/>
        <v>Vencido</v>
      </c>
      <c r="X103" s="6"/>
    </row>
    <row r="104" spans="1:24" ht="65.25" customHeight="1">
      <c r="A104" s="6" t="s">
        <v>59</v>
      </c>
      <c r="B104" s="6" t="s">
        <v>208</v>
      </c>
      <c r="C104" s="53">
        <v>10351578</v>
      </c>
      <c r="D104" s="54">
        <v>5</v>
      </c>
      <c r="E104" s="19" t="e">
        <f ca="1">DATEDIF(#REF!,TODAY(),"Y")</f>
        <v>#REF!</v>
      </c>
      <c r="F104" s="61" t="s">
        <v>64</v>
      </c>
      <c r="G104" s="6" t="s">
        <v>197</v>
      </c>
      <c r="H104" s="19" t="s">
        <v>174</v>
      </c>
      <c r="I104" s="19" t="s">
        <v>178</v>
      </c>
      <c r="J104" s="19" t="s">
        <v>20</v>
      </c>
      <c r="K104" s="19" t="s">
        <v>52</v>
      </c>
      <c r="L104" s="19" t="s">
        <v>180</v>
      </c>
      <c r="M104" s="6" t="s">
        <v>176</v>
      </c>
      <c r="N104" s="19" t="s">
        <v>23</v>
      </c>
      <c r="O104" s="6" t="s">
        <v>149</v>
      </c>
      <c r="P104" s="6" t="s">
        <v>24</v>
      </c>
      <c r="Q104" s="6"/>
      <c r="R104" s="6"/>
      <c r="S104" s="6"/>
      <c r="T104" s="6"/>
      <c r="U104" s="75"/>
      <c r="V104" s="6">
        <f t="shared" ca="1" si="1"/>
        <v>-46085</v>
      </c>
      <c r="W104" s="6" t="str">
        <f t="shared" ca="1" si="2"/>
        <v>Vencido</v>
      </c>
      <c r="X104" s="6"/>
    </row>
    <row r="105" spans="1:24" ht="65.25" customHeight="1">
      <c r="A105" s="6" t="s">
        <v>59</v>
      </c>
      <c r="B105" s="6" t="s">
        <v>209</v>
      </c>
      <c r="C105" s="53">
        <v>6109873</v>
      </c>
      <c r="D105" s="54">
        <v>9</v>
      </c>
      <c r="E105" s="19" t="e">
        <f ca="1">DATEDIF(#REF!,TODAY(),"Y")</f>
        <v>#REF!</v>
      </c>
      <c r="F105" s="19" t="s">
        <v>18</v>
      </c>
      <c r="G105" s="6" t="s">
        <v>193</v>
      </c>
      <c r="H105" s="19" t="s">
        <v>174</v>
      </c>
      <c r="I105" s="19" t="s">
        <v>178</v>
      </c>
      <c r="J105" s="19" t="s">
        <v>166</v>
      </c>
      <c r="K105" s="19" t="s">
        <v>52</v>
      </c>
      <c r="L105" s="19" t="s">
        <v>180</v>
      </c>
      <c r="M105" s="6" t="s">
        <v>176</v>
      </c>
      <c r="N105" s="19" t="s">
        <v>23</v>
      </c>
      <c r="O105" s="6" t="s">
        <v>149</v>
      </c>
      <c r="P105" s="6" t="s">
        <v>24</v>
      </c>
      <c r="Q105" s="6"/>
      <c r="R105" s="6"/>
      <c r="S105" s="6"/>
      <c r="T105" s="6"/>
      <c r="U105" s="75"/>
      <c r="V105" s="6">
        <f t="shared" ca="1" si="1"/>
        <v>-46085</v>
      </c>
      <c r="W105" s="6" t="str">
        <f t="shared" ca="1" si="2"/>
        <v>Vencido</v>
      </c>
      <c r="X105" s="6"/>
    </row>
    <row r="106" spans="1:24" ht="65.25" customHeight="1">
      <c r="A106" s="6" t="s">
        <v>184</v>
      </c>
      <c r="B106" s="6" t="s">
        <v>210</v>
      </c>
      <c r="C106" s="53">
        <v>12263650</v>
      </c>
      <c r="D106" s="54" t="s">
        <v>129</v>
      </c>
      <c r="E106" s="19" t="e">
        <f ca="1">DATEDIF(#REF!,TODAY(),"Y")</f>
        <v>#REF!</v>
      </c>
      <c r="F106" s="19"/>
      <c r="G106" s="6" t="s">
        <v>211</v>
      </c>
      <c r="H106" s="19" t="s">
        <v>174</v>
      </c>
      <c r="I106" s="19" t="s">
        <v>178</v>
      </c>
      <c r="J106" s="19"/>
      <c r="K106" s="19"/>
      <c r="L106" s="19" t="s">
        <v>180</v>
      </c>
      <c r="M106" s="6" t="s">
        <v>176</v>
      </c>
      <c r="N106" s="19" t="s">
        <v>23</v>
      </c>
      <c r="O106" s="6"/>
      <c r="P106" s="6" t="s">
        <v>212</v>
      </c>
      <c r="Q106" s="6"/>
      <c r="R106" s="6"/>
      <c r="S106" s="6"/>
      <c r="T106" s="6"/>
      <c r="U106" s="75"/>
      <c r="V106" s="6">
        <f t="shared" ca="1" si="1"/>
        <v>-46085</v>
      </c>
      <c r="W106" s="6" t="str">
        <f t="shared" ca="1" si="2"/>
        <v>Vencido</v>
      </c>
      <c r="X106" s="6"/>
    </row>
    <row r="107" spans="1:24" ht="65.25" customHeight="1">
      <c r="A107" s="6" t="s">
        <v>59</v>
      </c>
      <c r="B107" s="6" t="s">
        <v>213</v>
      </c>
      <c r="C107" s="53">
        <v>12350596</v>
      </c>
      <c r="D107" s="54">
        <v>4</v>
      </c>
      <c r="E107" s="19" t="e">
        <f ca="1">DATEDIF(#REF!,TODAY(),"Y")</f>
        <v>#REF!</v>
      </c>
      <c r="F107" s="19" t="s">
        <v>18</v>
      </c>
      <c r="G107" s="6" t="s">
        <v>214</v>
      </c>
      <c r="H107" s="19">
        <v>2024</v>
      </c>
      <c r="I107" s="73">
        <v>45391</v>
      </c>
      <c r="J107" s="19" t="s">
        <v>62</v>
      </c>
      <c r="K107" s="19" t="s">
        <v>32</v>
      </c>
      <c r="L107" s="73">
        <v>45399</v>
      </c>
      <c r="M107" s="6"/>
      <c r="N107" s="19" t="s">
        <v>34</v>
      </c>
      <c r="O107" s="6" t="s">
        <v>149</v>
      </c>
      <c r="P107" s="6" t="s">
        <v>24</v>
      </c>
      <c r="Q107" s="6"/>
      <c r="R107" s="6"/>
      <c r="S107" s="6"/>
      <c r="T107" s="6"/>
      <c r="U107" s="75"/>
      <c r="V107" s="6">
        <f t="shared" ref="V107:V115" ca="1" si="3">U107-TODAY()</f>
        <v>-46085</v>
      </c>
      <c r="W107" s="6" t="str">
        <f t="shared" ref="W107:W115" ca="1" si="4">IF(V107&gt;=20,"Vigente",IF(AND(V107&gt;=1,V107&lt;=20),"Por Vencer","Vencido"))</f>
        <v>Vencido</v>
      </c>
      <c r="X107" s="6"/>
    </row>
    <row r="108" spans="1:24" ht="65.25" customHeight="1">
      <c r="A108" s="6" t="s">
        <v>184</v>
      </c>
      <c r="B108" s="6" t="s">
        <v>215</v>
      </c>
      <c r="C108" s="53">
        <v>5250029</v>
      </c>
      <c r="D108" s="54" t="s">
        <v>129</v>
      </c>
      <c r="E108" s="19" t="e">
        <f ca="1">DATEDIF(#REF!,TODAY(),"Y")</f>
        <v>#REF!</v>
      </c>
      <c r="F108" s="19" t="s">
        <v>26</v>
      </c>
      <c r="G108" s="6" t="s">
        <v>54</v>
      </c>
      <c r="H108" s="19">
        <v>2023</v>
      </c>
      <c r="I108" s="102">
        <v>45104</v>
      </c>
      <c r="J108" s="19" t="s">
        <v>20</v>
      </c>
      <c r="K108" s="19" t="s">
        <v>32</v>
      </c>
      <c r="L108" s="73">
        <v>45156</v>
      </c>
      <c r="M108" s="6"/>
      <c r="N108" s="19" t="s">
        <v>34</v>
      </c>
      <c r="O108" s="6" t="s">
        <v>152</v>
      </c>
      <c r="P108" s="6" t="s">
        <v>24</v>
      </c>
      <c r="Q108" s="6"/>
      <c r="R108" s="6"/>
      <c r="S108" s="6"/>
      <c r="T108" s="6"/>
      <c r="U108" s="75"/>
      <c r="V108" s="6">
        <f t="shared" ca="1" si="3"/>
        <v>-46085</v>
      </c>
      <c r="W108" s="6" t="str">
        <f t="shared" ca="1" si="4"/>
        <v>Vencido</v>
      </c>
      <c r="X108" s="6"/>
    </row>
    <row r="109" spans="1:24" ht="65.25" customHeight="1">
      <c r="A109" s="6" t="s">
        <v>59</v>
      </c>
      <c r="B109" s="6" t="s">
        <v>216</v>
      </c>
      <c r="C109" s="53">
        <v>4631619</v>
      </c>
      <c r="D109" s="54">
        <v>3</v>
      </c>
      <c r="E109" s="19" t="e">
        <f ca="1">DATEDIF(#REF!,TODAY(),"Y")</f>
        <v>#REF!</v>
      </c>
      <c r="F109" s="19" t="s">
        <v>18</v>
      </c>
      <c r="G109" s="6" t="s">
        <v>19</v>
      </c>
      <c r="H109" s="19">
        <v>2024</v>
      </c>
      <c r="I109" s="73">
        <v>45308</v>
      </c>
      <c r="J109" s="19" t="s">
        <v>20</v>
      </c>
      <c r="K109" s="19" t="s">
        <v>32</v>
      </c>
      <c r="L109" s="19" t="s">
        <v>180</v>
      </c>
      <c r="M109" s="6" t="s">
        <v>176</v>
      </c>
      <c r="N109" s="19" t="s">
        <v>40</v>
      </c>
      <c r="O109" s="6" t="s">
        <v>152</v>
      </c>
      <c r="P109" s="6" t="s">
        <v>24</v>
      </c>
      <c r="Q109" s="6"/>
      <c r="R109" s="6"/>
      <c r="S109" s="6"/>
      <c r="T109" s="6"/>
      <c r="U109" s="75"/>
      <c r="V109" s="6">
        <f t="shared" ca="1" si="3"/>
        <v>-46085</v>
      </c>
      <c r="W109" s="6" t="str">
        <f t="shared" ca="1" si="4"/>
        <v>Vencido</v>
      </c>
      <c r="X109" s="6"/>
    </row>
    <row r="110" spans="1:24" ht="65.25" customHeight="1">
      <c r="A110" s="6" t="s">
        <v>184</v>
      </c>
      <c r="B110" s="6" t="s">
        <v>217</v>
      </c>
      <c r="C110" s="53">
        <v>23296172</v>
      </c>
      <c r="D110" s="54">
        <v>4</v>
      </c>
      <c r="E110" s="19" t="e">
        <f ca="1">DATEDIF(#REF!,TODAY(),"Y")</f>
        <v>#REF!</v>
      </c>
      <c r="F110" s="19" t="s">
        <v>18</v>
      </c>
      <c r="G110" s="6" t="s">
        <v>54</v>
      </c>
      <c r="H110" s="19">
        <v>2023</v>
      </c>
      <c r="I110" s="73">
        <v>45125</v>
      </c>
      <c r="J110" s="19" t="s">
        <v>20</v>
      </c>
      <c r="K110" s="19" t="s">
        <v>32</v>
      </c>
      <c r="L110" s="19" t="s">
        <v>180</v>
      </c>
      <c r="M110" s="6" t="s">
        <v>176</v>
      </c>
      <c r="N110" s="19" t="s">
        <v>34</v>
      </c>
      <c r="O110" s="6" t="s">
        <v>27</v>
      </c>
      <c r="P110" s="6" t="s">
        <v>218</v>
      </c>
      <c r="Q110" s="6"/>
      <c r="R110" s="6"/>
      <c r="S110" s="6"/>
      <c r="T110" s="6"/>
      <c r="U110" s="75"/>
      <c r="V110" s="6">
        <f t="shared" ca="1" si="3"/>
        <v>-46085</v>
      </c>
      <c r="W110" s="6" t="str">
        <f t="shared" ca="1" si="4"/>
        <v>Vencido</v>
      </c>
      <c r="X110" s="6"/>
    </row>
    <row r="111" spans="1:24" ht="65.25" customHeight="1">
      <c r="A111" s="6" t="s">
        <v>59</v>
      </c>
      <c r="B111" s="6" t="s">
        <v>219</v>
      </c>
      <c r="C111" s="43">
        <v>6955226</v>
      </c>
      <c r="D111" s="54">
        <v>9</v>
      </c>
      <c r="E111" s="19" t="e">
        <f ca="1">DATEDIF(#REF!,TODAY(),"Y")</f>
        <v>#REF!</v>
      </c>
      <c r="F111" s="19" t="s">
        <v>18</v>
      </c>
      <c r="G111" s="6" t="s">
        <v>154</v>
      </c>
      <c r="H111" s="19">
        <v>2023</v>
      </c>
      <c r="I111" s="73">
        <v>45243</v>
      </c>
      <c r="J111" s="19" t="s">
        <v>20</v>
      </c>
      <c r="K111" s="19" t="s">
        <v>32</v>
      </c>
      <c r="L111" s="73">
        <v>45371</v>
      </c>
      <c r="M111" s="6"/>
      <c r="N111" s="19" t="s">
        <v>58</v>
      </c>
      <c r="O111" s="6" t="s">
        <v>149</v>
      </c>
      <c r="P111" s="6" t="s">
        <v>24</v>
      </c>
      <c r="Q111" s="6"/>
      <c r="R111" s="6"/>
      <c r="S111" s="6"/>
      <c r="T111" s="6"/>
      <c r="U111" s="75"/>
      <c r="V111" s="6">
        <f t="shared" ca="1" si="3"/>
        <v>-46085</v>
      </c>
      <c r="W111" s="6" t="str">
        <f t="shared" ca="1" si="4"/>
        <v>Vencido</v>
      </c>
      <c r="X111" s="6"/>
    </row>
    <row r="112" spans="1:24" ht="65.25" customHeight="1">
      <c r="A112" s="6" t="s">
        <v>184</v>
      </c>
      <c r="B112" s="6" t="s">
        <v>220</v>
      </c>
      <c r="C112" s="53">
        <v>4380697</v>
      </c>
      <c r="D112" s="54">
        <v>1</v>
      </c>
      <c r="E112" s="19" t="e">
        <f ca="1">DATEDIF(#REF!,TODAY(),"Y")</f>
        <v>#REF!</v>
      </c>
      <c r="F112" s="61" t="s">
        <v>64</v>
      </c>
      <c r="G112" s="6" t="s">
        <v>54</v>
      </c>
      <c r="H112" s="19">
        <v>2024</v>
      </c>
      <c r="I112" s="73">
        <v>45335</v>
      </c>
      <c r="J112" s="19" t="s">
        <v>62</v>
      </c>
      <c r="K112" s="19" t="s">
        <v>32</v>
      </c>
      <c r="L112" s="73">
        <v>45371</v>
      </c>
      <c r="M112" s="6"/>
      <c r="N112" s="19" t="s">
        <v>34</v>
      </c>
      <c r="O112" s="6" t="s">
        <v>152</v>
      </c>
      <c r="P112" s="6" t="s">
        <v>24</v>
      </c>
      <c r="Q112" s="6"/>
      <c r="R112" s="6"/>
      <c r="S112" s="6"/>
      <c r="T112" s="6"/>
      <c r="U112" s="75"/>
      <c r="V112" s="6">
        <f t="shared" ca="1" si="3"/>
        <v>-46085</v>
      </c>
      <c r="W112" s="6" t="str">
        <f t="shared" ca="1" si="4"/>
        <v>Vencido</v>
      </c>
      <c r="X112" s="6"/>
    </row>
    <row r="113" spans="1:24" ht="65.25" customHeight="1">
      <c r="A113" s="6" t="s">
        <v>184</v>
      </c>
      <c r="B113" s="6" t="s">
        <v>221</v>
      </c>
      <c r="C113" s="53">
        <v>6407404</v>
      </c>
      <c r="D113" s="54">
        <v>0</v>
      </c>
      <c r="E113" s="19" t="e">
        <f ca="1">DATEDIF(#REF!,TODAY(),"Y")</f>
        <v>#REF!</v>
      </c>
      <c r="F113" s="19" t="s">
        <v>18</v>
      </c>
      <c r="G113" s="6" t="s">
        <v>54</v>
      </c>
      <c r="H113" s="19">
        <v>2024</v>
      </c>
      <c r="I113" s="73">
        <v>45462</v>
      </c>
      <c r="J113" s="19" t="s">
        <v>62</v>
      </c>
      <c r="K113" s="19" t="s">
        <v>32</v>
      </c>
      <c r="L113" s="73">
        <v>45474</v>
      </c>
      <c r="M113" s="6"/>
      <c r="N113" s="19" t="s">
        <v>34</v>
      </c>
      <c r="O113" s="6" t="s">
        <v>152</v>
      </c>
      <c r="P113" s="6" t="s">
        <v>24</v>
      </c>
      <c r="Q113" s="6"/>
      <c r="R113" s="6"/>
      <c r="S113" s="6"/>
      <c r="T113" s="6"/>
      <c r="U113" s="75">
        <v>45476.604166666701</v>
      </c>
      <c r="V113" s="6">
        <f t="shared" ca="1" si="3"/>
        <v>-608.39583333329938</v>
      </c>
      <c r="W113" s="6" t="str">
        <f t="shared" ca="1" si="4"/>
        <v>Vencido</v>
      </c>
      <c r="X113" s="6"/>
    </row>
    <row r="114" spans="1:24" ht="65.25" customHeight="1">
      <c r="A114" s="6" t="s">
        <v>184</v>
      </c>
      <c r="B114" s="6" t="s">
        <v>222</v>
      </c>
      <c r="C114" s="2">
        <v>10934477</v>
      </c>
      <c r="D114" s="54" t="s">
        <v>129</v>
      </c>
      <c r="E114" s="19" t="e">
        <f ca="1">DATEDIF(#REF!,TODAY(),"Y")</f>
        <v>#REF!</v>
      </c>
      <c r="F114" s="19" t="s">
        <v>18</v>
      </c>
      <c r="G114" s="6" t="s">
        <v>54</v>
      </c>
      <c r="H114" s="19">
        <v>2022</v>
      </c>
      <c r="I114" s="73">
        <v>44833</v>
      </c>
      <c r="J114" s="19" t="s">
        <v>20</v>
      </c>
      <c r="K114" s="19" t="s">
        <v>32</v>
      </c>
      <c r="L114" s="19" t="s">
        <v>180</v>
      </c>
      <c r="M114" s="6" t="s">
        <v>176</v>
      </c>
      <c r="N114" s="19" t="s">
        <v>34</v>
      </c>
      <c r="O114" s="6" t="s">
        <v>152</v>
      </c>
      <c r="P114" s="6" t="s">
        <v>223</v>
      </c>
      <c r="Q114" s="6"/>
      <c r="R114" s="6"/>
      <c r="S114" s="6"/>
      <c r="T114" s="6"/>
      <c r="U114" s="75"/>
      <c r="V114" s="6">
        <f t="shared" ca="1" si="3"/>
        <v>-46085</v>
      </c>
      <c r="W114" s="6" t="str">
        <f t="shared" ca="1" si="4"/>
        <v>Vencido</v>
      </c>
      <c r="X114" s="6"/>
    </row>
    <row r="115" spans="1:24" ht="65.25" customHeight="1">
      <c r="A115" s="6" t="s">
        <v>59</v>
      </c>
      <c r="B115" s="6" t="s">
        <v>224</v>
      </c>
      <c r="C115" s="53">
        <v>5695315</v>
      </c>
      <c r="D115" s="54">
        <v>9</v>
      </c>
      <c r="E115" s="19" t="e">
        <f ca="1">DATEDIF(#REF!,TODAY(),"Y")</f>
        <v>#REF!</v>
      </c>
      <c r="F115" s="19" t="s">
        <v>18</v>
      </c>
      <c r="G115" s="6" t="s">
        <v>80</v>
      </c>
      <c r="H115" s="19" t="s">
        <v>174</v>
      </c>
      <c r="I115" s="19" t="s">
        <v>178</v>
      </c>
      <c r="J115" s="19" t="s">
        <v>161</v>
      </c>
      <c r="K115" s="19" t="s">
        <v>32</v>
      </c>
      <c r="L115" s="73">
        <v>45131</v>
      </c>
      <c r="M115" s="6"/>
      <c r="N115" s="19" t="s">
        <v>40</v>
      </c>
      <c r="O115" s="6" t="s">
        <v>149</v>
      </c>
      <c r="P115" s="6" t="s">
        <v>225</v>
      </c>
      <c r="Q115" s="6"/>
      <c r="R115" s="6"/>
      <c r="S115" s="6"/>
      <c r="T115" s="6"/>
      <c r="U115" s="75"/>
      <c r="V115" s="6">
        <f t="shared" ca="1" si="3"/>
        <v>-46085</v>
      </c>
      <c r="W115" s="6" t="str">
        <f t="shared" ca="1" si="4"/>
        <v>Vencido</v>
      </c>
      <c r="X115" s="6"/>
    </row>
    <row r="116" spans="1:24" ht="65.25" customHeight="1">
      <c r="A116" s="6" t="s">
        <v>59</v>
      </c>
      <c r="B116" s="6" t="s">
        <v>226</v>
      </c>
      <c r="C116" s="53">
        <v>7674012</v>
      </c>
      <c r="D116" s="54">
        <v>7</v>
      </c>
      <c r="E116" s="19" t="e">
        <f ca="1">DATEDIF(#REF!,TODAY(),"Y")</f>
        <v>#REF!</v>
      </c>
      <c r="F116" s="19" t="s">
        <v>26</v>
      </c>
      <c r="G116" s="6" t="s">
        <v>227</v>
      </c>
      <c r="H116" s="19" t="s">
        <v>174</v>
      </c>
      <c r="I116" s="19" t="s">
        <v>178</v>
      </c>
      <c r="J116" s="19" t="s">
        <v>161</v>
      </c>
      <c r="K116" s="19" t="s">
        <v>21</v>
      </c>
      <c r="L116" s="73">
        <v>45019</v>
      </c>
      <c r="M116" s="6"/>
      <c r="N116" s="19" t="s">
        <v>23</v>
      </c>
      <c r="O116" s="6" t="s">
        <v>149</v>
      </c>
      <c r="P116" s="6" t="s">
        <v>225</v>
      </c>
      <c r="Q116" s="6"/>
      <c r="R116" s="6"/>
      <c r="S116" s="6"/>
      <c r="T116" s="6"/>
      <c r="U116" s="75"/>
      <c r="V116" s="6">
        <f t="shared" ref="V116:V125" ca="1" si="5">U116-TODAY()</f>
        <v>-46085</v>
      </c>
      <c r="W116" s="6" t="str">
        <f t="shared" ref="W116:W125" ca="1" si="6">IF(V116&gt;=20,"Vigente",IF(AND(V116&gt;=1,V116&lt;=20),"Por Vencer","Vencido"))</f>
        <v>Vencido</v>
      </c>
      <c r="X116" s="6"/>
    </row>
    <row r="117" spans="1:24" ht="65.25" customHeight="1">
      <c r="A117" s="6" t="s">
        <v>184</v>
      </c>
      <c r="B117" s="6" t="s">
        <v>228</v>
      </c>
      <c r="C117" s="53">
        <v>6810002</v>
      </c>
      <c r="D117" s="54" t="s">
        <v>129</v>
      </c>
      <c r="E117" s="19" t="e">
        <f ca="1">DATEDIF(#REF!,TODAY(),"Y")</f>
        <v>#REF!</v>
      </c>
      <c r="F117" s="19" t="s">
        <v>18</v>
      </c>
      <c r="G117" s="6" t="s">
        <v>19</v>
      </c>
      <c r="H117" s="19">
        <v>2023</v>
      </c>
      <c r="I117" s="73">
        <v>44971</v>
      </c>
      <c r="J117" s="19" t="s">
        <v>20</v>
      </c>
      <c r="K117" s="19" t="s">
        <v>32</v>
      </c>
      <c r="L117" s="73">
        <v>45026</v>
      </c>
      <c r="M117" s="6"/>
      <c r="N117" s="19" t="s">
        <v>34</v>
      </c>
      <c r="O117" s="6" t="s">
        <v>152</v>
      </c>
      <c r="P117" s="6" t="s">
        <v>24</v>
      </c>
      <c r="Q117" s="6"/>
      <c r="R117" s="6"/>
      <c r="S117" s="6"/>
      <c r="T117" s="6"/>
      <c r="U117" s="75"/>
      <c r="V117" s="6">
        <f t="shared" ca="1" si="5"/>
        <v>-46085</v>
      </c>
      <c r="W117" s="6" t="str">
        <f t="shared" ca="1" si="6"/>
        <v>Vencido</v>
      </c>
      <c r="X117" s="6"/>
    </row>
    <row r="118" spans="1:24" s="42" customFormat="1" ht="65.25" customHeight="1">
      <c r="A118" s="6" t="s">
        <v>184</v>
      </c>
      <c r="B118" s="6" t="s">
        <v>229</v>
      </c>
      <c r="C118" s="53">
        <v>8414484</v>
      </c>
      <c r="D118" s="54">
        <v>3</v>
      </c>
      <c r="E118" s="19" t="e">
        <f ca="1">DATEDIF(#REF!,TODAY(),"Y")</f>
        <v>#REF!</v>
      </c>
      <c r="F118" s="19" t="s">
        <v>26</v>
      </c>
      <c r="G118" s="6" t="s">
        <v>54</v>
      </c>
      <c r="H118" s="19">
        <v>2023</v>
      </c>
      <c r="I118" s="73">
        <v>45222</v>
      </c>
      <c r="J118" s="19" t="s">
        <v>20</v>
      </c>
      <c r="K118" s="19" t="s">
        <v>32</v>
      </c>
      <c r="L118" s="73">
        <v>45245</v>
      </c>
      <c r="M118" s="6"/>
      <c r="N118" s="19" t="s">
        <v>34</v>
      </c>
      <c r="O118" s="6" t="s">
        <v>152</v>
      </c>
      <c r="P118" s="6" t="s">
        <v>223</v>
      </c>
      <c r="Q118" s="6"/>
      <c r="R118" s="6"/>
      <c r="S118" s="6"/>
      <c r="T118" s="6"/>
      <c r="U118" s="46"/>
      <c r="V118" s="6">
        <f t="shared" ca="1" si="5"/>
        <v>-46085</v>
      </c>
      <c r="W118" s="6" t="str">
        <f t="shared" ca="1" si="6"/>
        <v>Vencido</v>
      </c>
      <c r="X118" s="6"/>
    </row>
    <row r="119" spans="1:24" ht="65.25" customHeight="1">
      <c r="A119" s="6" t="s">
        <v>184</v>
      </c>
      <c r="B119" s="6" t="s">
        <v>230</v>
      </c>
      <c r="C119" s="53">
        <v>3777203</v>
      </c>
      <c r="D119" s="54">
        <v>8</v>
      </c>
      <c r="E119" s="19" t="e">
        <f ca="1">DATEDIF(#REF!,TODAY(),"Y")</f>
        <v>#REF!</v>
      </c>
      <c r="F119" s="61" t="s">
        <v>64</v>
      </c>
      <c r="G119" s="6" t="s">
        <v>19</v>
      </c>
      <c r="H119" s="19">
        <v>2023</v>
      </c>
      <c r="I119" s="73">
        <v>45054</v>
      </c>
      <c r="J119" s="19" t="s">
        <v>20</v>
      </c>
      <c r="K119" s="19" t="s">
        <v>32</v>
      </c>
      <c r="L119" s="73">
        <v>45320</v>
      </c>
      <c r="M119" s="6"/>
      <c r="N119" s="19" t="s">
        <v>58</v>
      </c>
      <c r="O119" s="6" t="s">
        <v>27</v>
      </c>
      <c r="P119" s="6" t="s">
        <v>24</v>
      </c>
      <c r="Q119" s="6"/>
      <c r="R119" s="6"/>
      <c r="S119" s="6"/>
      <c r="T119" s="6"/>
      <c r="U119" s="75"/>
      <c r="V119" s="6">
        <f t="shared" ca="1" si="5"/>
        <v>-46085</v>
      </c>
      <c r="W119" s="6" t="str">
        <f t="shared" ca="1" si="6"/>
        <v>Vencido</v>
      </c>
      <c r="X119" s="6"/>
    </row>
    <row r="120" spans="1:24" ht="65.25" customHeight="1">
      <c r="A120" s="6" t="s">
        <v>184</v>
      </c>
      <c r="B120" s="6" t="s">
        <v>231</v>
      </c>
      <c r="C120" s="53">
        <v>3798862</v>
      </c>
      <c r="D120" s="54">
        <v>6</v>
      </c>
      <c r="E120" s="19" t="e">
        <f ca="1">DATEDIF(#REF!,TODAY(),"Y")</f>
        <v>#REF!</v>
      </c>
      <c r="F120" s="19" t="s">
        <v>18</v>
      </c>
      <c r="G120" s="6" t="s">
        <v>54</v>
      </c>
      <c r="H120" s="19">
        <v>2024</v>
      </c>
      <c r="I120" s="73">
        <v>45331</v>
      </c>
      <c r="J120" s="19" t="s">
        <v>62</v>
      </c>
      <c r="K120" s="19" t="s">
        <v>52</v>
      </c>
      <c r="L120" s="19" t="s">
        <v>180</v>
      </c>
      <c r="M120" s="6" t="s">
        <v>176</v>
      </c>
      <c r="N120" s="19" t="s">
        <v>58</v>
      </c>
      <c r="O120" s="6" t="s">
        <v>152</v>
      </c>
      <c r="P120" s="6" t="s">
        <v>24</v>
      </c>
      <c r="Q120" s="6"/>
      <c r="R120" s="6"/>
      <c r="S120" s="6"/>
      <c r="T120" s="6"/>
      <c r="U120" s="75"/>
      <c r="V120" s="6">
        <f t="shared" ca="1" si="5"/>
        <v>-46085</v>
      </c>
      <c r="W120" s="6" t="str">
        <f t="shared" ca="1" si="6"/>
        <v>Vencido</v>
      </c>
      <c r="X120" s="6"/>
    </row>
    <row r="121" spans="1:24" ht="65.25" customHeight="1">
      <c r="A121" s="6" t="s">
        <v>184</v>
      </c>
      <c r="B121" s="6" t="s">
        <v>232</v>
      </c>
      <c r="C121" s="53">
        <v>15042965</v>
      </c>
      <c r="D121" s="54" t="s">
        <v>129</v>
      </c>
      <c r="E121" s="19" t="e">
        <f ca="1">DATEDIF(#REF!,TODAY(),"Y")</f>
        <v>#REF!</v>
      </c>
      <c r="F121" s="61" t="s">
        <v>64</v>
      </c>
      <c r="G121" s="6" t="s">
        <v>68</v>
      </c>
      <c r="H121" s="19">
        <v>2022</v>
      </c>
      <c r="I121" s="73">
        <v>44669</v>
      </c>
      <c r="J121" s="19" t="s">
        <v>20</v>
      </c>
      <c r="K121" s="19" t="s">
        <v>21</v>
      </c>
      <c r="L121" s="73">
        <v>45180</v>
      </c>
      <c r="M121" s="6"/>
      <c r="N121" s="19" t="s">
        <v>58</v>
      </c>
      <c r="O121" s="6" t="s">
        <v>152</v>
      </c>
      <c r="P121" s="6" t="s">
        <v>24</v>
      </c>
      <c r="Q121" s="6"/>
      <c r="R121" s="6"/>
      <c r="S121" s="6"/>
      <c r="T121" s="6"/>
      <c r="U121" s="75"/>
      <c r="V121" s="6">
        <f t="shared" ca="1" si="5"/>
        <v>-46085</v>
      </c>
      <c r="W121" s="6" t="str">
        <f t="shared" ca="1" si="6"/>
        <v>Vencido</v>
      </c>
      <c r="X121" s="6"/>
    </row>
    <row r="122" spans="1:24" ht="65.25" customHeight="1">
      <c r="A122" s="6" t="s">
        <v>59</v>
      </c>
      <c r="B122" s="6" t="s">
        <v>233</v>
      </c>
      <c r="C122" s="53">
        <v>7276411</v>
      </c>
      <c r="D122" s="54">
        <v>0</v>
      </c>
      <c r="E122" s="19" t="e">
        <f ca="1">DATEDIF(#REF!,TODAY(),"Y")</f>
        <v>#REF!</v>
      </c>
      <c r="F122" s="19" t="s">
        <v>18</v>
      </c>
      <c r="G122" s="6" t="s">
        <v>234</v>
      </c>
      <c r="H122" s="19" t="s">
        <v>174</v>
      </c>
      <c r="I122" s="19" t="s">
        <v>178</v>
      </c>
      <c r="J122" s="19" t="s">
        <v>161</v>
      </c>
      <c r="K122" s="19" t="s">
        <v>21</v>
      </c>
      <c r="L122" s="73">
        <v>45510</v>
      </c>
      <c r="M122" s="6" t="s">
        <v>235</v>
      </c>
      <c r="N122" s="19" t="s">
        <v>58</v>
      </c>
      <c r="O122" s="6" t="s">
        <v>149</v>
      </c>
      <c r="P122" s="6" t="s">
        <v>24</v>
      </c>
      <c r="Q122" s="6"/>
      <c r="R122" s="6"/>
      <c r="S122" s="6"/>
      <c r="T122" s="75"/>
      <c r="U122" s="75"/>
      <c r="V122" s="6">
        <f t="shared" ca="1" si="5"/>
        <v>-46085</v>
      </c>
      <c r="W122" s="6" t="str">
        <f t="shared" ca="1" si="6"/>
        <v>Vencido</v>
      </c>
      <c r="X122" s="6"/>
    </row>
    <row r="123" spans="1:24" ht="65.25" customHeight="1">
      <c r="A123" s="6" t="s">
        <v>59</v>
      </c>
      <c r="B123" s="6" t="s">
        <v>236</v>
      </c>
      <c r="C123" s="53">
        <v>12117717</v>
      </c>
      <c r="D123" s="54" t="s">
        <v>87</v>
      </c>
      <c r="E123" s="19" t="e">
        <f ca="1">DATEDIF(#REF!,TODAY(),"Y")</f>
        <v>#REF!</v>
      </c>
      <c r="F123" s="61" t="s">
        <v>64</v>
      </c>
      <c r="G123" s="6" t="s">
        <v>197</v>
      </c>
      <c r="H123" s="19">
        <v>2024</v>
      </c>
      <c r="I123" s="19"/>
      <c r="J123" s="19" t="s">
        <v>62</v>
      </c>
      <c r="K123" s="19" t="s">
        <v>32</v>
      </c>
      <c r="L123" s="73">
        <v>45378</v>
      </c>
      <c r="M123" s="6"/>
      <c r="N123" s="19" t="s">
        <v>58</v>
      </c>
      <c r="O123" s="6" t="s">
        <v>152</v>
      </c>
      <c r="P123" s="6" t="s">
        <v>24</v>
      </c>
      <c r="Q123" s="6"/>
      <c r="R123" s="6"/>
      <c r="S123" s="6"/>
      <c r="T123" s="6"/>
      <c r="U123" s="75"/>
      <c r="V123" s="6">
        <f t="shared" ca="1" si="5"/>
        <v>-46085</v>
      </c>
      <c r="W123" s="6" t="str">
        <f t="shared" ca="1" si="6"/>
        <v>Vencido</v>
      </c>
      <c r="X123" s="6"/>
    </row>
    <row r="124" spans="1:24" ht="65.25" customHeight="1">
      <c r="A124" s="6" t="s">
        <v>184</v>
      </c>
      <c r="B124" s="6" t="s">
        <v>237</v>
      </c>
      <c r="C124" s="53">
        <v>4920889</v>
      </c>
      <c r="D124" s="54">
        <v>8</v>
      </c>
      <c r="E124" s="19" t="e">
        <f ca="1">DATEDIF(#REF!,TODAY(),"Y")</f>
        <v>#REF!</v>
      </c>
      <c r="F124" s="19" t="s">
        <v>18</v>
      </c>
      <c r="G124" s="6" t="s">
        <v>54</v>
      </c>
      <c r="H124" s="19">
        <v>2023</v>
      </c>
      <c r="I124" s="73">
        <v>45198</v>
      </c>
      <c r="J124" s="19" t="s">
        <v>20</v>
      </c>
      <c r="K124" s="19" t="s">
        <v>21</v>
      </c>
      <c r="L124" s="73">
        <v>45336</v>
      </c>
      <c r="M124" s="6"/>
      <c r="N124" s="19" t="s">
        <v>58</v>
      </c>
      <c r="O124" s="6" t="s">
        <v>152</v>
      </c>
      <c r="P124" s="6" t="s">
        <v>24</v>
      </c>
      <c r="Q124" s="6"/>
      <c r="R124" s="6"/>
      <c r="S124" s="6"/>
      <c r="T124" s="6"/>
      <c r="U124" s="75"/>
      <c r="V124" s="6">
        <f t="shared" ca="1" si="5"/>
        <v>-46085</v>
      </c>
      <c r="W124" s="6" t="str">
        <f t="shared" ca="1" si="6"/>
        <v>Vencido</v>
      </c>
      <c r="X124" s="6"/>
    </row>
    <row r="125" spans="1:24" ht="65.25" customHeight="1">
      <c r="A125" s="6" t="s">
        <v>59</v>
      </c>
      <c r="B125" s="6" t="s">
        <v>238</v>
      </c>
      <c r="C125" s="53">
        <v>5218485</v>
      </c>
      <c r="D125" s="54">
        <v>1</v>
      </c>
      <c r="E125" s="19" t="e">
        <f ca="1">DATEDIF(#REF!,TODAY(),"Y")</f>
        <v>#REF!</v>
      </c>
      <c r="F125" s="61" t="s">
        <v>64</v>
      </c>
      <c r="G125" s="6" t="s">
        <v>82</v>
      </c>
      <c r="H125" s="19">
        <v>2023</v>
      </c>
      <c r="I125" s="73">
        <v>45218</v>
      </c>
      <c r="J125" s="19" t="s">
        <v>20</v>
      </c>
      <c r="K125" s="19" t="s">
        <v>21</v>
      </c>
      <c r="L125" s="73">
        <v>45238</v>
      </c>
      <c r="M125" s="6"/>
      <c r="N125" s="19" t="s">
        <v>23</v>
      </c>
      <c r="O125" s="6" t="s">
        <v>152</v>
      </c>
      <c r="P125" s="6" t="s">
        <v>24</v>
      </c>
      <c r="Q125" s="6"/>
      <c r="R125" s="6"/>
      <c r="S125" s="6"/>
      <c r="T125" s="6"/>
      <c r="U125" s="75"/>
      <c r="V125" s="6">
        <f t="shared" ca="1" si="5"/>
        <v>-46085</v>
      </c>
      <c r="W125" s="6" t="str">
        <f t="shared" ca="1" si="6"/>
        <v>Vencido</v>
      </c>
      <c r="X125" s="6"/>
    </row>
    <row r="126" spans="1:24" ht="65.25" customHeight="1">
      <c r="A126" s="6" t="s">
        <v>59</v>
      </c>
      <c r="B126" s="6" t="s">
        <v>239</v>
      </c>
      <c r="C126" s="53">
        <v>3448325</v>
      </c>
      <c r="D126" s="18">
        <v>6</v>
      </c>
      <c r="E126" s="6">
        <v>94</v>
      </c>
      <c r="F126" s="19" t="s">
        <v>26</v>
      </c>
      <c r="G126" s="19" t="s">
        <v>240</v>
      </c>
      <c r="H126" s="19">
        <v>2024</v>
      </c>
      <c r="I126" s="73">
        <v>45527</v>
      </c>
      <c r="J126" s="19" t="s">
        <v>31</v>
      </c>
      <c r="K126" s="19" t="s">
        <v>241</v>
      </c>
      <c r="L126" s="6" t="s">
        <v>180</v>
      </c>
      <c r="M126" s="19" t="s">
        <v>176</v>
      </c>
      <c r="N126" s="150" t="s">
        <v>23</v>
      </c>
      <c r="O126" s="6"/>
      <c r="P126" s="6" t="s">
        <v>24</v>
      </c>
      <c r="Q126" s="6"/>
      <c r="R126" s="6"/>
      <c r="S126" s="6"/>
      <c r="T126" s="6"/>
      <c r="U126" s="75"/>
      <c r="V126" s="6">
        <f t="shared" ref="V126:V131" ca="1" si="7">U126-TODAY()</f>
        <v>-46085</v>
      </c>
      <c r="W126" s="6" t="str">
        <f t="shared" ref="W126:W131" ca="1" si="8">IF(V126&gt;=20,"Vigente",IF(AND(V126&gt;=1,V126&lt;=20),"Por Vencer","Vencido"))</f>
        <v>Vencido</v>
      </c>
      <c r="X126" s="6"/>
    </row>
    <row r="127" spans="1:24" ht="65.25" customHeight="1">
      <c r="A127" s="6" t="s">
        <v>59</v>
      </c>
      <c r="B127" s="6" t="s">
        <v>242</v>
      </c>
      <c r="C127" s="53">
        <v>10164932</v>
      </c>
      <c r="D127" s="54">
        <v>6</v>
      </c>
      <c r="E127" s="19" t="e">
        <f ca="1">DATEDIF(#REF!,TODAY(),"Y")</f>
        <v>#REF!</v>
      </c>
      <c r="F127" s="19" t="s">
        <v>18</v>
      </c>
      <c r="G127" s="6" t="s">
        <v>243</v>
      </c>
      <c r="H127" s="19">
        <v>2020</v>
      </c>
      <c r="I127" s="73">
        <v>44067</v>
      </c>
      <c r="J127" s="19" t="s">
        <v>20</v>
      </c>
      <c r="K127" s="19" t="s">
        <v>21</v>
      </c>
      <c r="L127" s="73">
        <v>44071</v>
      </c>
      <c r="M127" s="6"/>
      <c r="N127" s="19" t="s">
        <v>58</v>
      </c>
      <c r="O127" s="6" t="s">
        <v>149</v>
      </c>
      <c r="P127" s="6" t="s">
        <v>244</v>
      </c>
      <c r="Q127" s="6"/>
      <c r="R127" s="6"/>
      <c r="S127" s="6"/>
      <c r="T127" s="6"/>
      <c r="U127" s="75"/>
      <c r="V127" s="6">
        <f t="shared" ca="1" si="7"/>
        <v>-46085</v>
      </c>
      <c r="W127" s="6" t="str">
        <f t="shared" ca="1" si="8"/>
        <v>Vencido</v>
      </c>
      <c r="X127" s="6"/>
    </row>
    <row r="128" spans="1:24" ht="65.25" customHeight="1">
      <c r="A128" s="6" t="s">
        <v>59</v>
      </c>
      <c r="B128" s="6" t="s">
        <v>245</v>
      </c>
      <c r="C128" s="53">
        <v>6961406</v>
      </c>
      <c r="D128" s="54" t="s">
        <v>87</v>
      </c>
      <c r="E128" s="19" t="e">
        <f ca="1">DATEDIF(#REF!,TODAY(),"Y")</f>
        <v>#REF!</v>
      </c>
      <c r="F128" s="19" t="s">
        <v>18</v>
      </c>
      <c r="G128" s="6" t="s">
        <v>227</v>
      </c>
      <c r="H128" s="19" t="s">
        <v>174</v>
      </c>
      <c r="I128" s="19" t="s">
        <v>178</v>
      </c>
      <c r="J128" s="19" t="s">
        <v>62</v>
      </c>
      <c r="K128" s="19" t="s">
        <v>32</v>
      </c>
      <c r="L128" s="73">
        <v>45343</v>
      </c>
      <c r="M128" s="6"/>
      <c r="N128" s="19" t="s">
        <v>58</v>
      </c>
      <c r="O128" s="6" t="s">
        <v>152</v>
      </c>
      <c r="P128" s="6" t="s">
        <v>223</v>
      </c>
      <c r="Q128" s="6"/>
      <c r="R128" s="6"/>
      <c r="S128" s="6"/>
      <c r="T128" s="6"/>
      <c r="U128" s="75"/>
      <c r="V128" s="6">
        <f t="shared" ca="1" si="7"/>
        <v>-46085</v>
      </c>
      <c r="W128" s="6" t="str">
        <f t="shared" ca="1" si="8"/>
        <v>Vencido</v>
      </c>
      <c r="X128" s="6"/>
    </row>
    <row r="129" spans="1:24" ht="65.25" customHeight="1">
      <c r="A129" s="6" t="s">
        <v>184</v>
      </c>
      <c r="B129" s="6" t="s">
        <v>246</v>
      </c>
      <c r="C129" s="53">
        <v>7176086</v>
      </c>
      <c r="D129" s="54">
        <v>3</v>
      </c>
      <c r="E129" s="19" t="e">
        <f ca="1">DATEDIF(#REF!,TODAY(),"Y")</f>
        <v>#REF!</v>
      </c>
      <c r="F129" s="61" t="s">
        <v>64</v>
      </c>
      <c r="G129" s="6" t="s">
        <v>54</v>
      </c>
      <c r="H129" s="19" t="s">
        <v>174</v>
      </c>
      <c r="I129" s="19" t="s">
        <v>178</v>
      </c>
      <c r="J129" s="19" t="s">
        <v>49</v>
      </c>
      <c r="K129" s="19" t="s">
        <v>52</v>
      </c>
      <c r="L129" s="19" t="s">
        <v>180</v>
      </c>
      <c r="M129" s="6" t="s">
        <v>176</v>
      </c>
      <c r="N129" s="19" t="s">
        <v>23</v>
      </c>
      <c r="O129" s="6" t="s">
        <v>149</v>
      </c>
      <c r="P129" s="6" t="s">
        <v>24</v>
      </c>
      <c r="Q129" s="6"/>
      <c r="R129" s="6"/>
      <c r="S129" s="6"/>
      <c r="T129" s="6"/>
      <c r="U129" s="75"/>
      <c r="V129" s="6">
        <f t="shared" ca="1" si="7"/>
        <v>-46085</v>
      </c>
      <c r="W129" s="6" t="str">
        <f t="shared" ca="1" si="8"/>
        <v>Vencido</v>
      </c>
      <c r="X129" s="6"/>
    </row>
    <row r="130" spans="1:24" ht="65.25" customHeight="1">
      <c r="A130" s="64" t="s">
        <v>59</v>
      </c>
      <c r="B130" s="6" t="s">
        <v>247</v>
      </c>
      <c r="C130" s="62">
        <v>5798787</v>
      </c>
      <c r="D130" s="63">
        <v>1</v>
      </c>
      <c r="E130" s="19" t="e">
        <f ca="1">DATEDIF(#REF!,TODAY(),"Y")</f>
        <v>#REF!</v>
      </c>
      <c r="F130" s="19" t="s">
        <v>18</v>
      </c>
      <c r="G130" s="64" t="s">
        <v>227</v>
      </c>
      <c r="H130" s="80">
        <v>2024</v>
      </c>
      <c r="I130" s="81">
        <v>45345</v>
      </c>
      <c r="J130" s="80" t="s">
        <v>62</v>
      </c>
      <c r="K130" s="19" t="s">
        <v>21</v>
      </c>
      <c r="L130" s="19" t="s">
        <v>180</v>
      </c>
      <c r="M130" s="6" t="s">
        <v>176</v>
      </c>
      <c r="N130" s="80" t="s">
        <v>58</v>
      </c>
      <c r="O130" s="64"/>
      <c r="P130" s="64" t="s">
        <v>223</v>
      </c>
      <c r="Q130" s="64"/>
      <c r="R130" s="6"/>
      <c r="S130" s="6"/>
      <c r="T130" s="6"/>
      <c r="U130" s="90"/>
      <c r="V130" s="6">
        <f t="shared" ca="1" si="7"/>
        <v>-46085</v>
      </c>
      <c r="W130" s="6" t="str">
        <f t="shared" ca="1" si="8"/>
        <v>Vencido</v>
      </c>
      <c r="X130" s="6"/>
    </row>
    <row r="131" spans="1:24" ht="65.25" customHeight="1">
      <c r="A131" s="6" t="s">
        <v>59</v>
      </c>
      <c r="B131" s="6" t="s">
        <v>248</v>
      </c>
      <c r="C131" s="53">
        <v>4845523</v>
      </c>
      <c r="D131" s="54">
        <v>9</v>
      </c>
      <c r="E131" s="19" t="e">
        <f ca="1">DATEDIF(#REF!,TODAY(),"Y")</f>
        <v>#REF!</v>
      </c>
      <c r="F131" s="19" t="s">
        <v>26</v>
      </c>
      <c r="G131" s="6" t="s">
        <v>61</v>
      </c>
      <c r="H131" s="19">
        <v>2024</v>
      </c>
      <c r="I131" s="73">
        <v>45352</v>
      </c>
      <c r="J131" s="19" t="s">
        <v>62</v>
      </c>
      <c r="K131" s="19" t="s">
        <v>32</v>
      </c>
      <c r="L131" s="73">
        <v>45378</v>
      </c>
      <c r="M131" s="6"/>
      <c r="N131" s="19" t="s">
        <v>58</v>
      </c>
      <c r="O131" s="6" t="s">
        <v>152</v>
      </c>
      <c r="P131" s="6" t="s">
        <v>24</v>
      </c>
      <c r="Q131" s="6"/>
      <c r="R131" s="6"/>
      <c r="S131" s="6"/>
      <c r="T131" s="6"/>
      <c r="U131" s="75"/>
      <c r="V131" s="6">
        <f t="shared" ca="1" si="7"/>
        <v>-46085</v>
      </c>
      <c r="W131" s="6" t="str">
        <f t="shared" ca="1" si="8"/>
        <v>Vencido</v>
      </c>
      <c r="X131" s="6"/>
    </row>
    <row r="132" spans="1:24" ht="65.25" customHeight="1">
      <c r="A132" s="6" t="s">
        <v>184</v>
      </c>
      <c r="B132" s="6" t="s">
        <v>249</v>
      </c>
      <c r="C132" s="53">
        <v>4963573</v>
      </c>
      <c r="D132" s="54">
        <v>7</v>
      </c>
      <c r="E132" s="19" t="e">
        <f ca="1">DATEDIF(#REF!,TODAY(),"Y")</f>
        <v>#REF!</v>
      </c>
      <c r="F132" s="19" t="s">
        <v>250</v>
      </c>
      <c r="G132" s="6" t="s">
        <v>68</v>
      </c>
      <c r="H132" s="19">
        <v>2024</v>
      </c>
      <c r="I132" s="73">
        <v>45365</v>
      </c>
      <c r="J132" s="19" t="s">
        <v>62</v>
      </c>
      <c r="K132" s="19" t="s">
        <v>52</v>
      </c>
      <c r="L132" s="19" t="s">
        <v>180</v>
      </c>
      <c r="M132" s="6" t="s">
        <v>176</v>
      </c>
      <c r="N132" s="19" t="s">
        <v>58</v>
      </c>
      <c r="O132" s="6" t="s">
        <v>152</v>
      </c>
      <c r="P132" s="6" t="s">
        <v>223</v>
      </c>
      <c r="Q132" s="6"/>
      <c r="R132" s="6"/>
      <c r="S132" s="6"/>
      <c r="T132" s="6"/>
      <c r="U132" s="75"/>
      <c r="V132" s="6">
        <f t="shared" ref="V132:V144" ca="1" si="9">U132-TODAY()</f>
        <v>-46085</v>
      </c>
      <c r="W132" s="6" t="str">
        <f t="shared" ref="W132:W144" ca="1" si="10">IF(V132&gt;=20,"Vigente",IF(AND(V132&gt;=1,V132&lt;=20),"Por Vencer","Vencido"))</f>
        <v>Vencido</v>
      </c>
      <c r="X132" s="6"/>
    </row>
    <row r="133" spans="1:24" ht="65.25" customHeight="1">
      <c r="A133" s="6" t="s">
        <v>184</v>
      </c>
      <c r="B133" s="6" t="s">
        <v>251</v>
      </c>
      <c r="C133" s="53">
        <v>4005485</v>
      </c>
      <c r="D133" s="54">
        <v>5</v>
      </c>
      <c r="E133" s="19" t="e">
        <f ca="1">DATEDIF(#REF!,TODAY(),"Y")</f>
        <v>#REF!</v>
      </c>
      <c r="F133" s="19" t="s">
        <v>18</v>
      </c>
      <c r="G133" s="6" t="s">
        <v>71</v>
      </c>
      <c r="H133" s="19">
        <v>2024</v>
      </c>
      <c r="I133" s="73">
        <v>45349</v>
      </c>
      <c r="J133" s="19" t="s">
        <v>62</v>
      </c>
      <c r="K133" s="19" t="s">
        <v>52</v>
      </c>
      <c r="L133" s="19" t="s">
        <v>180</v>
      </c>
      <c r="M133" s="6" t="s">
        <v>176</v>
      </c>
      <c r="N133" s="19" t="s">
        <v>58</v>
      </c>
      <c r="O133" s="6" t="s">
        <v>152</v>
      </c>
      <c r="P133" s="6" t="s">
        <v>24</v>
      </c>
      <c r="Q133" s="6"/>
      <c r="R133" s="6"/>
      <c r="S133" s="6"/>
      <c r="T133" s="6"/>
      <c r="U133" s="75"/>
      <c r="V133" s="6">
        <f t="shared" ca="1" si="9"/>
        <v>-46085</v>
      </c>
      <c r="W133" s="6" t="str">
        <f t="shared" ca="1" si="10"/>
        <v>Vencido</v>
      </c>
      <c r="X133" s="6"/>
    </row>
    <row r="134" spans="1:24" ht="65.25" customHeight="1">
      <c r="A134" s="6" t="s">
        <v>59</v>
      </c>
      <c r="B134" s="6" t="s">
        <v>252</v>
      </c>
      <c r="C134" s="53">
        <v>7713906</v>
      </c>
      <c r="D134" s="54">
        <v>0</v>
      </c>
      <c r="E134" s="19" t="e">
        <f ca="1">DATEDIF(#REF!,TODAY(),"Y")</f>
        <v>#REF!</v>
      </c>
      <c r="F134" s="19" t="s">
        <v>18</v>
      </c>
      <c r="G134" s="6" t="s">
        <v>253</v>
      </c>
      <c r="H134" s="19" t="s">
        <v>174</v>
      </c>
      <c r="I134" s="19" t="s">
        <v>178</v>
      </c>
      <c r="J134" s="19" t="s">
        <v>62</v>
      </c>
      <c r="K134" s="19" t="s">
        <v>21</v>
      </c>
      <c r="L134" s="73">
        <v>45343</v>
      </c>
      <c r="M134" s="6"/>
      <c r="N134" s="19" t="s">
        <v>58</v>
      </c>
      <c r="O134" s="6" t="s">
        <v>152</v>
      </c>
      <c r="P134" s="6" t="s">
        <v>24</v>
      </c>
      <c r="Q134" s="6"/>
      <c r="R134" s="6"/>
      <c r="S134" s="6"/>
      <c r="T134" s="6"/>
      <c r="U134" s="75"/>
      <c r="V134" s="6">
        <f t="shared" ca="1" si="9"/>
        <v>-46085</v>
      </c>
      <c r="W134" s="6" t="str">
        <f t="shared" ca="1" si="10"/>
        <v>Vencido</v>
      </c>
      <c r="X134" s="6"/>
    </row>
    <row r="135" spans="1:24" ht="65.25" customHeight="1">
      <c r="A135" s="6" t="s">
        <v>59</v>
      </c>
      <c r="B135" s="6" t="s">
        <v>254</v>
      </c>
      <c r="C135" s="53">
        <v>9209888</v>
      </c>
      <c r="D135" s="54">
        <v>5</v>
      </c>
      <c r="E135" s="19" t="e">
        <f ca="1">DATEDIF(#REF!,TODAY(),"Y")</f>
        <v>#REF!</v>
      </c>
      <c r="F135" s="61" t="s">
        <v>64</v>
      </c>
      <c r="G135" s="6" t="s">
        <v>80</v>
      </c>
      <c r="H135" s="19">
        <v>2023</v>
      </c>
      <c r="I135" s="73">
        <v>45279</v>
      </c>
      <c r="J135" s="19" t="s">
        <v>20</v>
      </c>
      <c r="K135" s="19" t="s">
        <v>32</v>
      </c>
      <c r="L135" s="73">
        <v>45356</v>
      </c>
      <c r="M135" s="6"/>
      <c r="N135" s="19" t="s">
        <v>23</v>
      </c>
      <c r="O135" s="6" t="s">
        <v>149</v>
      </c>
      <c r="P135" s="6" t="s">
        <v>24</v>
      </c>
      <c r="Q135" s="6"/>
      <c r="R135" s="6"/>
      <c r="S135" s="6"/>
      <c r="T135" s="6"/>
      <c r="U135" s="75"/>
      <c r="V135" s="6">
        <f t="shared" ca="1" si="9"/>
        <v>-46085</v>
      </c>
      <c r="W135" s="6" t="str">
        <f t="shared" ca="1" si="10"/>
        <v>Vencido</v>
      </c>
      <c r="X135" s="6"/>
    </row>
    <row r="136" spans="1:24" ht="65.25" customHeight="1">
      <c r="A136" s="6" t="s">
        <v>184</v>
      </c>
      <c r="B136" s="6" t="s">
        <v>255</v>
      </c>
      <c r="C136" s="53">
        <v>7285741</v>
      </c>
      <c r="D136" s="54">
        <v>0</v>
      </c>
      <c r="E136" s="19" t="e">
        <f ca="1">DATEDIF(#REF!,TODAY(),"Y")</f>
        <v>#REF!</v>
      </c>
      <c r="F136" s="19" t="s">
        <v>18</v>
      </c>
      <c r="G136" s="6" t="s">
        <v>54</v>
      </c>
      <c r="H136" s="19">
        <v>2022</v>
      </c>
      <c r="I136" s="73">
        <v>44834</v>
      </c>
      <c r="J136" s="19" t="s">
        <v>20</v>
      </c>
      <c r="K136" s="19" t="s">
        <v>32</v>
      </c>
      <c r="L136" s="73">
        <v>44893</v>
      </c>
      <c r="M136" s="6"/>
      <c r="N136" s="19" t="s">
        <v>40</v>
      </c>
      <c r="O136" s="6" t="s">
        <v>152</v>
      </c>
      <c r="P136" s="6" t="s">
        <v>24</v>
      </c>
      <c r="Q136" s="6"/>
      <c r="R136" s="6"/>
      <c r="S136" s="6"/>
      <c r="T136" s="6"/>
      <c r="U136" s="75"/>
      <c r="V136" s="6">
        <f t="shared" ca="1" si="9"/>
        <v>-46085</v>
      </c>
      <c r="W136" s="6" t="str">
        <f t="shared" ca="1" si="10"/>
        <v>Vencido</v>
      </c>
      <c r="X136" s="6"/>
    </row>
    <row r="137" spans="1:24" ht="65.25" customHeight="1">
      <c r="A137" s="6" t="s">
        <v>184</v>
      </c>
      <c r="B137" s="6" t="s">
        <v>256</v>
      </c>
      <c r="C137" s="53">
        <v>12154595</v>
      </c>
      <c r="D137" s="54">
        <v>0</v>
      </c>
      <c r="E137" s="19" t="e">
        <f ca="1">DATEDIF(#REF!,TODAY(),"Y")</f>
        <v>#REF!</v>
      </c>
      <c r="F137" s="19" t="s">
        <v>18</v>
      </c>
      <c r="G137" s="6" t="s">
        <v>54</v>
      </c>
      <c r="H137" s="19">
        <v>2024</v>
      </c>
      <c r="I137" s="73">
        <v>45426</v>
      </c>
      <c r="J137" s="19" t="s">
        <v>166</v>
      </c>
      <c r="K137" s="19" t="s">
        <v>52</v>
      </c>
      <c r="L137" s="19" t="s">
        <v>180</v>
      </c>
      <c r="M137" s="6" t="s">
        <v>176</v>
      </c>
      <c r="N137" s="19" t="s">
        <v>58</v>
      </c>
      <c r="O137" s="6" t="s">
        <v>152</v>
      </c>
      <c r="P137" s="6" t="s">
        <v>24</v>
      </c>
      <c r="Q137" s="6"/>
      <c r="R137" s="6"/>
      <c r="S137" s="6"/>
      <c r="T137" s="6"/>
      <c r="U137" s="75"/>
      <c r="V137" s="6">
        <f t="shared" ca="1" si="9"/>
        <v>-46085</v>
      </c>
      <c r="W137" s="6" t="str">
        <f t="shared" ca="1" si="10"/>
        <v>Vencido</v>
      </c>
      <c r="X137" s="6"/>
    </row>
    <row r="138" spans="1:24" ht="65.25" customHeight="1">
      <c r="A138" s="6" t="s">
        <v>184</v>
      </c>
      <c r="B138" s="6" t="s">
        <v>257</v>
      </c>
      <c r="C138" s="53">
        <v>10272913</v>
      </c>
      <c r="D138" s="54">
        <v>7</v>
      </c>
      <c r="E138" s="19" t="e">
        <f ca="1">DATEDIF(#REF!,TODAY(),"Y")</f>
        <v>#REF!</v>
      </c>
      <c r="F138" s="19" t="s">
        <v>18</v>
      </c>
      <c r="G138" s="6" t="s">
        <v>54</v>
      </c>
      <c r="H138" s="19" t="s">
        <v>174</v>
      </c>
      <c r="I138" s="19" t="s">
        <v>178</v>
      </c>
      <c r="J138" s="19" t="s">
        <v>62</v>
      </c>
      <c r="K138" s="19" t="s">
        <v>32</v>
      </c>
      <c r="L138" s="19" t="s">
        <v>180</v>
      </c>
      <c r="M138" s="6" t="s">
        <v>176</v>
      </c>
      <c r="N138" s="19" t="s">
        <v>34</v>
      </c>
      <c r="O138" s="6" t="s">
        <v>152</v>
      </c>
      <c r="P138" s="6" t="s">
        <v>24</v>
      </c>
      <c r="Q138" s="6"/>
      <c r="R138" s="6"/>
      <c r="S138" s="6"/>
      <c r="T138" s="6"/>
      <c r="U138" s="75"/>
      <c r="V138" s="6">
        <f t="shared" ca="1" si="9"/>
        <v>-46085</v>
      </c>
      <c r="W138" s="6" t="str">
        <f t="shared" ca="1" si="10"/>
        <v>Vencido</v>
      </c>
      <c r="X138" s="6"/>
    </row>
    <row r="139" spans="1:24" ht="65.25" customHeight="1">
      <c r="A139" s="6" t="s">
        <v>59</v>
      </c>
      <c r="B139" s="6" t="s">
        <v>258</v>
      </c>
      <c r="C139" s="53">
        <v>9501915</v>
      </c>
      <c r="D139" s="54">
        <v>3</v>
      </c>
      <c r="E139" s="19" t="e">
        <f ca="1">DATEDIF(#REF!,TODAY(),"Y")</f>
        <v>#REF!</v>
      </c>
      <c r="F139" s="61" t="s">
        <v>64</v>
      </c>
      <c r="G139" s="6" t="s">
        <v>98</v>
      </c>
      <c r="H139" s="19">
        <v>2024</v>
      </c>
      <c r="I139" s="73">
        <v>45461</v>
      </c>
      <c r="J139" s="19" t="s">
        <v>62</v>
      </c>
      <c r="K139" s="19" t="s">
        <v>21</v>
      </c>
      <c r="L139" s="73">
        <v>45441</v>
      </c>
      <c r="M139" s="6"/>
      <c r="N139" s="19" t="s">
        <v>58</v>
      </c>
      <c r="O139" s="6" t="s">
        <v>152</v>
      </c>
      <c r="P139" s="6" t="s">
        <v>24</v>
      </c>
      <c r="Q139" s="6"/>
      <c r="R139" s="6"/>
      <c r="S139" s="6"/>
      <c r="T139" s="6"/>
      <c r="U139" s="75"/>
      <c r="V139" s="6">
        <f t="shared" ca="1" si="9"/>
        <v>-46085</v>
      </c>
      <c r="W139" s="6" t="str">
        <f t="shared" ca="1" si="10"/>
        <v>Vencido</v>
      </c>
      <c r="X139" s="6"/>
    </row>
    <row r="140" spans="1:24" ht="65.25" customHeight="1">
      <c r="A140" s="99" t="s">
        <v>59</v>
      </c>
      <c r="B140" s="135" t="s">
        <v>259</v>
      </c>
      <c r="C140" s="134">
        <v>10630963</v>
      </c>
      <c r="D140" s="136">
        <v>9</v>
      </c>
      <c r="E140" s="137">
        <v>58</v>
      </c>
      <c r="F140" s="137" t="s">
        <v>18</v>
      </c>
      <c r="G140" s="135"/>
      <c r="H140" s="141"/>
      <c r="I140" s="19"/>
      <c r="J140" s="19"/>
      <c r="K140" s="19"/>
      <c r="L140" s="19"/>
      <c r="M140" s="6"/>
      <c r="N140" s="19" t="s">
        <v>58</v>
      </c>
      <c r="O140" s="6"/>
      <c r="P140" s="6" t="s">
        <v>260</v>
      </c>
      <c r="Q140" s="6"/>
      <c r="R140" s="6"/>
      <c r="S140" s="6"/>
      <c r="T140" s="6"/>
      <c r="U140" s="75"/>
      <c r="V140" s="6">
        <f t="shared" ca="1" si="9"/>
        <v>-46085</v>
      </c>
      <c r="W140" s="6" t="str">
        <f t="shared" ca="1" si="10"/>
        <v>Vencido</v>
      </c>
      <c r="X140" s="6"/>
    </row>
    <row r="141" spans="1:24" ht="65.25" customHeight="1">
      <c r="A141" s="6" t="s">
        <v>184</v>
      </c>
      <c r="B141" s="6" t="s">
        <v>261</v>
      </c>
      <c r="C141" s="53">
        <v>5357490</v>
      </c>
      <c r="D141" s="18">
        <v>4</v>
      </c>
      <c r="E141" s="6">
        <v>79</v>
      </c>
      <c r="F141" s="19" t="s">
        <v>18</v>
      </c>
      <c r="G141" s="19" t="s">
        <v>54</v>
      </c>
      <c r="H141" s="19">
        <v>2024</v>
      </c>
      <c r="I141" s="73">
        <v>45491</v>
      </c>
      <c r="J141" s="19"/>
      <c r="K141" s="19" t="s">
        <v>262</v>
      </c>
      <c r="L141" s="19" t="s">
        <v>180</v>
      </c>
      <c r="M141" s="6" t="s">
        <v>180</v>
      </c>
      <c r="N141" s="19" t="s">
        <v>58</v>
      </c>
      <c r="O141" s="6"/>
      <c r="P141" s="6" t="s">
        <v>24</v>
      </c>
      <c r="Q141" s="6"/>
      <c r="R141" s="6"/>
      <c r="S141" s="6"/>
      <c r="T141" s="6"/>
      <c r="U141" s="75"/>
      <c r="V141" s="6">
        <f t="shared" ca="1" si="9"/>
        <v>-46085</v>
      </c>
      <c r="W141" s="6" t="str">
        <f t="shared" ca="1" si="10"/>
        <v>Vencido</v>
      </c>
      <c r="X141" s="6"/>
    </row>
    <row r="142" spans="1:24" ht="65.25" customHeight="1">
      <c r="A142" s="6" t="s">
        <v>184</v>
      </c>
      <c r="B142" s="6" t="s">
        <v>263</v>
      </c>
      <c r="C142" s="53">
        <v>4308898</v>
      </c>
      <c r="D142" s="18" t="s">
        <v>87</v>
      </c>
      <c r="E142" s="6">
        <v>86</v>
      </c>
      <c r="F142" s="19" t="s">
        <v>18</v>
      </c>
      <c r="G142" s="19" t="s">
        <v>54</v>
      </c>
      <c r="H142" s="19"/>
      <c r="I142" s="19"/>
      <c r="J142" s="19"/>
      <c r="K142" s="19"/>
      <c r="L142" s="6"/>
      <c r="M142" s="19"/>
      <c r="N142" s="6"/>
      <c r="O142" s="6"/>
      <c r="P142" s="6" t="s">
        <v>24</v>
      </c>
      <c r="Q142" s="6"/>
      <c r="R142" s="6"/>
      <c r="S142" s="6"/>
      <c r="T142" s="6"/>
      <c r="U142" s="75"/>
      <c r="V142" s="6">
        <f t="shared" ca="1" si="9"/>
        <v>-46085</v>
      </c>
      <c r="W142" s="6" t="str">
        <f t="shared" ca="1" si="10"/>
        <v>Vencido</v>
      </c>
      <c r="X142" s="6"/>
    </row>
    <row r="143" spans="1:24" ht="65.25" customHeight="1">
      <c r="A143" s="6" t="s">
        <v>59</v>
      </c>
      <c r="B143" s="6" t="s">
        <v>264</v>
      </c>
      <c r="C143" s="53">
        <v>5616124</v>
      </c>
      <c r="D143" s="18">
        <v>4</v>
      </c>
      <c r="E143" s="6">
        <v>78</v>
      </c>
      <c r="F143" s="19" t="s">
        <v>64</v>
      </c>
      <c r="G143" s="19" t="s">
        <v>265</v>
      </c>
      <c r="H143" s="19"/>
      <c r="I143" s="19"/>
      <c r="J143" s="19" t="s">
        <v>62</v>
      </c>
      <c r="K143" s="19" t="s">
        <v>262</v>
      </c>
      <c r="L143" s="6"/>
      <c r="M143" s="19"/>
      <c r="N143" s="19" t="s">
        <v>58</v>
      </c>
      <c r="O143" s="6"/>
      <c r="P143" s="6" t="s">
        <v>24</v>
      </c>
      <c r="Q143" s="6"/>
      <c r="R143" s="6"/>
      <c r="S143" s="6"/>
      <c r="T143" s="75"/>
      <c r="U143" s="75"/>
      <c r="V143" s="6">
        <f t="shared" ca="1" si="9"/>
        <v>-46085</v>
      </c>
      <c r="W143" s="6" t="str">
        <f t="shared" ca="1" si="10"/>
        <v>Vencido</v>
      </c>
      <c r="X143" s="6"/>
    </row>
    <row r="144" spans="1:24" ht="65.25" customHeight="1">
      <c r="A144" s="6" t="s">
        <v>59</v>
      </c>
      <c r="B144" s="6" t="s">
        <v>266</v>
      </c>
      <c r="C144" s="53">
        <v>6210262</v>
      </c>
      <c r="D144" s="18">
        <v>4</v>
      </c>
      <c r="E144" s="6">
        <v>75</v>
      </c>
      <c r="F144" s="19"/>
      <c r="G144" s="19" t="s">
        <v>267</v>
      </c>
      <c r="H144" s="19"/>
      <c r="I144" s="19"/>
      <c r="J144" s="19" t="s">
        <v>62</v>
      </c>
      <c r="K144" s="19" t="s">
        <v>262</v>
      </c>
      <c r="L144" s="6"/>
      <c r="M144" s="19"/>
      <c r="N144" s="6"/>
      <c r="O144" s="6"/>
      <c r="P144" s="6" t="s">
        <v>24</v>
      </c>
      <c r="Q144" s="6"/>
      <c r="R144" s="6"/>
      <c r="S144" s="6"/>
      <c r="T144" s="6"/>
      <c r="U144" s="75"/>
      <c r="V144" s="6">
        <f t="shared" ca="1" si="9"/>
        <v>-46085</v>
      </c>
      <c r="W144" s="6" t="str">
        <f t="shared" ca="1" si="10"/>
        <v>Vencido</v>
      </c>
      <c r="X144" s="6"/>
    </row>
    <row r="145" spans="1:25" ht="65.25" customHeight="1">
      <c r="A145" s="6" t="s">
        <v>184</v>
      </c>
      <c r="B145" s="6" t="s">
        <v>268</v>
      </c>
      <c r="C145" s="53">
        <v>4832845</v>
      </c>
      <c r="D145" s="18">
        <v>8</v>
      </c>
      <c r="E145" s="6">
        <v>82</v>
      </c>
      <c r="F145" s="19" t="s">
        <v>26</v>
      </c>
      <c r="G145" s="19" t="s">
        <v>71</v>
      </c>
      <c r="H145" s="19" t="s">
        <v>174</v>
      </c>
      <c r="I145" s="19" t="s">
        <v>178</v>
      </c>
      <c r="J145" s="19" t="s">
        <v>62</v>
      </c>
      <c r="K145" s="19" t="s">
        <v>269</v>
      </c>
      <c r="L145" s="6" t="s">
        <v>180</v>
      </c>
      <c r="M145" s="19" t="s">
        <v>180</v>
      </c>
      <c r="N145" s="19" t="s">
        <v>58</v>
      </c>
      <c r="O145" s="6" t="s">
        <v>152</v>
      </c>
      <c r="P145" s="6" t="s">
        <v>24</v>
      </c>
      <c r="Q145" s="6"/>
      <c r="R145" s="6"/>
      <c r="S145" s="6"/>
      <c r="T145" s="75"/>
      <c r="U145" s="75"/>
      <c r="V145" s="6">
        <f t="shared" ref="V145:V151" ca="1" si="11">U145-TODAY()</f>
        <v>-46085</v>
      </c>
      <c r="W145" s="6" t="str">
        <f t="shared" ref="W145:W151" ca="1" si="12">IF(V145&gt;=20,"Vigente",IF(AND(V145&gt;=1,V145&lt;=20),"Por Vencer","Vencido"))</f>
        <v>Vencido</v>
      </c>
      <c r="X145" s="6"/>
    </row>
    <row r="146" spans="1:25" ht="65.25" customHeight="1">
      <c r="A146" s="6" t="s">
        <v>59</v>
      </c>
      <c r="B146" s="6" t="s">
        <v>270</v>
      </c>
      <c r="C146" s="53">
        <v>8161799</v>
      </c>
      <c r="D146" s="18">
        <v>6</v>
      </c>
      <c r="E146" s="6">
        <v>66</v>
      </c>
      <c r="F146" s="19" t="s">
        <v>18</v>
      </c>
      <c r="G146" s="19" t="s">
        <v>267</v>
      </c>
      <c r="H146" s="19" t="s">
        <v>174</v>
      </c>
      <c r="I146" s="19" t="s">
        <v>178</v>
      </c>
      <c r="J146" s="19" t="s">
        <v>62</v>
      </c>
      <c r="K146" s="19" t="s">
        <v>168</v>
      </c>
      <c r="L146" s="75">
        <v>45532</v>
      </c>
      <c r="M146" s="19" t="s">
        <v>271</v>
      </c>
      <c r="N146" s="19" t="s">
        <v>58</v>
      </c>
      <c r="O146" s="6"/>
      <c r="P146" s="6" t="s">
        <v>223</v>
      </c>
      <c r="Q146" s="6"/>
      <c r="R146" s="6"/>
      <c r="S146" s="6"/>
      <c r="T146" s="75"/>
      <c r="U146" s="75"/>
      <c r="V146" s="6">
        <f t="shared" ca="1" si="11"/>
        <v>-46085</v>
      </c>
      <c r="W146" s="6" t="str">
        <f t="shared" ca="1" si="12"/>
        <v>Vencido</v>
      </c>
      <c r="X146" s="6"/>
    </row>
    <row r="147" spans="1:25" ht="65.25" customHeight="1">
      <c r="A147" s="6" t="s">
        <v>59</v>
      </c>
      <c r="B147" s="6" t="s">
        <v>272</v>
      </c>
      <c r="C147" s="53">
        <v>10589366</v>
      </c>
      <c r="D147" s="18">
        <v>3</v>
      </c>
      <c r="E147" s="6">
        <v>62</v>
      </c>
      <c r="F147" s="19" t="s">
        <v>37</v>
      </c>
      <c r="G147" s="19" t="s">
        <v>214</v>
      </c>
      <c r="H147" s="19">
        <v>2024</v>
      </c>
      <c r="I147" s="73">
        <v>45545</v>
      </c>
      <c r="J147" s="19" t="s">
        <v>31</v>
      </c>
      <c r="K147" s="19" t="s">
        <v>241</v>
      </c>
      <c r="L147" s="6" t="s">
        <v>180</v>
      </c>
      <c r="M147" s="19" t="s">
        <v>176</v>
      </c>
      <c r="N147" s="19" t="s">
        <v>58</v>
      </c>
      <c r="O147" s="6"/>
      <c r="P147" s="6" t="s">
        <v>24</v>
      </c>
      <c r="Q147" s="6"/>
      <c r="R147" s="6"/>
      <c r="S147" s="6"/>
      <c r="T147" s="6"/>
      <c r="U147" s="75"/>
      <c r="V147" s="6">
        <f t="shared" ca="1" si="11"/>
        <v>-46085</v>
      </c>
      <c r="W147" s="6" t="str">
        <f t="shared" ca="1" si="12"/>
        <v>Vencido</v>
      </c>
      <c r="X147" s="6"/>
    </row>
    <row r="148" spans="1:25" ht="65.25" customHeight="1">
      <c r="A148" s="6" t="s">
        <v>59</v>
      </c>
      <c r="B148" s="6" t="s">
        <v>273</v>
      </c>
      <c r="C148" s="53">
        <v>5841535</v>
      </c>
      <c r="D148" s="54">
        <v>9</v>
      </c>
      <c r="E148" s="19" t="e">
        <f ca="1">DATEDIF(#REF!,TODAY(),"Y")</f>
        <v>#REF!</v>
      </c>
      <c r="F148" s="19" t="s">
        <v>18</v>
      </c>
      <c r="G148" s="6" t="s">
        <v>197</v>
      </c>
      <c r="H148" s="19" t="s">
        <v>174</v>
      </c>
      <c r="I148" s="19" t="s">
        <v>178</v>
      </c>
      <c r="J148" s="19" t="s">
        <v>62</v>
      </c>
      <c r="K148" s="19" t="s">
        <v>32</v>
      </c>
      <c r="L148" s="73">
        <v>45434</v>
      </c>
      <c r="M148" s="6" t="s">
        <v>274</v>
      </c>
      <c r="N148" s="19" t="s">
        <v>23</v>
      </c>
      <c r="O148" s="6" t="s">
        <v>149</v>
      </c>
      <c r="P148" s="6" t="s">
        <v>223</v>
      </c>
      <c r="Q148" s="89" t="s">
        <v>275</v>
      </c>
      <c r="R148" s="6" t="s">
        <v>276</v>
      </c>
      <c r="S148" s="6" t="s">
        <v>277</v>
      </c>
      <c r="T148" s="75">
        <v>45541</v>
      </c>
      <c r="U148" s="75">
        <v>45602</v>
      </c>
      <c r="V148" s="6">
        <f t="shared" ca="1" si="11"/>
        <v>-483</v>
      </c>
      <c r="W148" s="6" t="str">
        <f t="shared" ca="1" si="12"/>
        <v>Vencido</v>
      </c>
      <c r="X148" s="6"/>
    </row>
    <row r="149" spans="1:25" ht="65.25" customHeight="1">
      <c r="A149" s="6" t="s">
        <v>59</v>
      </c>
      <c r="B149" s="6" t="s">
        <v>278</v>
      </c>
      <c r="C149" s="53">
        <v>6830131</v>
      </c>
      <c r="D149" s="54">
        <v>9</v>
      </c>
      <c r="E149" s="19" t="e">
        <f ca="1">DATEDIF(#REF!,TODAY(),"Y")</f>
        <v>#REF!</v>
      </c>
      <c r="F149" s="19" t="s">
        <v>64</v>
      </c>
      <c r="G149" s="6" t="s">
        <v>61</v>
      </c>
      <c r="H149" s="19">
        <v>2023</v>
      </c>
      <c r="I149" s="73">
        <v>45191</v>
      </c>
      <c r="J149" s="19" t="s">
        <v>20</v>
      </c>
      <c r="K149" s="19" t="s">
        <v>32</v>
      </c>
      <c r="L149" s="73">
        <v>45245</v>
      </c>
      <c r="M149" s="6" t="s">
        <v>279</v>
      </c>
      <c r="N149" s="19" t="s">
        <v>23</v>
      </c>
      <c r="O149" s="6" t="s">
        <v>152</v>
      </c>
      <c r="P149" s="6" t="s">
        <v>24</v>
      </c>
      <c r="Q149" s="6" t="s">
        <v>280</v>
      </c>
      <c r="R149" s="6" t="s">
        <v>276</v>
      </c>
      <c r="S149" s="6" t="s">
        <v>281</v>
      </c>
      <c r="T149" s="75">
        <v>45520</v>
      </c>
      <c r="U149" s="75">
        <v>45581</v>
      </c>
      <c r="V149" s="6">
        <f t="shared" ca="1" si="11"/>
        <v>-504</v>
      </c>
      <c r="W149" s="6" t="str">
        <f t="shared" ca="1" si="12"/>
        <v>Vencido</v>
      </c>
      <c r="X149" s="6"/>
    </row>
    <row r="150" spans="1:25" ht="65.25" customHeight="1">
      <c r="A150" s="6" t="s">
        <v>184</v>
      </c>
      <c r="B150" s="6" t="s">
        <v>282</v>
      </c>
      <c r="C150" s="53">
        <v>10775742</v>
      </c>
      <c r="D150" s="18">
        <v>2</v>
      </c>
      <c r="E150" s="6">
        <v>55</v>
      </c>
      <c r="F150" s="19" t="s">
        <v>64</v>
      </c>
      <c r="G150" s="19" t="s">
        <v>68</v>
      </c>
      <c r="H150" s="19">
        <v>2024</v>
      </c>
      <c r="I150" s="73">
        <v>45533</v>
      </c>
      <c r="J150" s="19" t="s">
        <v>62</v>
      </c>
      <c r="K150" s="19" t="s">
        <v>52</v>
      </c>
      <c r="L150" s="6" t="s">
        <v>180</v>
      </c>
      <c r="M150" s="19" t="s">
        <v>176</v>
      </c>
      <c r="N150" s="19" t="s">
        <v>58</v>
      </c>
      <c r="O150" s="6" t="s">
        <v>27</v>
      </c>
      <c r="P150" s="6" t="s">
        <v>24</v>
      </c>
      <c r="Q150" s="6" t="s">
        <v>283</v>
      </c>
      <c r="R150" s="6" t="s">
        <v>284</v>
      </c>
      <c r="S150" s="6" t="s">
        <v>285</v>
      </c>
      <c r="T150" s="75">
        <v>45589</v>
      </c>
      <c r="U150" s="75">
        <v>45620</v>
      </c>
      <c r="V150" s="6">
        <f t="shared" ca="1" si="11"/>
        <v>-465</v>
      </c>
      <c r="W150" s="6" t="str">
        <f t="shared" ca="1" si="12"/>
        <v>Vencido</v>
      </c>
      <c r="X150" s="6"/>
    </row>
    <row r="151" spans="1:25" ht="65.25" customHeight="1">
      <c r="A151" s="6" t="s">
        <v>184</v>
      </c>
      <c r="B151" s="6" t="s">
        <v>286</v>
      </c>
      <c r="C151" s="53">
        <v>9758706</v>
      </c>
      <c r="D151" s="54" t="s">
        <v>87</v>
      </c>
      <c r="E151" s="19" t="e">
        <f ca="1">DATEDIF(#REF!,TODAY(),"Y")</f>
        <v>#REF!</v>
      </c>
      <c r="F151" s="19" t="s">
        <v>18</v>
      </c>
      <c r="G151" s="6" t="s">
        <v>19</v>
      </c>
      <c r="H151" s="19" t="s">
        <v>174</v>
      </c>
      <c r="I151" s="19" t="s">
        <v>178</v>
      </c>
      <c r="J151" s="19" t="s">
        <v>20</v>
      </c>
      <c r="K151" s="19" t="s">
        <v>21</v>
      </c>
      <c r="L151" s="19" t="s">
        <v>180</v>
      </c>
      <c r="M151" s="6" t="s">
        <v>176</v>
      </c>
      <c r="N151" s="19" t="s">
        <v>58</v>
      </c>
      <c r="O151" s="6"/>
      <c r="P151" s="6" t="s">
        <v>225</v>
      </c>
      <c r="Q151" s="159" t="s">
        <v>287</v>
      </c>
      <c r="R151" s="6" t="s">
        <v>288</v>
      </c>
      <c r="S151" s="6" t="s">
        <v>289</v>
      </c>
      <c r="T151" s="75">
        <v>45567</v>
      </c>
      <c r="U151" s="75">
        <v>45629</v>
      </c>
      <c r="V151" s="6">
        <f t="shared" ca="1" si="11"/>
        <v>-456</v>
      </c>
      <c r="W151" s="6" t="str">
        <f t="shared" ca="1" si="12"/>
        <v>Vencido</v>
      </c>
      <c r="X151" s="6"/>
    </row>
    <row r="152" spans="1:25" ht="65.25" customHeight="1">
      <c r="A152" s="6" t="s">
        <v>184</v>
      </c>
      <c r="B152" s="6" t="s">
        <v>290</v>
      </c>
      <c r="C152" s="53">
        <v>5375873</v>
      </c>
      <c r="D152" s="54">
        <v>8</v>
      </c>
      <c r="E152" s="19" t="e">
        <f ca="1">DATEDIF(#REF!,TODAY(),"Y")</f>
        <v>#REF!</v>
      </c>
      <c r="F152" s="19" t="s">
        <v>64</v>
      </c>
      <c r="G152" s="6" t="s">
        <v>68</v>
      </c>
      <c r="H152" s="19">
        <v>2018</v>
      </c>
      <c r="I152" s="73">
        <v>43255</v>
      </c>
      <c r="J152" s="19" t="s">
        <v>20</v>
      </c>
      <c r="K152" s="19" t="s">
        <v>21</v>
      </c>
      <c r="L152" s="73">
        <v>43723</v>
      </c>
      <c r="M152" s="6" t="s">
        <v>291</v>
      </c>
      <c r="N152" s="19" t="s">
        <v>58</v>
      </c>
      <c r="O152" s="6" t="s">
        <v>152</v>
      </c>
      <c r="P152" s="6" t="s">
        <v>292</v>
      </c>
      <c r="Q152" s="6" t="s">
        <v>293</v>
      </c>
      <c r="R152" s="6" t="s">
        <v>284</v>
      </c>
      <c r="S152" s="6" t="s">
        <v>294</v>
      </c>
      <c r="T152" s="75">
        <v>45530</v>
      </c>
      <c r="U152" s="75">
        <v>45561</v>
      </c>
      <c r="V152" s="6">
        <f t="shared" ref="V152:V157" ca="1" si="13">U152-TODAY()</f>
        <v>-524</v>
      </c>
      <c r="W152" s="6" t="str">
        <f t="shared" ref="W152:W157" ca="1" si="14">IF(V152&gt;=20,"Vigente",IF(AND(V152&gt;=1,V152&lt;=20),"Por Vencer","Vencido"))</f>
        <v>Vencido</v>
      </c>
      <c r="X152" s="6"/>
    </row>
    <row r="153" spans="1:25" ht="65.25" customHeight="1">
      <c r="A153" s="6" t="s">
        <v>184</v>
      </c>
      <c r="B153" s="6" t="s">
        <v>295</v>
      </c>
      <c r="C153" s="53">
        <v>6992627</v>
      </c>
      <c r="D153" s="54">
        <v>4</v>
      </c>
      <c r="E153" s="6">
        <v>70</v>
      </c>
      <c r="F153" s="19" t="s">
        <v>18</v>
      </c>
      <c r="G153" s="19" t="s">
        <v>19</v>
      </c>
      <c r="H153" s="19">
        <v>2024</v>
      </c>
      <c r="I153" s="73">
        <v>45503</v>
      </c>
      <c r="J153" s="19" t="s">
        <v>62</v>
      </c>
      <c r="K153" s="19" t="s">
        <v>269</v>
      </c>
      <c r="L153" s="75">
        <v>45544</v>
      </c>
      <c r="M153" s="19" t="s">
        <v>296</v>
      </c>
      <c r="N153" s="45" t="s">
        <v>58</v>
      </c>
      <c r="O153" s="6" t="s">
        <v>152</v>
      </c>
      <c r="P153" s="6" t="s">
        <v>225</v>
      </c>
      <c r="Q153" s="89" t="s">
        <v>297</v>
      </c>
      <c r="R153" s="6" t="s">
        <v>298</v>
      </c>
      <c r="S153" s="6" t="s">
        <v>277</v>
      </c>
      <c r="T153" s="75">
        <v>45544</v>
      </c>
      <c r="U153" s="75">
        <v>45635</v>
      </c>
      <c r="V153" s="6">
        <f t="shared" ca="1" si="13"/>
        <v>-450</v>
      </c>
      <c r="W153" s="6" t="str">
        <f t="shared" ca="1" si="14"/>
        <v>Vencido</v>
      </c>
      <c r="X153" s="6"/>
    </row>
    <row r="154" spans="1:25" ht="65.25" customHeight="1">
      <c r="A154" s="6" t="s">
        <v>184</v>
      </c>
      <c r="B154" s="6" t="s">
        <v>299</v>
      </c>
      <c r="C154" s="53">
        <v>679251</v>
      </c>
      <c r="D154" s="18">
        <v>6</v>
      </c>
      <c r="E154" s="6">
        <v>72</v>
      </c>
      <c r="F154" s="19" t="s">
        <v>26</v>
      </c>
      <c r="G154" s="19" t="s">
        <v>19</v>
      </c>
      <c r="H154" s="19">
        <v>2024</v>
      </c>
      <c r="I154" s="73">
        <v>45636</v>
      </c>
      <c r="J154" s="19" t="s">
        <v>166</v>
      </c>
      <c r="K154" s="19" t="s">
        <v>143</v>
      </c>
      <c r="L154" s="6"/>
      <c r="M154" s="19"/>
      <c r="N154" s="19" t="s">
        <v>23</v>
      </c>
      <c r="O154" s="6"/>
      <c r="P154" s="6" t="s">
        <v>24</v>
      </c>
      <c r="Q154" s="6" t="s">
        <v>300</v>
      </c>
      <c r="R154" s="6"/>
      <c r="S154" s="6"/>
      <c r="T154" s="6"/>
      <c r="U154" s="75"/>
      <c r="V154" s="6">
        <f t="shared" ca="1" si="13"/>
        <v>-46085</v>
      </c>
      <c r="W154" s="6" t="str">
        <f t="shared" ca="1" si="14"/>
        <v>Vencido</v>
      </c>
    </row>
    <row r="155" spans="1:25" ht="65.25" customHeight="1">
      <c r="A155" s="6" t="s">
        <v>184</v>
      </c>
      <c r="B155" s="6" t="s">
        <v>301</v>
      </c>
      <c r="C155" s="53">
        <v>6899740</v>
      </c>
      <c r="D155" s="18">
        <v>2</v>
      </c>
      <c r="E155" s="6">
        <v>73</v>
      </c>
      <c r="F155" s="19" t="s">
        <v>18</v>
      </c>
      <c r="G155" s="19" t="s">
        <v>141</v>
      </c>
      <c r="H155" s="19">
        <v>2024</v>
      </c>
      <c r="I155" s="73">
        <v>45586</v>
      </c>
      <c r="J155" s="19" t="s">
        <v>62</v>
      </c>
      <c r="K155" s="19" t="s">
        <v>241</v>
      </c>
      <c r="L155" s="75">
        <v>45635</v>
      </c>
      <c r="M155" s="19" t="s">
        <v>302</v>
      </c>
      <c r="N155" s="95" t="s">
        <v>34</v>
      </c>
      <c r="O155" s="6"/>
      <c r="P155" s="6" t="s">
        <v>223</v>
      </c>
      <c r="Q155" s="6" t="s">
        <v>303</v>
      </c>
      <c r="R155" s="6" t="s">
        <v>288</v>
      </c>
      <c r="S155" s="6" t="s">
        <v>285</v>
      </c>
      <c r="T155" s="75">
        <v>45637</v>
      </c>
      <c r="U155" s="75">
        <v>45727</v>
      </c>
      <c r="V155" s="6">
        <f t="shared" ca="1" si="13"/>
        <v>-358</v>
      </c>
      <c r="W155" s="6" t="str">
        <f t="shared" ca="1" si="14"/>
        <v>Vencido</v>
      </c>
      <c r="X155" s="6"/>
    </row>
    <row r="156" spans="1:25" s="37" customFormat="1" ht="65.25" customHeight="1">
      <c r="A156" s="13" t="s">
        <v>184</v>
      </c>
      <c r="B156" s="13" t="s">
        <v>304</v>
      </c>
      <c r="C156" s="51">
        <v>5416159</v>
      </c>
      <c r="D156" s="52" t="s">
        <v>87</v>
      </c>
      <c r="E156" s="13">
        <v>78</v>
      </c>
      <c r="F156" s="27" t="s">
        <v>250</v>
      </c>
      <c r="G156" s="27" t="s">
        <v>54</v>
      </c>
      <c r="H156" s="27">
        <v>2024</v>
      </c>
      <c r="I156" s="71">
        <v>45485</v>
      </c>
      <c r="J156" s="27" t="s">
        <v>62</v>
      </c>
      <c r="K156" s="27" t="s">
        <v>241</v>
      </c>
      <c r="L156" s="85">
        <v>45525</v>
      </c>
      <c r="M156" s="27" t="s">
        <v>305</v>
      </c>
      <c r="N156" s="27" t="s">
        <v>34</v>
      </c>
      <c r="O156" s="13" t="s">
        <v>152</v>
      </c>
      <c r="P156" s="13" t="s">
        <v>24</v>
      </c>
      <c r="Q156" s="13" t="s">
        <v>306</v>
      </c>
      <c r="R156" s="13" t="s">
        <v>284</v>
      </c>
      <c r="S156" s="13" t="s">
        <v>277</v>
      </c>
      <c r="T156" s="85">
        <v>45530</v>
      </c>
      <c r="U156" s="85">
        <v>45561</v>
      </c>
      <c r="V156" s="13">
        <f t="shared" ca="1" si="13"/>
        <v>-524</v>
      </c>
      <c r="W156" s="13" t="str">
        <f t="shared" ca="1" si="14"/>
        <v>Vencido</v>
      </c>
      <c r="X156" s="13" t="s">
        <v>307</v>
      </c>
    </row>
    <row r="157" spans="1:25" ht="65.25" customHeight="1">
      <c r="A157" s="142" t="s">
        <v>184</v>
      </c>
      <c r="B157" s="142" t="s">
        <v>308</v>
      </c>
      <c r="C157" s="43">
        <v>4575954</v>
      </c>
      <c r="D157" s="148">
        <v>7</v>
      </c>
      <c r="E157" s="142">
        <v>84</v>
      </c>
      <c r="F157" s="61" t="s">
        <v>37</v>
      </c>
      <c r="G157" s="61" t="s">
        <v>54</v>
      </c>
      <c r="H157" s="61">
        <v>2024</v>
      </c>
      <c r="I157" s="153">
        <v>45420</v>
      </c>
      <c r="J157" s="61" t="s">
        <v>62</v>
      </c>
      <c r="K157" s="61" t="s">
        <v>269</v>
      </c>
      <c r="L157" s="154">
        <v>45511</v>
      </c>
      <c r="M157" s="61" t="s">
        <v>296</v>
      </c>
      <c r="N157" s="61" t="s">
        <v>58</v>
      </c>
      <c r="O157" s="142" t="s">
        <v>152</v>
      </c>
      <c r="P157" s="142" t="s">
        <v>24</v>
      </c>
      <c r="Q157" s="142" t="s">
        <v>309</v>
      </c>
      <c r="R157" s="142" t="s">
        <v>276</v>
      </c>
      <c r="S157" s="142" t="s">
        <v>277</v>
      </c>
      <c r="T157" s="154">
        <v>45513</v>
      </c>
      <c r="U157" s="46">
        <v>45574</v>
      </c>
      <c r="V157" s="142">
        <f t="shared" ca="1" si="13"/>
        <v>-511</v>
      </c>
      <c r="W157" s="142" t="str">
        <f t="shared" ca="1" si="14"/>
        <v>Vencido</v>
      </c>
      <c r="X157" s="142"/>
    </row>
    <row r="158" spans="1:25" s="40" customFormat="1" ht="65.25" customHeight="1">
      <c r="A158" s="6" t="s">
        <v>184</v>
      </c>
      <c r="B158" s="6" t="s">
        <v>310</v>
      </c>
      <c r="C158" s="53">
        <v>4569058</v>
      </c>
      <c r="D158" s="54" t="s">
        <v>129</v>
      </c>
      <c r="E158" s="19">
        <v>82</v>
      </c>
      <c r="F158" s="19" t="s">
        <v>18</v>
      </c>
      <c r="G158" s="6" t="s">
        <v>54</v>
      </c>
      <c r="H158" s="6" t="s">
        <v>311</v>
      </c>
      <c r="I158" s="19">
        <v>2022</v>
      </c>
      <c r="J158" s="73">
        <v>44783</v>
      </c>
      <c r="K158" s="19" t="s">
        <v>20</v>
      </c>
      <c r="L158" s="19" t="s">
        <v>21</v>
      </c>
      <c r="M158" s="73">
        <v>45665</v>
      </c>
      <c r="N158" s="6" t="s">
        <v>312</v>
      </c>
      <c r="O158" s="19" t="s">
        <v>58</v>
      </c>
      <c r="P158" s="6" t="s">
        <v>223</v>
      </c>
      <c r="Q158" s="6"/>
      <c r="R158" s="13" t="s">
        <v>313</v>
      </c>
      <c r="S158" s="6" t="s">
        <v>284</v>
      </c>
      <c r="T158" s="6" t="s">
        <v>289</v>
      </c>
      <c r="U158" s="75">
        <v>45666</v>
      </c>
      <c r="V158" s="75">
        <v>45697</v>
      </c>
      <c r="W158" s="6">
        <f t="shared" ref="W158:W166" ca="1" si="15">V158-TODAY()</f>
        <v>-388</v>
      </c>
      <c r="X158" s="6" t="str">
        <f t="shared" ref="X158:X166" ca="1" si="16">IF(W158&gt;=20,"Vigente",IF(AND(W158&gt;=1,W158&lt;=20),"Por Vencer","Vencido"))</f>
        <v>Vencido</v>
      </c>
      <c r="Y158" s="6"/>
    </row>
    <row r="159" spans="1:25" s="40" customFormat="1" ht="65.25" customHeight="1">
      <c r="A159" s="6" t="s">
        <v>184</v>
      </c>
      <c r="B159" s="6" t="s">
        <v>314</v>
      </c>
      <c r="C159" s="53">
        <v>5061079</v>
      </c>
      <c r="D159" s="54">
        <v>9</v>
      </c>
      <c r="E159" s="19">
        <v>86</v>
      </c>
      <c r="F159" s="19" t="s">
        <v>18</v>
      </c>
      <c r="G159" s="6" t="s">
        <v>19</v>
      </c>
      <c r="H159" s="13" t="s">
        <v>315</v>
      </c>
      <c r="I159" s="19">
        <v>2020</v>
      </c>
      <c r="J159" s="73">
        <v>44077</v>
      </c>
      <c r="K159" s="19" t="s">
        <v>20</v>
      </c>
      <c r="L159" s="19" t="s">
        <v>32</v>
      </c>
      <c r="M159" s="73">
        <v>45334</v>
      </c>
      <c r="N159" s="6" t="s">
        <v>316</v>
      </c>
      <c r="O159" s="19" t="s">
        <v>58</v>
      </c>
      <c r="P159" s="6" t="s">
        <v>223</v>
      </c>
      <c r="Q159" s="6"/>
      <c r="R159" s="6" t="s">
        <v>317</v>
      </c>
      <c r="S159" s="6" t="s">
        <v>284</v>
      </c>
      <c r="T159" s="6" t="s">
        <v>294</v>
      </c>
      <c r="U159" s="75">
        <v>45565</v>
      </c>
      <c r="V159" s="75">
        <v>45595</v>
      </c>
      <c r="W159" s="6">
        <f t="shared" ca="1" si="15"/>
        <v>-490</v>
      </c>
      <c r="X159" s="6" t="str">
        <f t="shared" ca="1" si="16"/>
        <v>Vencido</v>
      </c>
      <c r="Y159" s="6" t="s">
        <v>318</v>
      </c>
    </row>
    <row r="160" spans="1:25" ht="65.25" customHeight="1">
      <c r="A160" s="6" t="s">
        <v>184</v>
      </c>
      <c r="B160" s="6" t="s">
        <v>319</v>
      </c>
      <c r="C160" s="53">
        <v>7568591</v>
      </c>
      <c r="D160" s="18">
        <v>2</v>
      </c>
      <c r="E160" s="6">
        <v>66</v>
      </c>
      <c r="F160" s="19" t="s">
        <v>18</v>
      </c>
      <c r="G160" s="19" t="s">
        <v>54</v>
      </c>
      <c r="H160" s="19" t="s">
        <v>311</v>
      </c>
      <c r="I160" s="19">
        <v>2024</v>
      </c>
      <c r="J160" s="73">
        <v>45643</v>
      </c>
      <c r="K160" s="19" t="s">
        <v>62</v>
      </c>
      <c r="L160" s="19" t="s">
        <v>241</v>
      </c>
      <c r="M160" s="75">
        <v>45665</v>
      </c>
      <c r="N160" s="19" t="s">
        <v>320</v>
      </c>
      <c r="O160" s="19" t="s">
        <v>34</v>
      </c>
      <c r="P160" s="6" t="s">
        <v>223</v>
      </c>
      <c r="Q160" s="6"/>
      <c r="R160" s="6" t="s">
        <v>321</v>
      </c>
      <c r="S160" s="6" t="s">
        <v>284</v>
      </c>
      <c r="T160" s="6" t="s">
        <v>322</v>
      </c>
      <c r="U160" s="75">
        <v>45652</v>
      </c>
      <c r="V160" s="75">
        <v>45683</v>
      </c>
      <c r="W160" s="6">
        <f t="shared" ca="1" si="15"/>
        <v>-402</v>
      </c>
      <c r="X160" s="6" t="str">
        <f t="shared" ca="1" si="16"/>
        <v>Vencido</v>
      </c>
    </row>
    <row r="161" spans="1:25" ht="65.25" customHeight="1">
      <c r="A161" s="6" t="s">
        <v>59</v>
      </c>
      <c r="B161" s="6" t="s">
        <v>323</v>
      </c>
      <c r="C161" s="53">
        <v>8811624</v>
      </c>
      <c r="D161" s="18">
        <v>0</v>
      </c>
      <c r="E161" s="6">
        <v>64</v>
      </c>
      <c r="F161" s="19" t="s">
        <v>324</v>
      </c>
      <c r="G161" s="19" t="s">
        <v>325</v>
      </c>
      <c r="H161" s="19" t="s">
        <v>311</v>
      </c>
      <c r="I161" s="19">
        <v>2024</v>
      </c>
      <c r="J161" s="19" t="s">
        <v>178</v>
      </c>
      <c r="K161" s="19" t="s">
        <v>62</v>
      </c>
      <c r="L161" s="19" t="s">
        <v>326</v>
      </c>
      <c r="M161" s="6"/>
      <c r="N161" s="19"/>
      <c r="O161" s="155" t="s">
        <v>58</v>
      </c>
      <c r="P161" s="6" t="s">
        <v>24</v>
      </c>
      <c r="Q161" s="6"/>
      <c r="R161" s="6" t="s">
        <v>327</v>
      </c>
      <c r="S161" s="6" t="s">
        <v>284</v>
      </c>
      <c r="T161" s="6" t="s">
        <v>277</v>
      </c>
      <c r="U161" s="75">
        <v>45609</v>
      </c>
      <c r="V161" s="75">
        <v>45639</v>
      </c>
      <c r="W161" s="6">
        <f t="shared" ca="1" si="15"/>
        <v>-446</v>
      </c>
      <c r="X161" s="6" t="str">
        <f t="shared" ca="1" si="16"/>
        <v>Vencido</v>
      </c>
    </row>
    <row r="162" spans="1:25" ht="80.25" customHeight="1">
      <c r="A162" s="142" t="s">
        <v>184</v>
      </c>
      <c r="B162" s="142" t="s">
        <v>328</v>
      </c>
      <c r="C162" s="143">
        <v>6998147</v>
      </c>
      <c r="D162" s="144" t="s">
        <v>87</v>
      </c>
      <c r="E162" s="142">
        <v>70</v>
      </c>
      <c r="F162" s="61" t="s">
        <v>26</v>
      </c>
      <c r="G162" s="61" t="s">
        <v>329</v>
      </c>
      <c r="H162" s="61" t="s">
        <v>311</v>
      </c>
      <c r="I162" s="61" t="s">
        <v>174</v>
      </c>
      <c r="J162" s="61" t="s">
        <v>178</v>
      </c>
      <c r="K162" s="61" t="s">
        <v>166</v>
      </c>
      <c r="L162" s="61" t="s">
        <v>330</v>
      </c>
      <c r="M162" s="142" t="s">
        <v>180</v>
      </c>
      <c r="N162" s="61" t="s">
        <v>176</v>
      </c>
      <c r="O162" s="156" t="s">
        <v>58</v>
      </c>
      <c r="P162" s="142" t="s">
        <v>225</v>
      </c>
      <c r="Q162" s="142"/>
      <c r="R162" t="s">
        <v>331</v>
      </c>
      <c r="S162" s="142" t="s">
        <v>284</v>
      </c>
      <c r="T162" s="142" t="s">
        <v>322</v>
      </c>
      <c r="U162" s="154">
        <v>45587</v>
      </c>
      <c r="V162" s="154">
        <v>45618</v>
      </c>
      <c r="W162" s="142">
        <f t="shared" ca="1" si="15"/>
        <v>-467</v>
      </c>
      <c r="X162" s="142" t="str">
        <f t="shared" ca="1" si="16"/>
        <v>Vencido</v>
      </c>
      <c r="Y162" s="6"/>
    </row>
    <row r="163" spans="1:25" ht="65.25" customHeight="1">
      <c r="A163" s="95" t="s">
        <v>184</v>
      </c>
      <c r="B163" s="95" t="s">
        <v>332</v>
      </c>
      <c r="C163" s="96">
        <v>41597464</v>
      </c>
      <c r="D163" s="97">
        <v>7</v>
      </c>
      <c r="E163" s="79" t="e">
        <f ca="1">DATEDIF(#REF!,TODAY(),"Y")</f>
        <v>#REF!</v>
      </c>
      <c r="F163" s="79" t="s">
        <v>64</v>
      </c>
      <c r="G163" s="95" t="s">
        <v>19</v>
      </c>
      <c r="H163" s="6" t="s">
        <v>315</v>
      </c>
      <c r="I163" s="79">
        <v>2024</v>
      </c>
      <c r="J163" s="100">
        <v>45408</v>
      </c>
      <c r="K163" s="79" t="s">
        <v>62</v>
      </c>
      <c r="L163" s="79" t="s">
        <v>32</v>
      </c>
      <c r="M163" s="100">
        <v>45418</v>
      </c>
      <c r="N163" s="95"/>
      <c r="O163" s="79" t="s">
        <v>58</v>
      </c>
      <c r="P163" s="95" t="s">
        <v>225</v>
      </c>
      <c r="Q163" s="95"/>
      <c r="R163" s="160" t="s">
        <v>333</v>
      </c>
      <c r="S163" s="95"/>
      <c r="T163" s="95"/>
      <c r="U163" s="95"/>
      <c r="V163" s="101"/>
      <c r="W163" s="95">
        <f t="shared" ca="1" si="15"/>
        <v>-46085</v>
      </c>
      <c r="X163" s="95" t="str">
        <f t="shared" ca="1" si="16"/>
        <v>Vencido</v>
      </c>
      <c r="Y163" s="95"/>
    </row>
    <row r="164" spans="1:25" ht="65.25" customHeight="1">
      <c r="A164" s="6" t="s">
        <v>184</v>
      </c>
      <c r="B164" s="6" t="s">
        <v>334</v>
      </c>
      <c r="C164" s="53">
        <v>5937581</v>
      </c>
      <c r="D164" s="18">
        <v>4</v>
      </c>
      <c r="E164" s="6">
        <v>83</v>
      </c>
      <c r="F164" s="19" t="s">
        <v>18</v>
      </c>
      <c r="G164" s="19" t="s">
        <v>19</v>
      </c>
      <c r="H164" s="19" t="s">
        <v>335</v>
      </c>
      <c r="I164" s="19">
        <v>2025</v>
      </c>
      <c r="J164" s="73">
        <v>45678</v>
      </c>
      <c r="K164" s="19" t="s">
        <v>62</v>
      </c>
      <c r="L164" s="19" t="s">
        <v>326</v>
      </c>
      <c r="M164" s="6"/>
      <c r="N164" s="19"/>
      <c r="O164" s="19" t="s">
        <v>23</v>
      </c>
      <c r="P164" s="6" t="s">
        <v>225</v>
      </c>
      <c r="Q164" s="6"/>
      <c r="R164" s="6" t="s">
        <v>336</v>
      </c>
      <c r="S164" s="6" t="s">
        <v>284</v>
      </c>
      <c r="T164" s="6" t="s">
        <v>285</v>
      </c>
      <c r="U164" s="75">
        <v>45685</v>
      </c>
      <c r="V164" s="75">
        <v>45716</v>
      </c>
      <c r="W164" s="6">
        <f t="shared" ca="1" si="15"/>
        <v>-369</v>
      </c>
      <c r="X164" s="6" t="str">
        <f t="shared" ca="1" si="16"/>
        <v>Vencido</v>
      </c>
    </row>
    <row r="165" spans="1:25" ht="65.25" customHeight="1">
      <c r="A165" s="6" t="s">
        <v>184</v>
      </c>
      <c r="B165" s="6" t="s">
        <v>337</v>
      </c>
      <c r="C165" s="53">
        <v>4388729</v>
      </c>
      <c r="D165" s="18">
        <v>7</v>
      </c>
      <c r="E165" s="6">
        <v>85</v>
      </c>
      <c r="F165" s="19" t="s">
        <v>18</v>
      </c>
      <c r="G165" s="19" t="s">
        <v>68</v>
      </c>
      <c r="H165" s="19" t="s">
        <v>315</v>
      </c>
      <c r="I165" s="19">
        <v>2025</v>
      </c>
      <c r="J165" s="73">
        <v>45660</v>
      </c>
      <c r="K165" s="19" t="s">
        <v>62</v>
      </c>
      <c r="L165" s="19" t="s">
        <v>156</v>
      </c>
      <c r="M165" s="75">
        <v>45684</v>
      </c>
      <c r="N165" s="19" t="s">
        <v>338</v>
      </c>
      <c r="O165" s="19" t="s">
        <v>23</v>
      </c>
      <c r="P165" s="6" t="s">
        <v>24</v>
      </c>
      <c r="Q165" s="6"/>
      <c r="R165" s="6" t="s">
        <v>339</v>
      </c>
      <c r="S165" s="6" t="s">
        <v>276</v>
      </c>
      <c r="T165" s="6" t="s">
        <v>285</v>
      </c>
      <c r="U165" s="75">
        <v>45685</v>
      </c>
      <c r="V165" s="75">
        <v>45744</v>
      </c>
      <c r="W165" s="6">
        <f t="shared" ca="1" si="15"/>
        <v>-341</v>
      </c>
      <c r="X165" s="6" t="str">
        <f t="shared" ca="1" si="16"/>
        <v>Vencido</v>
      </c>
    </row>
    <row r="166" spans="1:25" ht="65.25" customHeight="1">
      <c r="A166" s="6" t="s">
        <v>184</v>
      </c>
      <c r="B166" s="6" t="s">
        <v>340</v>
      </c>
      <c r="C166" s="53">
        <v>8734900</v>
      </c>
      <c r="D166" s="18">
        <v>4</v>
      </c>
      <c r="E166" s="6">
        <v>65</v>
      </c>
      <c r="F166" s="19" t="s">
        <v>18</v>
      </c>
      <c r="G166" s="19" t="s">
        <v>54</v>
      </c>
      <c r="H166" s="19" t="s">
        <v>311</v>
      </c>
      <c r="I166" s="19">
        <v>2024</v>
      </c>
      <c r="J166" s="73">
        <v>45600</v>
      </c>
      <c r="K166" s="19" t="s">
        <v>62</v>
      </c>
      <c r="L166" s="19" t="s">
        <v>168</v>
      </c>
      <c r="M166" s="75">
        <v>45630</v>
      </c>
      <c r="N166" s="19" t="s">
        <v>341</v>
      </c>
      <c r="O166" s="67" t="s">
        <v>34</v>
      </c>
      <c r="P166" s="6" t="s">
        <v>223</v>
      </c>
      <c r="Q166" s="6"/>
      <c r="R166" s="6" t="s">
        <v>342</v>
      </c>
      <c r="S166" s="6" t="s">
        <v>284</v>
      </c>
      <c r="T166" s="6" t="s">
        <v>343</v>
      </c>
      <c r="U166" s="75">
        <v>45631</v>
      </c>
      <c r="V166" s="75">
        <v>45662</v>
      </c>
      <c r="W166" s="6">
        <f t="shared" ca="1" si="15"/>
        <v>-423</v>
      </c>
      <c r="X166" s="6" t="str">
        <f t="shared" ca="1" si="16"/>
        <v>Vencido</v>
      </c>
    </row>
    <row r="167" spans="1:25" ht="65.25" customHeight="1">
      <c r="A167" s="6" t="s">
        <v>184</v>
      </c>
      <c r="B167" s="6" t="s">
        <v>344</v>
      </c>
      <c r="C167" s="53">
        <v>3487899</v>
      </c>
      <c r="D167" s="54">
        <v>4</v>
      </c>
      <c r="E167" s="6">
        <v>91</v>
      </c>
      <c r="F167" s="19" t="s">
        <v>18</v>
      </c>
      <c r="G167" s="19" t="s">
        <v>345</v>
      </c>
      <c r="H167" s="19" t="s">
        <v>335</v>
      </c>
      <c r="I167" s="19" t="s">
        <v>174</v>
      </c>
      <c r="J167" s="19" t="s">
        <v>178</v>
      </c>
      <c r="K167" s="19" t="s">
        <v>62</v>
      </c>
      <c r="L167" s="19" t="s">
        <v>269</v>
      </c>
      <c r="M167" s="75">
        <v>45509</v>
      </c>
      <c r="N167" s="19" t="s">
        <v>201</v>
      </c>
      <c r="O167" s="19" t="s">
        <v>58</v>
      </c>
      <c r="P167" s="6" t="s">
        <v>152</v>
      </c>
      <c r="Q167" s="6" t="s">
        <v>24</v>
      </c>
      <c r="R167" s="89" t="s">
        <v>346</v>
      </c>
      <c r="S167" s="6" t="s">
        <v>276</v>
      </c>
      <c r="T167" s="6" t="s">
        <v>289</v>
      </c>
      <c r="U167" s="75">
        <v>45513</v>
      </c>
      <c r="V167" s="75">
        <v>45666</v>
      </c>
      <c r="W167" s="6">
        <f t="shared" ref="W167:W173" ca="1" si="17">V167-TODAY()</f>
        <v>-419</v>
      </c>
      <c r="X167" s="6" t="str">
        <f t="shared" ref="X167:X173" ca="1" si="18">IF(W167&gt;=20,"Vigente",IF(AND(W167&gt;=1,W167&lt;=20),"Por Vencer","Vencido"))</f>
        <v>Vencido</v>
      </c>
      <c r="Y167" s="6"/>
    </row>
    <row r="168" spans="1:25" ht="65.25" customHeight="1">
      <c r="A168" s="6" t="s">
        <v>184</v>
      </c>
      <c r="B168" s="6" t="s">
        <v>347</v>
      </c>
      <c r="C168" s="53">
        <v>6781820</v>
      </c>
      <c r="D168" s="54">
        <v>2</v>
      </c>
      <c r="E168" s="19" t="e">
        <f ca="1">DATEDIF(#REF!,TODAY(),"Y")</f>
        <v>#REF!</v>
      </c>
      <c r="F168" s="19" t="s">
        <v>64</v>
      </c>
      <c r="G168" s="19" t="s">
        <v>348</v>
      </c>
      <c r="H168" s="6" t="s">
        <v>335</v>
      </c>
      <c r="I168" s="19">
        <v>2024</v>
      </c>
      <c r="J168" s="73">
        <v>45446</v>
      </c>
      <c r="K168" s="19" t="s">
        <v>20</v>
      </c>
      <c r="L168" s="19" t="s">
        <v>21</v>
      </c>
      <c r="M168" s="73">
        <v>45467</v>
      </c>
      <c r="N168" s="6" t="s">
        <v>201</v>
      </c>
      <c r="O168" s="19" t="s">
        <v>58</v>
      </c>
      <c r="P168" s="6" t="s">
        <v>152</v>
      </c>
      <c r="Q168" s="6" t="s">
        <v>24</v>
      </c>
      <c r="R168" s="6" t="s">
        <v>349</v>
      </c>
      <c r="S168" s="6" t="s">
        <v>288</v>
      </c>
      <c r="T168" s="6" t="s">
        <v>289</v>
      </c>
      <c r="U168" s="75">
        <v>45467</v>
      </c>
      <c r="V168" s="75">
        <v>45497</v>
      </c>
      <c r="W168" s="6">
        <f t="shared" ca="1" si="17"/>
        <v>-588</v>
      </c>
      <c r="X168" s="6" t="str">
        <f t="shared" ca="1" si="18"/>
        <v>Vencido</v>
      </c>
      <c r="Y168" s="6"/>
    </row>
    <row r="169" spans="1:25" ht="65.25" customHeight="1">
      <c r="A169" s="6" t="s">
        <v>184</v>
      </c>
      <c r="B169" s="6" t="s">
        <v>350</v>
      </c>
      <c r="C169" s="53">
        <v>4630307</v>
      </c>
      <c r="D169" s="54">
        <v>5</v>
      </c>
      <c r="E169" s="19">
        <v>85</v>
      </c>
      <c r="F169" s="19" t="s">
        <v>64</v>
      </c>
      <c r="G169" s="6" t="s">
        <v>19</v>
      </c>
      <c r="H169" s="6" t="s">
        <v>335</v>
      </c>
      <c r="I169" s="19">
        <v>2024</v>
      </c>
      <c r="J169" s="73">
        <v>45435</v>
      </c>
      <c r="K169" s="19" t="s">
        <v>62</v>
      </c>
      <c r="L169" s="19" t="s">
        <v>32</v>
      </c>
      <c r="M169" s="73">
        <v>45523</v>
      </c>
      <c r="N169" s="6" t="s">
        <v>351</v>
      </c>
      <c r="O169" s="19" t="s">
        <v>58</v>
      </c>
      <c r="P169" s="6" t="s">
        <v>152</v>
      </c>
      <c r="Q169" s="6" t="s">
        <v>24</v>
      </c>
      <c r="R169" s="89" t="s">
        <v>352</v>
      </c>
      <c r="S169" s="6" t="s">
        <v>276</v>
      </c>
      <c r="T169" s="6" t="s">
        <v>277</v>
      </c>
      <c r="U169" s="75">
        <v>45574</v>
      </c>
      <c r="V169" s="75">
        <v>45635</v>
      </c>
      <c r="W169" s="6">
        <f t="shared" ca="1" si="17"/>
        <v>-450</v>
      </c>
      <c r="X169" s="6" t="str">
        <f t="shared" ca="1" si="18"/>
        <v>Vencido</v>
      </c>
      <c r="Y169" s="6"/>
    </row>
    <row r="170" spans="1:25" customFormat="1" ht="50.1" customHeight="1">
      <c r="A170" s="5" t="s">
        <v>59</v>
      </c>
      <c r="B170" s="6" t="s">
        <v>353</v>
      </c>
      <c r="C170" s="7">
        <v>9310187</v>
      </c>
      <c r="D170" s="8">
        <v>1</v>
      </c>
      <c r="E170" s="9">
        <v>63</v>
      </c>
      <c r="F170" s="10" t="s">
        <v>18</v>
      </c>
      <c r="G170" s="10" t="s">
        <v>354</v>
      </c>
      <c r="H170" s="10" t="s">
        <v>311</v>
      </c>
      <c r="I170" s="10" t="s">
        <v>174</v>
      </c>
      <c r="J170" s="10" t="s">
        <v>178</v>
      </c>
      <c r="K170" s="10" t="s">
        <v>166</v>
      </c>
      <c r="L170" s="10" t="s">
        <v>262</v>
      </c>
      <c r="M170" s="22">
        <v>45623</v>
      </c>
      <c r="N170" s="19" t="s">
        <v>355</v>
      </c>
      <c r="O170" s="157" t="s">
        <v>58</v>
      </c>
      <c r="P170" s="5" t="s">
        <v>152</v>
      </c>
      <c r="Q170" s="6" t="s">
        <v>356</v>
      </c>
      <c r="R170" s="6" t="s">
        <v>357</v>
      </c>
      <c r="S170" s="5" t="s">
        <v>284</v>
      </c>
      <c r="T170" s="5" t="s">
        <v>322</v>
      </c>
      <c r="U170" s="22">
        <v>45623</v>
      </c>
      <c r="V170" s="22">
        <v>45653</v>
      </c>
      <c r="W170" s="5">
        <f t="shared" ca="1" si="17"/>
        <v>-432</v>
      </c>
      <c r="X170" s="5" t="str">
        <f t="shared" ca="1" si="18"/>
        <v>Vencido</v>
      </c>
    </row>
    <row r="171" spans="1:25" ht="65.25" customHeight="1">
      <c r="A171" s="6" t="s">
        <v>184</v>
      </c>
      <c r="B171" s="6" t="s">
        <v>358</v>
      </c>
      <c r="C171" s="53">
        <v>5356337</v>
      </c>
      <c r="D171" s="54">
        <v>6</v>
      </c>
      <c r="E171" s="19" t="e">
        <f ca="1">DATEDIF(#REF!,TODAY(),"Y")</f>
        <v>#REF!</v>
      </c>
      <c r="F171" s="19" t="s">
        <v>26</v>
      </c>
      <c r="G171" s="6" t="s">
        <v>19</v>
      </c>
      <c r="H171" s="19" t="s">
        <v>315</v>
      </c>
      <c r="I171" s="19">
        <v>2023</v>
      </c>
      <c r="J171" s="73">
        <v>45054</v>
      </c>
      <c r="K171" s="19" t="s">
        <v>20</v>
      </c>
      <c r="L171" s="19" t="s">
        <v>32</v>
      </c>
      <c r="M171" s="73">
        <v>45482</v>
      </c>
      <c r="N171" s="6" t="s">
        <v>359</v>
      </c>
      <c r="O171" s="19" t="s">
        <v>23</v>
      </c>
      <c r="P171" s="6" t="s">
        <v>152</v>
      </c>
      <c r="Q171" s="6" t="s">
        <v>24</v>
      </c>
      <c r="R171" s="89" t="s">
        <v>360</v>
      </c>
      <c r="S171" s="6" t="s">
        <v>284</v>
      </c>
      <c r="T171" s="6" t="s">
        <v>277</v>
      </c>
      <c r="U171" s="75">
        <v>45567</v>
      </c>
      <c r="V171" s="75">
        <v>45598</v>
      </c>
      <c r="W171" s="6">
        <f t="shared" ca="1" si="17"/>
        <v>-487</v>
      </c>
      <c r="X171" s="6" t="str">
        <f t="shared" ca="1" si="18"/>
        <v>Vencido</v>
      </c>
      <c r="Y171" s="6"/>
    </row>
    <row r="172" spans="1:25" customFormat="1" ht="50.1" customHeight="1">
      <c r="A172" s="5" t="s">
        <v>184</v>
      </c>
      <c r="B172" s="6" t="s">
        <v>361</v>
      </c>
      <c r="C172" s="7">
        <v>5286814</v>
      </c>
      <c r="D172" s="8">
        <v>9</v>
      </c>
      <c r="E172" s="9">
        <v>87</v>
      </c>
      <c r="F172" s="10" t="s">
        <v>18</v>
      </c>
      <c r="G172" s="10" t="s">
        <v>54</v>
      </c>
      <c r="H172" s="10" t="s">
        <v>311</v>
      </c>
      <c r="I172" s="10">
        <v>2024</v>
      </c>
      <c r="J172" s="21">
        <v>45638</v>
      </c>
      <c r="K172" s="10" t="s">
        <v>62</v>
      </c>
      <c r="L172" s="10" t="s">
        <v>241</v>
      </c>
      <c r="M172" s="22">
        <v>45686</v>
      </c>
      <c r="N172" s="19" t="s">
        <v>362</v>
      </c>
      <c r="O172" s="10" t="s">
        <v>23</v>
      </c>
      <c r="P172" s="5"/>
      <c r="Q172" s="6" t="s">
        <v>24</v>
      </c>
      <c r="R172" s="6" t="s">
        <v>363</v>
      </c>
      <c r="S172" s="5" t="s">
        <v>276</v>
      </c>
      <c r="T172" s="5" t="s">
        <v>277</v>
      </c>
      <c r="U172" s="22">
        <v>45695</v>
      </c>
      <c r="V172" s="22">
        <v>45754</v>
      </c>
      <c r="W172" s="5">
        <f t="shared" ca="1" si="17"/>
        <v>-331</v>
      </c>
      <c r="X172" s="5" t="str">
        <f t="shared" ca="1" si="18"/>
        <v>Vencido</v>
      </c>
    </row>
    <row r="173" spans="1:25" customFormat="1" ht="50.1" customHeight="1">
      <c r="A173" s="5" t="s">
        <v>59</v>
      </c>
      <c r="B173" s="6" t="s">
        <v>364</v>
      </c>
      <c r="C173" s="7">
        <v>8106702</v>
      </c>
      <c r="D173" s="8">
        <v>3</v>
      </c>
      <c r="E173" s="9">
        <v>65</v>
      </c>
      <c r="F173" s="10" t="s">
        <v>365</v>
      </c>
      <c r="G173" s="10" t="s">
        <v>197</v>
      </c>
      <c r="H173" s="10" t="s">
        <v>311</v>
      </c>
      <c r="I173" s="10">
        <v>2024</v>
      </c>
      <c r="J173" s="21">
        <v>45573</v>
      </c>
      <c r="K173" s="10" t="s">
        <v>62</v>
      </c>
      <c r="L173" s="10" t="s">
        <v>241</v>
      </c>
      <c r="M173" s="5" t="s">
        <v>180</v>
      </c>
      <c r="N173" s="19" t="s">
        <v>366</v>
      </c>
      <c r="O173" s="20" t="s">
        <v>367</v>
      </c>
      <c r="P173" s="5"/>
      <c r="Q173" s="6" t="s">
        <v>24</v>
      </c>
      <c r="R173" s="6" t="s">
        <v>368</v>
      </c>
      <c r="S173" s="5" t="s">
        <v>369</v>
      </c>
      <c r="T173" s="5" t="s">
        <v>289</v>
      </c>
      <c r="U173" s="22">
        <v>45644</v>
      </c>
      <c r="V173" s="22">
        <v>45734</v>
      </c>
      <c r="W173" s="5">
        <f t="shared" ca="1" si="17"/>
        <v>-351</v>
      </c>
      <c r="X173" s="5" t="str">
        <f t="shared" ca="1" si="18"/>
        <v>Vencido</v>
      </c>
    </row>
    <row r="174" spans="1:25" customFormat="1" ht="50.1" customHeight="1">
      <c r="A174" s="12" t="s">
        <v>59</v>
      </c>
      <c r="B174" s="13" t="s">
        <v>370</v>
      </c>
      <c r="C174" s="14">
        <v>12141042</v>
      </c>
      <c r="D174" s="15">
        <v>7</v>
      </c>
      <c r="E174" s="16"/>
      <c r="F174" s="11" t="s">
        <v>18</v>
      </c>
      <c r="G174" s="12" t="s">
        <v>80</v>
      </c>
      <c r="H174" s="11" t="s">
        <v>311</v>
      </c>
      <c r="I174" s="11">
        <v>2023</v>
      </c>
      <c r="J174" s="23">
        <v>45203</v>
      </c>
      <c r="K174" s="158" t="s">
        <v>20</v>
      </c>
      <c r="L174" s="11" t="s">
        <v>32</v>
      </c>
      <c r="M174" s="23">
        <v>45437</v>
      </c>
      <c r="N174" s="13" t="s">
        <v>371</v>
      </c>
      <c r="O174" s="158" t="s">
        <v>40</v>
      </c>
      <c r="P174" s="12" t="s">
        <v>149</v>
      </c>
      <c r="Q174" s="13" t="s">
        <v>24</v>
      </c>
      <c r="R174" s="13" t="s">
        <v>372</v>
      </c>
      <c r="S174" s="12" t="s">
        <v>284</v>
      </c>
      <c r="T174" s="12" t="s">
        <v>289</v>
      </c>
      <c r="U174" s="28">
        <v>45692</v>
      </c>
      <c r="V174" s="28">
        <v>45720</v>
      </c>
      <c r="W174" s="5">
        <f t="shared" ref="W174:W180" ca="1" si="19">V174-TODAY()</f>
        <v>-365</v>
      </c>
      <c r="X174" s="5" t="str">
        <f t="shared" ref="X174:X180" ca="1" si="20">IF(W174&gt;=20,"Vigente",IF(AND(W174&gt;=1,W174&lt;=20),"Por Vencer","Vencido"))</f>
        <v>Vencido</v>
      </c>
    </row>
    <row r="175" spans="1:25" customFormat="1" ht="50.1" customHeight="1">
      <c r="A175" s="5" t="s">
        <v>59</v>
      </c>
      <c r="B175" s="6" t="s">
        <v>373</v>
      </c>
      <c r="C175" s="7">
        <v>5437784</v>
      </c>
      <c r="D175" s="8">
        <v>3</v>
      </c>
      <c r="E175" s="9">
        <v>77</v>
      </c>
      <c r="F175" s="10" t="s">
        <v>18</v>
      </c>
      <c r="G175" s="10" t="s">
        <v>82</v>
      </c>
      <c r="H175" s="11" t="s">
        <v>311</v>
      </c>
      <c r="I175" s="10" t="s">
        <v>174</v>
      </c>
      <c r="J175" s="10" t="s">
        <v>178</v>
      </c>
      <c r="K175" s="10" t="s">
        <v>62</v>
      </c>
      <c r="L175" s="10" t="s">
        <v>241</v>
      </c>
      <c r="M175" s="22">
        <v>45623</v>
      </c>
      <c r="N175" s="19" t="s">
        <v>374</v>
      </c>
      <c r="O175" s="10" t="s">
        <v>58</v>
      </c>
      <c r="P175" s="5" t="s">
        <v>152</v>
      </c>
      <c r="Q175" s="6" t="s">
        <v>24</v>
      </c>
      <c r="R175" s="13" t="s">
        <v>375</v>
      </c>
      <c r="S175" s="5" t="s">
        <v>276</v>
      </c>
      <c r="T175" s="5" t="s">
        <v>277</v>
      </c>
      <c r="U175" s="22">
        <v>45628</v>
      </c>
      <c r="V175" s="22">
        <v>45690</v>
      </c>
      <c r="W175" s="5">
        <f t="shared" ca="1" si="19"/>
        <v>-395</v>
      </c>
      <c r="X175" s="5" t="str">
        <f t="shared" ca="1" si="20"/>
        <v>Vencido</v>
      </c>
    </row>
    <row r="176" spans="1:25" customFormat="1" ht="50.1" customHeight="1">
      <c r="A176" s="5" t="s">
        <v>59</v>
      </c>
      <c r="B176" s="6" t="s">
        <v>376</v>
      </c>
      <c r="C176" s="7">
        <v>10240811</v>
      </c>
      <c r="D176" s="8" t="s">
        <v>87</v>
      </c>
      <c r="E176" s="9">
        <v>60</v>
      </c>
      <c r="F176" s="10" t="s">
        <v>18</v>
      </c>
      <c r="G176" s="10" t="s">
        <v>61</v>
      </c>
      <c r="H176" s="11" t="s">
        <v>311</v>
      </c>
      <c r="I176" s="10">
        <v>2024</v>
      </c>
      <c r="J176" s="21">
        <v>45642</v>
      </c>
      <c r="K176" s="10" t="s">
        <v>62</v>
      </c>
      <c r="L176" s="10" t="s">
        <v>326</v>
      </c>
      <c r="M176" s="5"/>
      <c r="N176" s="19"/>
      <c r="O176" s="10" t="s">
        <v>23</v>
      </c>
      <c r="P176" s="5"/>
      <c r="Q176" s="6" t="s">
        <v>24</v>
      </c>
      <c r="R176" s="6" t="s">
        <v>377</v>
      </c>
      <c r="S176" s="5" t="s">
        <v>284</v>
      </c>
      <c r="T176" s="5" t="s">
        <v>322</v>
      </c>
      <c r="U176" s="22">
        <v>45659</v>
      </c>
      <c r="V176" s="22">
        <v>45690</v>
      </c>
      <c r="W176" s="5">
        <f t="shared" ca="1" si="19"/>
        <v>-395</v>
      </c>
      <c r="X176" s="5" t="str">
        <f t="shared" ca="1" si="20"/>
        <v>Vencido</v>
      </c>
    </row>
    <row r="177" spans="1:25" customFormat="1" ht="50.1" customHeight="1">
      <c r="A177" s="5" t="s">
        <v>59</v>
      </c>
      <c r="B177" s="6" t="s">
        <v>378</v>
      </c>
      <c r="C177" s="7">
        <v>11726817</v>
      </c>
      <c r="D177" s="8">
        <v>9</v>
      </c>
      <c r="E177" s="9">
        <v>54</v>
      </c>
      <c r="F177" s="10" t="s">
        <v>64</v>
      </c>
      <c r="G177" s="10" t="s">
        <v>379</v>
      </c>
      <c r="H177" s="11" t="s">
        <v>311</v>
      </c>
      <c r="I177" s="10" t="s">
        <v>174</v>
      </c>
      <c r="J177" s="10" t="s">
        <v>178</v>
      </c>
      <c r="K177" s="10" t="s">
        <v>166</v>
      </c>
      <c r="L177" s="10" t="s">
        <v>262</v>
      </c>
      <c r="M177" s="5"/>
      <c r="N177" s="19"/>
      <c r="O177" s="10" t="s">
        <v>23</v>
      </c>
      <c r="P177" s="5"/>
      <c r="Q177" s="6" t="s">
        <v>356</v>
      </c>
      <c r="R177" s="6" t="s">
        <v>380</v>
      </c>
      <c r="S177" s="5" t="s">
        <v>284</v>
      </c>
      <c r="T177" s="5" t="s">
        <v>322</v>
      </c>
      <c r="U177" s="22">
        <v>45644</v>
      </c>
      <c r="V177" s="22">
        <v>45675</v>
      </c>
      <c r="W177" s="5">
        <f t="shared" ca="1" si="19"/>
        <v>-410</v>
      </c>
      <c r="X177" s="5" t="str">
        <f t="shared" ca="1" si="20"/>
        <v>Vencido</v>
      </c>
    </row>
    <row r="178" spans="1:25" customFormat="1" ht="50.1" customHeight="1">
      <c r="A178" s="5" t="s">
        <v>184</v>
      </c>
      <c r="B178" s="6" t="s">
        <v>381</v>
      </c>
      <c r="C178" s="7">
        <v>10102856</v>
      </c>
      <c r="D178" s="8">
        <v>9</v>
      </c>
      <c r="E178" s="9"/>
      <c r="F178" s="10" t="s">
        <v>18</v>
      </c>
      <c r="G178" s="10" t="s">
        <v>54</v>
      </c>
      <c r="H178" s="11" t="s">
        <v>311</v>
      </c>
      <c r="I178" s="10">
        <v>2023</v>
      </c>
      <c r="J178" s="21">
        <v>45001</v>
      </c>
      <c r="K178" s="10" t="s">
        <v>20</v>
      </c>
      <c r="L178" s="10" t="s">
        <v>21</v>
      </c>
      <c r="M178" s="21">
        <v>45609</v>
      </c>
      <c r="N178" s="6" t="s">
        <v>382</v>
      </c>
      <c r="O178" s="10" t="s">
        <v>58</v>
      </c>
      <c r="P178" s="5" t="s">
        <v>152</v>
      </c>
      <c r="Q178" s="6" t="s">
        <v>24</v>
      </c>
      <c r="R178" s="161" t="s">
        <v>383</v>
      </c>
      <c r="S178" s="5" t="s">
        <v>276</v>
      </c>
      <c r="T178" s="5" t="s">
        <v>277</v>
      </c>
      <c r="U178" s="22">
        <v>45609</v>
      </c>
      <c r="V178" s="22">
        <v>45670</v>
      </c>
      <c r="W178" s="5">
        <f t="shared" ca="1" si="19"/>
        <v>-415</v>
      </c>
      <c r="X178" s="5" t="str">
        <f t="shared" ca="1" si="20"/>
        <v>Vencido</v>
      </c>
    </row>
    <row r="179" spans="1:25" s="1" customFormat="1" ht="50.1" customHeight="1">
      <c r="A179" s="12" t="s">
        <v>184</v>
      </c>
      <c r="B179" s="13" t="s">
        <v>384</v>
      </c>
      <c r="C179" s="14">
        <v>6150824</v>
      </c>
      <c r="D179" s="15">
        <v>4</v>
      </c>
      <c r="E179" s="16">
        <v>76</v>
      </c>
      <c r="F179" s="11" t="s">
        <v>18</v>
      </c>
      <c r="G179" s="11" t="s">
        <v>54</v>
      </c>
      <c r="H179" s="11" t="s">
        <v>311</v>
      </c>
      <c r="I179" s="11">
        <v>2023</v>
      </c>
      <c r="J179" s="23">
        <v>44959</v>
      </c>
      <c r="K179" s="11" t="s">
        <v>20</v>
      </c>
      <c r="L179" s="11" t="s">
        <v>21</v>
      </c>
      <c r="M179" s="23">
        <v>45406</v>
      </c>
      <c r="N179" s="27" t="s">
        <v>385</v>
      </c>
      <c r="O179" s="11" t="s">
        <v>169</v>
      </c>
      <c r="P179" s="12"/>
      <c r="Q179" s="13" t="s">
        <v>386</v>
      </c>
      <c r="R179" s="13" t="s">
        <v>387</v>
      </c>
      <c r="S179" s="12" t="s">
        <v>388</v>
      </c>
      <c r="T179" s="12" t="s">
        <v>289</v>
      </c>
      <c r="U179" s="28">
        <v>45541</v>
      </c>
      <c r="V179" s="28">
        <v>45663</v>
      </c>
      <c r="W179" s="12">
        <f t="shared" ca="1" si="19"/>
        <v>-422</v>
      </c>
      <c r="X179" s="12" t="str">
        <f t="shared" ca="1" si="20"/>
        <v>Vencido</v>
      </c>
    </row>
    <row r="180" spans="1:25" customFormat="1" ht="50.1" customHeight="1">
      <c r="A180" s="5" t="s">
        <v>184</v>
      </c>
      <c r="B180" s="6" t="s">
        <v>389</v>
      </c>
      <c r="C180" s="7">
        <v>5750227</v>
      </c>
      <c r="D180" s="9">
        <v>4</v>
      </c>
      <c r="E180" s="9">
        <v>76</v>
      </c>
      <c r="F180" s="10" t="s">
        <v>18</v>
      </c>
      <c r="G180" s="10" t="s">
        <v>54</v>
      </c>
      <c r="H180" s="11" t="s">
        <v>311</v>
      </c>
      <c r="I180" s="10">
        <v>2024</v>
      </c>
      <c r="J180" s="21">
        <v>45574</v>
      </c>
      <c r="K180" s="10" t="s">
        <v>62</v>
      </c>
      <c r="L180" s="10" t="s">
        <v>241</v>
      </c>
      <c r="M180" s="22">
        <v>45602</v>
      </c>
      <c r="N180" s="19" t="s">
        <v>390</v>
      </c>
      <c r="O180" s="157" t="s">
        <v>58</v>
      </c>
      <c r="P180" s="5" t="s">
        <v>152</v>
      </c>
      <c r="Q180" s="6" t="s">
        <v>24</v>
      </c>
      <c r="R180" s="6" t="s">
        <v>391</v>
      </c>
      <c r="S180" s="5" t="s">
        <v>284</v>
      </c>
      <c r="T180" s="5" t="s">
        <v>277</v>
      </c>
      <c r="U180" s="22">
        <v>45621</v>
      </c>
      <c r="V180" s="22">
        <v>45646</v>
      </c>
      <c r="W180" s="5">
        <f t="shared" ca="1" si="19"/>
        <v>-439</v>
      </c>
      <c r="X180" s="5" t="str">
        <f t="shared" ca="1" si="20"/>
        <v>Vencido</v>
      </c>
    </row>
    <row r="181" spans="1:25" customFormat="1" ht="50.1" customHeight="1">
      <c r="A181" s="5" t="s">
        <v>184</v>
      </c>
      <c r="B181" s="6" t="s">
        <v>392</v>
      </c>
      <c r="C181" s="7">
        <v>9073677</v>
      </c>
      <c r="D181" s="9">
        <v>9</v>
      </c>
      <c r="E181" s="9">
        <v>64</v>
      </c>
      <c r="F181" s="10" t="s">
        <v>18</v>
      </c>
      <c r="G181" s="10" t="s">
        <v>54</v>
      </c>
      <c r="H181" s="11" t="s">
        <v>311</v>
      </c>
      <c r="I181" s="10">
        <v>2024</v>
      </c>
      <c r="J181" s="21">
        <v>45603</v>
      </c>
      <c r="K181" s="10" t="s">
        <v>166</v>
      </c>
      <c r="L181" s="10" t="s">
        <v>326</v>
      </c>
      <c r="M181" s="5" t="s">
        <v>180</v>
      </c>
      <c r="N181" s="19" t="s">
        <v>180</v>
      </c>
      <c r="O181" s="10" t="s">
        <v>58</v>
      </c>
      <c r="P181" s="5" t="s">
        <v>152</v>
      </c>
      <c r="Q181" s="6" t="s">
        <v>24</v>
      </c>
      <c r="R181" s="6" t="s">
        <v>393</v>
      </c>
      <c r="S181" s="5" t="s">
        <v>284</v>
      </c>
      <c r="T181" s="5" t="s">
        <v>322</v>
      </c>
      <c r="U181" s="22">
        <v>45607</v>
      </c>
      <c r="V181" s="22">
        <v>45637</v>
      </c>
      <c r="W181" s="5">
        <f t="shared" ref="W181:W193" ca="1" si="21">V181-TODAY()</f>
        <v>-448</v>
      </c>
      <c r="X181" s="5" t="str">
        <f t="shared" ref="X181:X193" ca="1" si="22">IF(W181&gt;=20,"Vigente",IF(AND(W181&gt;=1,W181&lt;=20),"Por Vencer","Vencido"))</f>
        <v>Vencido</v>
      </c>
    </row>
    <row r="182" spans="1:25" customFormat="1" ht="50.1" customHeight="1">
      <c r="A182" s="5" t="s">
        <v>59</v>
      </c>
      <c r="B182" s="6" t="s">
        <v>394</v>
      </c>
      <c r="C182" s="7">
        <v>6706033</v>
      </c>
      <c r="D182" s="9">
        <v>4</v>
      </c>
      <c r="E182" s="9">
        <v>73</v>
      </c>
      <c r="F182" s="10" t="s">
        <v>18</v>
      </c>
      <c r="G182" s="10" t="s">
        <v>325</v>
      </c>
      <c r="H182" s="11" t="s">
        <v>311</v>
      </c>
      <c r="I182" s="10"/>
      <c r="J182" s="10"/>
      <c r="K182" s="10" t="s">
        <v>62</v>
      </c>
      <c r="L182" s="10" t="s">
        <v>395</v>
      </c>
      <c r="M182" s="22">
        <v>45517</v>
      </c>
      <c r="N182" s="19" t="s">
        <v>396</v>
      </c>
      <c r="O182" s="10" t="s">
        <v>58</v>
      </c>
      <c r="P182" s="5" t="s">
        <v>152</v>
      </c>
      <c r="Q182" s="6" t="s">
        <v>24</v>
      </c>
      <c r="R182" s="6" t="s">
        <v>383</v>
      </c>
      <c r="S182" s="5" t="s">
        <v>276</v>
      </c>
      <c r="T182" s="5" t="s">
        <v>277</v>
      </c>
      <c r="U182" s="22">
        <v>45607</v>
      </c>
      <c r="V182" s="22">
        <v>45637</v>
      </c>
      <c r="W182" s="5">
        <f t="shared" ca="1" si="21"/>
        <v>-448</v>
      </c>
      <c r="X182" s="5" t="str">
        <f t="shared" ca="1" si="22"/>
        <v>Vencido</v>
      </c>
    </row>
    <row r="183" spans="1:25" customFormat="1" ht="50.1" customHeight="1">
      <c r="A183" s="5" t="s">
        <v>59</v>
      </c>
      <c r="B183" s="6" t="s">
        <v>397</v>
      </c>
      <c r="C183" s="7">
        <v>5013188</v>
      </c>
      <c r="D183" s="9">
        <v>2</v>
      </c>
      <c r="E183" s="9"/>
      <c r="F183" s="10" t="s">
        <v>18</v>
      </c>
      <c r="G183" s="10" t="s">
        <v>325</v>
      </c>
      <c r="H183" s="11" t="s">
        <v>311</v>
      </c>
      <c r="I183" s="10" t="s">
        <v>174</v>
      </c>
      <c r="J183" s="10" t="s">
        <v>178</v>
      </c>
      <c r="K183" s="10" t="s">
        <v>31</v>
      </c>
      <c r="L183" s="10" t="s">
        <v>21</v>
      </c>
      <c r="M183" s="10" t="s">
        <v>180</v>
      </c>
      <c r="N183" s="6" t="s">
        <v>176</v>
      </c>
      <c r="O183" s="10" t="s">
        <v>58</v>
      </c>
      <c r="P183" s="5" t="s">
        <v>27</v>
      </c>
      <c r="Q183" s="6" t="s">
        <v>24</v>
      </c>
      <c r="R183" s="162" t="s">
        <v>398</v>
      </c>
      <c r="S183" s="5" t="s">
        <v>276</v>
      </c>
      <c r="T183" s="5" t="s">
        <v>289</v>
      </c>
      <c r="U183" s="22">
        <v>45567</v>
      </c>
      <c r="V183" s="22">
        <v>45628</v>
      </c>
      <c r="W183" s="5">
        <f t="shared" ca="1" si="21"/>
        <v>-457</v>
      </c>
      <c r="X183" s="5" t="str">
        <f t="shared" ca="1" si="22"/>
        <v>Vencido</v>
      </c>
    </row>
    <row r="184" spans="1:25" customFormat="1" ht="50.1" customHeight="1">
      <c r="A184" s="5" t="s">
        <v>184</v>
      </c>
      <c r="B184" s="6" t="s">
        <v>399</v>
      </c>
      <c r="C184" s="7">
        <v>4141351</v>
      </c>
      <c r="D184" s="9">
        <v>4</v>
      </c>
      <c r="E184" s="9"/>
      <c r="F184" s="10" t="s">
        <v>18</v>
      </c>
      <c r="G184" s="10" t="s">
        <v>54</v>
      </c>
      <c r="H184" s="11" t="s">
        <v>311</v>
      </c>
      <c r="I184" s="10">
        <v>2024</v>
      </c>
      <c r="J184" s="21">
        <v>45278</v>
      </c>
      <c r="K184" s="10" t="s">
        <v>62</v>
      </c>
      <c r="L184" s="10" t="s">
        <v>21</v>
      </c>
      <c r="M184" s="21">
        <v>45434</v>
      </c>
      <c r="N184" s="6" t="s">
        <v>400</v>
      </c>
      <c r="O184" s="10" t="s">
        <v>23</v>
      </c>
      <c r="P184" s="5" t="s">
        <v>152</v>
      </c>
      <c r="Q184" s="6" t="s">
        <v>24</v>
      </c>
      <c r="R184" s="89" t="s">
        <v>383</v>
      </c>
      <c r="S184" s="5" t="s">
        <v>276</v>
      </c>
      <c r="T184" s="5" t="s">
        <v>289</v>
      </c>
      <c r="U184" s="22">
        <v>45567</v>
      </c>
      <c r="V184" s="22">
        <v>45628</v>
      </c>
      <c r="W184" s="5">
        <f t="shared" ca="1" si="21"/>
        <v>-457</v>
      </c>
      <c r="X184" s="5" t="str">
        <f t="shared" ca="1" si="22"/>
        <v>Vencido</v>
      </c>
    </row>
    <row r="185" spans="1:25" customFormat="1" ht="50.1" customHeight="1">
      <c r="A185" s="5" t="s">
        <v>184</v>
      </c>
      <c r="B185" s="6" t="s">
        <v>401</v>
      </c>
      <c r="C185" s="7">
        <v>4321138</v>
      </c>
      <c r="D185" s="9">
        <v>2</v>
      </c>
      <c r="E185" s="9">
        <v>81</v>
      </c>
      <c r="F185" s="10" t="s">
        <v>37</v>
      </c>
      <c r="G185" s="10" t="s">
        <v>54</v>
      </c>
      <c r="H185" s="11" t="s">
        <v>311</v>
      </c>
      <c r="I185" s="10">
        <v>2024</v>
      </c>
      <c r="J185" s="21">
        <v>45337</v>
      </c>
      <c r="K185" s="10" t="s">
        <v>62</v>
      </c>
      <c r="L185" s="10" t="s">
        <v>21</v>
      </c>
      <c r="M185" s="21">
        <v>45574</v>
      </c>
      <c r="N185" s="6" t="s">
        <v>402</v>
      </c>
      <c r="O185" s="10" t="s">
        <v>58</v>
      </c>
      <c r="P185" s="5" t="s">
        <v>152</v>
      </c>
      <c r="Q185" s="6" t="s">
        <v>24</v>
      </c>
      <c r="R185" s="6" t="s">
        <v>403</v>
      </c>
      <c r="S185" s="5" t="s">
        <v>276</v>
      </c>
      <c r="T185" s="5" t="s">
        <v>289</v>
      </c>
      <c r="U185" s="22">
        <v>45594</v>
      </c>
      <c r="V185" s="22">
        <v>45625</v>
      </c>
      <c r="W185" s="5">
        <f t="shared" ca="1" si="21"/>
        <v>-460</v>
      </c>
      <c r="X185" s="5" t="str">
        <f t="shared" ca="1" si="22"/>
        <v>Vencido</v>
      </c>
    </row>
    <row r="186" spans="1:25" customFormat="1" ht="50.1" customHeight="1">
      <c r="A186" s="5" t="s">
        <v>59</v>
      </c>
      <c r="B186" s="6" t="s">
        <v>404</v>
      </c>
      <c r="C186" s="7">
        <v>21543384</v>
      </c>
      <c r="D186" s="9">
        <v>6</v>
      </c>
      <c r="E186" s="9"/>
      <c r="F186" s="10" t="s">
        <v>18</v>
      </c>
      <c r="G186" s="10" t="s">
        <v>197</v>
      </c>
      <c r="H186" s="11" t="s">
        <v>311</v>
      </c>
      <c r="I186" s="10">
        <v>2024</v>
      </c>
      <c r="J186" s="21">
        <v>45461</v>
      </c>
      <c r="K186" s="10" t="s">
        <v>62</v>
      </c>
      <c r="L186" s="10" t="s">
        <v>52</v>
      </c>
      <c r="M186" s="10" t="s">
        <v>180</v>
      </c>
      <c r="N186" s="6" t="s">
        <v>176</v>
      </c>
      <c r="O186" s="10" t="s">
        <v>58</v>
      </c>
      <c r="P186" s="5" t="s">
        <v>152</v>
      </c>
      <c r="Q186" s="6" t="s">
        <v>24</v>
      </c>
      <c r="R186" s="105" t="s">
        <v>405</v>
      </c>
      <c r="S186" s="5" t="s">
        <v>276</v>
      </c>
      <c r="T186" s="5" t="s">
        <v>406</v>
      </c>
      <c r="U186" s="22">
        <v>45560</v>
      </c>
      <c r="V186" s="22">
        <v>45621</v>
      </c>
      <c r="W186" s="5">
        <f t="shared" ca="1" si="21"/>
        <v>-464</v>
      </c>
      <c r="X186" s="5" t="str">
        <f t="shared" ca="1" si="22"/>
        <v>Vencido</v>
      </c>
    </row>
    <row r="187" spans="1:25" customFormat="1" ht="50.1" customHeight="1">
      <c r="A187" s="5" t="s">
        <v>59</v>
      </c>
      <c r="B187" s="6" t="s">
        <v>407</v>
      </c>
      <c r="C187" s="7">
        <v>11379381</v>
      </c>
      <c r="D187" s="9">
        <v>3</v>
      </c>
      <c r="E187" s="9">
        <v>55</v>
      </c>
      <c r="F187" s="10" t="s">
        <v>18</v>
      </c>
      <c r="G187" s="10" t="s">
        <v>61</v>
      </c>
      <c r="H187" s="11" t="s">
        <v>311</v>
      </c>
      <c r="I187" s="10">
        <v>2024</v>
      </c>
      <c r="J187" s="21">
        <v>45476</v>
      </c>
      <c r="K187" s="10" t="s">
        <v>62</v>
      </c>
      <c r="L187" s="10" t="s">
        <v>241</v>
      </c>
      <c r="M187" s="22">
        <v>45491</v>
      </c>
      <c r="N187" s="19" t="s">
        <v>408</v>
      </c>
      <c r="O187" s="10" t="s">
        <v>58</v>
      </c>
      <c r="P187" s="5" t="s">
        <v>152</v>
      </c>
      <c r="Q187" s="6" t="s">
        <v>24</v>
      </c>
      <c r="R187" s="6" t="s">
        <v>409</v>
      </c>
      <c r="S187" s="5" t="s">
        <v>276</v>
      </c>
      <c r="T187" s="5" t="s">
        <v>289</v>
      </c>
      <c r="U187" s="22">
        <v>45525</v>
      </c>
      <c r="V187" s="22">
        <v>45586</v>
      </c>
      <c r="W187" s="5">
        <f t="shared" ca="1" si="21"/>
        <v>-499</v>
      </c>
      <c r="X187" s="5" t="str">
        <f t="shared" ca="1" si="22"/>
        <v>Vencido</v>
      </c>
    </row>
    <row r="188" spans="1:25" customFormat="1" ht="50.1" customHeight="1">
      <c r="A188" s="5" t="s">
        <v>59</v>
      </c>
      <c r="B188" s="6" t="s">
        <v>410</v>
      </c>
      <c r="C188" s="7">
        <v>4504451</v>
      </c>
      <c r="D188" s="9">
        <v>3</v>
      </c>
      <c r="E188" s="9">
        <v>76</v>
      </c>
      <c r="F188" s="10" t="s">
        <v>18</v>
      </c>
      <c r="G188" s="5" t="s">
        <v>82</v>
      </c>
      <c r="H188" s="11" t="s">
        <v>311</v>
      </c>
      <c r="I188" s="10" t="s">
        <v>174</v>
      </c>
      <c r="J188" s="10" t="s">
        <v>178</v>
      </c>
      <c r="K188" s="10" t="s">
        <v>62</v>
      </c>
      <c r="L188" s="10" t="s">
        <v>191</v>
      </c>
      <c r="M188" s="21">
        <v>45503</v>
      </c>
      <c r="N188" s="6" t="s">
        <v>411</v>
      </c>
      <c r="O188" s="10" t="s">
        <v>58</v>
      </c>
      <c r="P188" s="5" t="s">
        <v>27</v>
      </c>
      <c r="Q188" s="6" t="s">
        <v>24</v>
      </c>
      <c r="R188" s="6" t="s">
        <v>412</v>
      </c>
      <c r="S188" s="5" t="s">
        <v>284</v>
      </c>
      <c r="T188" s="5" t="s">
        <v>406</v>
      </c>
      <c r="U188" s="22">
        <v>45552</v>
      </c>
      <c r="V188" s="22">
        <v>45582</v>
      </c>
      <c r="W188" s="5">
        <f t="shared" ca="1" si="21"/>
        <v>-503</v>
      </c>
      <c r="X188" s="5" t="str">
        <f t="shared" ca="1" si="22"/>
        <v>Vencido</v>
      </c>
    </row>
    <row r="189" spans="1:25" customFormat="1" ht="50.1" customHeight="1">
      <c r="A189" s="5" t="s">
        <v>59</v>
      </c>
      <c r="B189" s="6" t="s">
        <v>413</v>
      </c>
      <c r="C189" s="7">
        <v>7717728</v>
      </c>
      <c r="D189" s="9">
        <v>0</v>
      </c>
      <c r="E189" s="9">
        <v>68</v>
      </c>
      <c r="F189" s="10" t="s">
        <v>18</v>
      </c>
      <c r="G189" s="10" t="s">
        <v>414</v>
      </c>
      <c r="H189" s="11" t="s">
        <v>311</v>
      </c>
      <c r="I189" s="10" t="s">
        <v>174</v>
      </c>
      <c r="J189" s="10" t="s">
        <v>178</v>
      </c>
      <c r="K189" s="10" t="s">
        <v>166</v>
      </c>
      <c r="L189" s="10" t="s">
        <v>241</v>
      </c>
      <c r="M189" s="22">
        <v>45504</v>
      </c>
      <c r="N189" s="19" t="s">
        <v>415</v>
      </c>
      <c r="O189" s="10" t="s">
        <v>34</v>
      </c>
      <c r="P189" s="5" t="s">
        <v>152</v>
      </c>
      <c r="Q189" s="6"/>
      <c r="R189" s="6" t="s">
        <v>416</v>
      </c>
      <c r="S189" s="5" t="s">
        <v>276</v>
      </c>
      <c r="T189" s="5" t="s">
        <v>277</v>
      </c>
      <c r="U189" s="22">
        <v>45513</v>
      </c>
      <c r="V189" s="22">
        <v>45574</v>
      </c>
      <c r="W189" s="5">
        <f t="shared" ca="1" si="21"/>
        <v>-511</v>
      </c>
      <c r="X189" s="5" t="str">
        <f t="shared" ca="1" si="22"/>
        <v>Vencido</v>
      </c>
    </row>
    <row r="190" spans="1:25" s="40" customFormat="1" ht="65.25" customHeight="1">
      <c r="A190" s="6" t="s">
        <v>184</v>
      </c>
      <c r="B190" s="6" t="s">
        <v>417</v>
      </c>
      <c r="C190" s="53">
        <v>14486813</v>
      </c>
      <c r="D190" s="54">
        <v>7</v>
      </c>
      <c r="E190" s="19" t="e">
        <f ca="1">DATEDIF(#REF!,TODAY(),"Y")</f>
        <v>#REF!</v>
      </c>
      <c r="F190" s="19" t="s">
        <v>18</v>
      </c>
      <c r="G190" s="6" t="s">
        <v>141</v>
      </c>
      <c r="H190" s="6" t="s">
        <v>315</v>
      </c>
      <c r="I190" s="19">
        <v>2024</v>
      </c>
      <c r="J190" s="73">
        <v>45474</v>
      </c>
      <c r="K190" s="19" t="s">
        <v>62</v>
      </c>
      <c r="L190" s="19" t="s">
        <v>241</v>
      </c>
      <c r="M190" s="73">
        <v>45481</v>
      </c>
      <c r="N190" s="6" t="s">
        <v>418</v>
      </c>
      <c r="O190" s="19" t="s">
        <v>34</v>
      </c>
      <c r="P190" s="6" t="s">
        <v>152</v>
      </c>
      <c r="Q190" s="6" t="s">
        <v>24</v>
      </c>
      <c r="R190" s="6" t="s">
        <v>419</v>
      </c>
      <c r="S190" s="6" t="s">
        <v>276</v>
      </c>
      <c r="T190" s="6" t="s">
        <v>277</v>
      </c>
      <c r="U190" s="75">
        <v>45498</v>
      </c>
      <c r="V190" s="75">
        <v>45560</v>
      </c>
      <c r="W190" s="13">
        <f t="shared" ca="1" si="21"/>
        <v>-525</v>
      </c>
      <c r="X190" s="6" t="str">
        <f t="shared" ca="1" si="22"/>
        <v>Vencido</v>
      </c>
      <c r="Y190" s="6"/>
    </row>
    <row r="191" spans="1:25" ht="65.25" customHeight="1">
      <c r="A191" s="6" t="s">
        <v>184</v>
      </c>
      <c r="B191" s="6" t="s">
        <v>420</v>
      </c>
      <c r="C191" s="53">
        <v>4063212</v>
      </c>
      <c r="D191" s="54">
        <v>3</v>
      </c>
      <c r="E191" s="19">
        <v>88</v>
      </c>
      <c r="F191" s="19" t="s">
        <v>26</v>
      </c>
      <c r="G191" s="6" t="s">
        <v>68</v>
      </c>
      <c r="H191" s="6" t="s">
        <v>315</v>
      </c>
      <c r="I191" s="19">
        <v>2024</v>
      </c>
      <c r="J191" s="73">
        <v>45477</v>
      </c>
      <c r="K191" s="19" t="s">
        <v>62</v>
      </c>
      <c r="L191" s="19" t="s">
        <v>269</v>
      </c>
      <c r="M191" s="73">
        <v>45621</v>
      </c>
      <c r="N191" s="6" t="s">
        <v>421</v>
      </c>
      <c r="O191" s="19" t="s">
        <v>58</v>
      </c>
      <c r="P191" s="6" t="s">
        <v>152</v>
      </c>
      <c r="Q191" s="6" t="s">
        <v>24</v>
      </c>
      <c r="R191" s="6" t="s">
        <v>422</v>
      </c>
      <c r="S191" s="6" t="s">
        <v>288</v>
      </c>
      <c r="T191" s="6" t="s">
        <v>277</v>
      </c>
      <c r="U191" s="75">
        <v>45624</v>
      </c>
      <c r="V191" s="75">
        <v>45716</v>
      </c>
      <c r="W191" s="13">
        <f t="shared" ca="1" si="21"/>
        <v>-369</v>
      </c>
      <c r="X191" s="6" t="str">
        <f t="shared" ca="1" si="22"/>
        <v>Vencido</v>
      </c>
      <c r="Y191" s="6"/>
    </row>
    <row r="192" spans="1:25" customFormat="1" ht="50.1" customHeight="1">
      <c r="A192" s="5" t="s">
        <v>59</v>
      </c>
      <c r="B192" s="6" t="s">
        <v>423</v>
      </c>
      <c r="C192" s="7">
        <v>7532882</v>
      </c>
      <c r="D192" s="8">
        <v>6</v>
      </c>
      <c r="E192" s="9">
        <v>77</v>
      </c>
      <c r="F192" s="10" t="s">
        <v>64</v>
      </c>
      <c r="G192" s="10" t="s">
        <v>253</v>
      </c>
      <c r="H192" s="11" t="s">
        <v>311</v>
      </c>
      <c r="I192" s="10" t="s">
        <v>174</v>
      </c>
      <c r="J192" s="10" t="s">
        <v>178</v>
      </c>
      <c r="K192" s="10" t="s">
        <v>62</v>
      </c>
      <c r="L192" s="10" t="s">
        <v>241</v>
      </c>
      <c r="M192" s="22">
        <v>45672</v>
      </c>
      <c r="N192" s="19" t="s">
        <v>424</v>
      </c>
      <c r="O192" s="10" t="s">
        <v>34</v>
      </c>
      <c r="P192" s="5" t="s">
        <v>152</v>
      </c>
      <c r="Q192" s="6" t="s">
        <v>24</v>
      </c>
      <c r="R192" s="6" t="s">
        <v>425</v>
      </c>
      <c r="S192" s="5" t="s">
        <v>284</v>
      </c>
      <c r="T192" s="5" t="s">
        <v>277</v>
      </c>
      <c r="U192" s="22">
        <v>45750</v>
      </c>
      <c r="V192" s="22">
        <v>45780</v>
      </c>
      <c r="W192" s="5">
        <f t="shared" ca="1" si="21"/>
        <v>-305</v>
      </c>
      <c r="X192" s="5" t="str">
        <f t="shared" ca="1" si="22"/>
        <v>Vencido</v>
      </c>
    </row>
    <row r="193" spans="1:25" ht="65.25" customHeight="1">
      <c r="A193" s="6" t="s">
        <v>184</v>
      </c>
      <c r="B193" s="6" t="s">
        <v>426</v>
      </c>
      <c r="C193" s="53">
        <v>4152295</v>
      </c>
      <c r="D193" s="18" t="s">
        <v>87</v>
      </c>
      <c r="E193" s="6">
        <v>84</v>
      </c>
      <c r="F193" s="19" t="s">
        <v>18</v>
      </c>
      <c r="G193" s="19" t="s">
        <v>141</v>
      </c>
      <c r="H193" s="19" t="s">
        <v>335</v>
      </c>
      <c r="I193" s="19">
        <v>2025</v>
      </c>
      <c r="J193" s="73">
        <v>45685</v>
      </c>
      <c r="K193" s="19" t="s">
        <v>62</v>
      </c>
      <c r="L193" s="19" t="s">
        <v>168</v>
      </c>
      <c r="M193" s="6" t="s">
        <v>180</v>
      </c>
      <c r="N193" s="19" t="s">
        <v>180</v>
      </c>
      <c r="O193" s="19" t="s">
        <v>23</v>
      </c>
      <c r="P193" s="6"/>
      <c r="Q193" s="6" t="s">
        <v>24</v>
      </c>
      <c r="R193" s="6" t="s">
        <v>427</v>
      </c>
      <c r="S193" s="6" t="s">
        <v>284</v>
      </c>
      <c r="T193" s="6" t="s">
        <v>428</v>
      </c>
      <c r="U193" s="75">
        <v>45705</v>
      </c>
      <c r="V193" s="75">
        <v>45733</v>
      </c>
      <c r="W193" s="13">
        <f t="shared" ca="1" si="21"/>
        <v>-352</v>
      </c>
      <c r="X193" s="6" t="str">
        <f t="shared" ca="1" si="22"/>
        <v>Vencido</v>
      </c>
    </row>
    <row r="194" spans="1:25" customFormat="1" ht="50.1" customHeight="1">
      <c r="A194" s="12" t="s">
        <v>59</v>
      </c>
      <c r="B194" s="6" t="s">
        <v>429</v>
      </c>
      <c r="C194" s="7">
        <v>4479178</v>
      </c>
      <c r="D194" s="8">
        <v>1</v>
      </c>
      <c r="E194" s="9">
        <v>85</v>
      </c>
      <c r="F194" s="17" t="s">
        <v>18</v>
      </c>
      <c r="G194" s="10" t="s">
        <v>206</v>
      </c>
      <c r="H194" s="11" t="s">
        <v>311</v>
      </c>
      <c r="I194" s="10">
        <v>2022</v>
      </c>
      <c r="J194" s="21">
        <v>44704</v>
      </c>
      <c r="K194" s="10" t="s">
        <v>20</v>
      </c>
      <c r="L194" s="10" t="s">
        <v>21</v>
      </c>
      <c r="M194" s="21">
        <v>44921</v>
      </c>
      <c r="N194" s="19" t="s">
        <v>430</v>
      </c>
      <c r="O194" s="10" t="s">
        <v>23</v>
      </c>
      <c r="P194" s="5" t="s">
        <v>27</v>
      </c>
      <c r="Q194" s="6" t="s">
        <v>431</v>
      </c>
      <c r="R194" s="13" t="s">
        <v>432</v>
      </c>
      <c r="S194" s="5" t="s">
        <v>433</v>
      </c>
      <c r="T194" s="5" t="s">
        <v>281</v>
      </c>
      <c r="U194" s="22">
        <v>45351</v>
      </c>
      <c r="V194" s="22">
        <v>45655</v>
      </c>
      <c r="W194" s="5">
        <f t="shared" ref="W194:W204" ca="1" si="23">V194-TODAY()</f>
        <v>-430</v>
      </c>
      <c r="X194" s="5" t="str">
        <f t="shared" ref="X194:X204" ca="1" si="24">IF(W194&gt;=20,"Vigente",IF(AND(W194&gt;=1,W194&lt;=20),"Por Vencer","Vencido"))</f>
        <v>Vencido</v>
      </c>
    </row>
    <row r="195" spans="1:25" ht="65.25" customHeight="1">
      <c r="A195" s="6" t="s">
        <v>184</v>
      </c>
      <c r="B195" s="6" t="s">
        <v>434</v>
      </c>
      <c r="C195" s="53">
        <v>12426330</v>
      </c>
      <c r="D195" s="54">
        <v>1</v>
      </c>
      <c r="E195" s="19" t="e">
        <f ca="1">DATEDIF(#REF!,TODAY(),"Y")</f>
        <v>#REF!</v>
      </c>
      <c r="F195" s="61" t="s">
        <v>18</v>
      </c>
      <c r="G195" s="6" t="s">
        <v>68</v>
      </c>
      <c r="H195" s="6" t="s">
        <v>315</v>
      </c>
      <c r="I195" s="19">
        <v>2024</v>
      </c>
      <c r="J195" s="73">
        <v>45391</v>
      </c>
      <c r="K195" s="19" t="s">
        <v>62</v>
      </c>
      <c r="L195" s="19" t="s">
        <v>269</v>
      </c>
      <c r="M195" s="73">
        <v>45537</v>
      </c>
      <c r="N195" s="6" t="s">
        <v>383</v>
      </c>
      <c r="O195" s="72" t="s">
        <v>58</v>
      </c>
      <c r="P195" s="6" t="s">
        <v>149</v>
      </c>
      <c r="Q195" s="6" t="s">
        <v>223</v>
      </c>
      <c r="R195" s="13" t="s">
        <v>435</v>
      </c>
      <c r="S195" s="6" t="s">
        <v>284</v>
      </c>
      <c r="T195" s="6" t="s">
        <v>277</v>
      </c>
      <c r="U195" s="75">
        <v>45639</v>
      </c>
      <c r="V195" s="75">
        <v>45701</v>
      </c>
      <c r="W195" s="13">
        <f t="shared" ca="1" si="23"/>
        <v>-384</v>
      </c>
      <c r="X195" s="6" t="str">
        <f t="shared" ca="1" si="24"/>
        <v>Vencido</v>
      </c>
      <c r="Y195" s="6"/>
    </row>
    <row r="196" spans="1:25" ht="65.25" customHeight="1">
      <c r="A196" s="6" t="s">
        <v>184</v>
      </c>
      <c r="B196" s="6" t="s">
        <v>436</v>
      </c>
      <c r="C196" s="53">
        <v>9566438</v>
      </c>
      <c r="D196" s="54">
        <v>5</v>
      </c>
      <c r="E196" s="19" t="e">
        <f ca="1">DATEDIF(#REF!,TODAY(),"Y")</f>
        <v>#REF!</v>
      </c>
      <c r="F196" s="19" t="s">
        <v>26</v>
      </c>
      <c r="G196" s="6" t="s">
        <v>19</v>
      </c>
      <c r="H196" s="6" t="s">
        <v>315</v>
      </c>
      <c r="I196" s="19">
        <v>2021</v>
      </c>
      <c r="J196" s="73">
        <v>44551</v>
      </c>
      <c r="K196" s="19" t="s">
        <v>62</v>
      </c>
      <c r="L196" s="19" t="s">
        <v>241</v>
      </c>
      <c r="M196" s="73">
        <v>45842</v>
      </c>
      <c r="N196" s="6" t="s">
        <v>312</v>
      </c>
      <c r="O196" s="72" t="s">
        <v>58</v>
      </c>
      <c r="P196" s="6" t="s">
        <v>152</v>
      </c>
      <c r="Q196" s="6" t="s">
        <v>24</v>
      </c>
      <c r="R196" s="13" t="s">
        <v>437</v>
      </c>
      <c r="S196" s="6" t="s">
        <v>288</v>
      </c>
      <c r="T196" s="6" t="s">
        <v>277</v>
      </c>
      <c r="U196" s="75" t="s">
        <v>438</v>
      </c>
      <c r="V196" s="75" t="s">
        <v>439</v>
      </c>
      <c r="W196" s="13">
        <f t="shared" ca="1" si="23"/>
        <v>-231</v>
      </c>
      <c r="X196" s="6" t="str">
        <f t="shared" ca="1" si="24"/>
        <v>Vencido</v>
      </c>
      <c r="Y196" s="6"/>
    </row>
    <row r="197" spans="1:25" ht="65.25" customHeight="1">
      <c r="A197" s="6" t="s">
        <v>184</v>
      </c>
      <c r="B197" s="6" t="s">
        <v>440</v>
      </c>
      <c r="C197" s="53">
        <v>6946889</v>
      </c>
      <c r="D197" s="54">
        <v>6</v>
      </c>
      <c r="E197" s="19" t="e">
        <f ca="1">DATEDIF(#REF!,TODAY(),"Y")</f>
        <v>#REF!</v>
      </c>
      <c r="F197" s="19" t="s">
        <v>18</v>
      </c>
      <c r="G197" s="6" t="s">
        <v>19</v>
      </c>
      <c r="H197" s="6" t="s">
        <v>315</v>
      </c>
      <c r="I197" s="19">
        <v>2022</v>
      </c>
      <c r="J197" s="73">
        <v>44748</v>
      </c>
      <c r="K197" s="19" t="s">
        <v>20</v>
      </c>
      <c r="L197" s="19" t="s">
        <v>32</v>
      </c>
      <c r="M197" s="73">
        <v>44893</v>
      </c>
      <c r="N197" s="6" t="s">
        <v>441</v>
      </c>
      <c r="O197" s="79" t="s">
        <v>34</v>
      </c>
      <c r="P197" s="6" t="s">
        <v>152</v>
      </c>
      <c r="Q197" s="6" t="s">
        <v>24</v>
      </c>
      <c r="R197" s="89" t="s">
        <v>442</v>
      </c>
      <c r="S197" s="6" t="s">
        <v>284</v>
      </c>
      <c r="T197" s="6" t="s">
        <v>289</v>
      </c>
      <c r="U197" s="75">
        <v>45567</v>
      </c>
      <c r="V197" s="75">
        <v>45598</v>
      </c>
      <c r="W197" s="13">
        <f t="shared" ca="1" si="23"/>
        <v>-487</v>
      </c>
      <c r="X197" s="6" t="str">
        <f t="shared" ca="1" si="24"/>
        <v>Vencido</v>
      </c>
      <c r="Y197" s="6"/>
    </row>
    <row r="198" spans="1:25" ht="65.25" customHeight="1">
      <c r="A198" s="13" t="s">
        <v>184</v>
      </c>
      <c r="B198" s="13" t="s">
        <v>443</v>
      </c>
      <c r="C198" s="51">
        <v>6514717</v>
      </c>
      <c r="D198" s="52">
        <v>3</v>
      </c>
      <c r="E198" s="27" t="e">
        <f ca="1">DATEDIF(#REF!,TODAY(),"Y")</f>
        <v>#REF!</v>
      </c>
      <c r="F198" s="27" t="s">
        <v>18</v>
      </c>
      <c r="G198" s="27" t="s">
        <v>19</v>
      </c>
      <c r="H198" s="13" t="s">
        <v>315</v>
      </c>
      <c r="I198" s="27">
        <v>2019</v>
      </c>
      <c r="J198" s="71">
        <v>43489</v>
      </c>
      <c r="K198" s="27" t="s">
        <v>20</v>
      </c>
      <c r="L198" s="27" t="s">
        <v>21</v>
      </c>
      <c r="M198" s="71">
        <v>43626</v>
      </c>
      <c r="N198" s="13" t="s">
        <v>444</v>
      </c>
      <c r="O198" s="72" t="s">
        <v>58</v>
      </c>
      <c r="P198" s="13" t="s">
        <v>27</v>
      </c>
      <c r="Q198" s="13" t="s">
        <v>431</v>
      </c>
      <c r="R198" s="13" t="s">
        <v>445</v>
      </c>
      <c r="S198" s="13" t="s">
        <v>433</v>
      </c>
      <c r="T198" s="13" t="s">
        <v>285</v>
      </c>
      <c r="U198" s="85">
        <v>45660</v>
      </c>
      <c r="V198" s="85">
        <v>45691</v>
      </c>
      <c r="W198" s="13">
        <f t="shared" ca="1" si="23"/>
        <v>-394</v>
      </c>
      <c r="X198" s="13" t="str">
        <f t="shared" ca="1" si="24"/>
        <v>Vencido</v>
      </c>
      <c r="Y198" s="13" t="s">
        <v>446</v>
      </c>
    </row>
    <row r="199" spans="1:25" ht="65.25" customHeight="1">
      <c r="A199" s="6" t="s">
        <v>59</v>
      </c>
      <c r="B199" s="6" t="s">
        <v>447</v>
      </c>
      <c r="C199" s="53">
        <v>6538873</v>
      </c>
      <c r="D199" s="54">
        <v>7</v>
      </c>
      <c r="E199" s="6">
        <v>78</v>
      </c>
      <c r="F199" s="61" t="s">
        <v>18</v>
      </c>
      <c r="G199" s="19" t="s">
        <v>448</v>
      </c>
      <c r="H199" s="19" t="s">
        <v>315</v>
      </c>
      <c r="I199" s="19" t="s">
        <v>174</v>
      </c>
      <c r="J199" s="19" t="s">
        <v>178</v>
      </c>
      <c r="K199" s="19" t="s">
        <v>62</v>
      </c>
      <c r="L199" s="19" t="s">
        <v>269</v>
      </c>
      <c r="M199" s="75">
        <v>45565</v>
      </c>
      <c r="N199" s="19" t="s">
        <v>201</v>
      </c>
      <c r="O199" s="72" t="s">
        <v>58</v>
      </c>
      <c r="P199" s="6" t="s">
        <v>152</v>
      </c>
      <c r="Q199" s="6" t="s">
        <v>24</v>
      </c>
      <c r="R199" s="89" t="s">
        <v>297</v>
      </c>
      <c r="S199" s="6" t="s">
        <v>276</v>
      </c>
      <c r="T199" s="6" t="s">
        <v>289</v>
      </c>
      <c r="U199" s="75">
        <v>45566</v>
      </c>
      <c r="V199" s="75">
        <v>45627</v>
      </c>
      <c r="W199" s="13">
        <f t="shared" ca="1" si="23"/>
        <v>-458</v>
      </c>
      <c r="X199" s="6" t="str">
        <f t="shared" ca="1" si="24"/>
        <v>Vencido</v>
      </c>
      <c r="Y199" s="6"/>
    </row>
    <row r="200" spans="1:25" ht="65.25" customHeight="1">
      <c r="A200" s="6" t="s">
        <v>184</v>
      </c>
      <c r="B200" s="6" t="s">
        <v>449</v>
      </c>
      <c r="C200" s="53">
        <v>5514543</v>
      </c>
      <c r="D200" s="54">
        <v>1</v>
      </c>
      <c r="E200" s="19" t="e">
        <f ca="1">DATEDIF(#REF!,TODAY(),"Y")</f>
        <v>#REF!</v>
      </c>
      <c r="F200" s="19" t="s">
        <v>18</v>
      </c>
      <c r="G200" s="6" t="s">
        <v>19</v>
      </c>
      <c r="H200" s="13" t="s">
        <v>315</v>
      </c>
      <c r="I200" s="19">
        <v>2023</v>
      </c>
      <c r="J200" s="73">
        <v>45054</v>
      </c>
      <c r="K200" s="19" t="s">
        <v>20</v>
      </c>
      <c r="L200" s="19" t="s">
        <v>21</v>
      </c>
      <c r="M200" s="73">
        <v>45271</v>
      </c>
      <c r="N200" s="6" t="s">
        <v>450</v>
      </c>
      <c r="O200" s="72" t="s">
        <v>58</v>
      </c>
      <c r="P200" s="6" t="s">
        <v>152</v>
      </c>
      <c r="Q200" s="6" t="s">
        <v>24</v>
      </c>
      <c r="R200" s="89" t="s">
        <v>383</v>
      </c>
      <c r="S200" s="6" t="s">
        <v>388</v>
      </c>
      <c r="T200" s="6" t="s">
        <v>406</v>
      </c>
      <c r="U200" s="75">
        <v>45568</v>
      </c>
      <c r="V200" s="75">
        <v>45660</v>
      </c>
      <c r="W200" s="13">
        <f t="shared" ca="1" si="23"/>
        <v>-425</v>
      </c>
      <c r="X200" s="6" t="str">
        <f t="shared" ca="1" si="24"/>
        <v>Vencido</v>
      </c>
      <c r="Y200" s="6"/>
    </row>
    <row r="201" spans="1:25" ht="65.25" customHeight="1">
      <c r="A201" s="60" t="s">
        <v>184</v>
      </c>
      <c r="B201" s="60" t="s">
        <v>451</v>
      </c>
      <c r="C201" s="65">
        <v>9339678</v>
      </c>
      <c r="D201" s="66">
        <v>2</v>
      </c>
      <c r="E201" s="60">
        <v>63</v>
      </c>
      <c r="F201" s="67" t="s">
        <v>18</v>
      </c>
      <c r="G201" s="67" t="s">
        <v>68</v>
      </c>
      <c r="H201" s="13" t="s">
        <v>315</v>
      </c>
      <c r="I201" s="67">
        <v>2024</v>
      </c>
      <c r="J201" s="82">
        <v>45315</v>
      </c>
      <c r="K201" s="67" t="s">
        <v>62</v>
      </c>
      <c r="L201" s="67" t="s">
        <v>452</v>
      </c>
      <c r="M201" s="91">
        <v>45500</v>
      </c>
      <c r="N201" s="67" t="s">
        <v>453</v>
      </c>
      <c r="O201" s="79" t="s">
        <v>34</v>
      </c>
      <c r="P201" s="60" t="s">
        <v>152</v>
      </c>
      <c r="Q201" s="60" t="s">
        <v>24</v>
      </c>
      <c r="R201" s="60" t="s">
        <v>454</v>
      </c>
      <c r="S201" s="60" t="s">
        <v>276</v>
      </c>
      <c r="T201" s="60" t="s">
        <v>277</v>
      </c>
      <c r="U201" s="91">
        <v>45498</v>
      </c>
      <c r="V201" s="91">
        <v>45560</v>
      </c>
      <c r="W201" s="13">
        <f t="shared" ca="1" si="23"/>
        <v>-525</v>
      </c>
      <c r="X201" s="60" t="str">
        <f t="shared" ca="1" si="24"/>
        <v>Vencido</v>
      </c>
      <c r="Y201" s="60" t="s">
        <v>307</v>
      </c>
    </row>
    <row r="202" spans="1:25" customFormat="1" ht="50.1" customHeight="1">
      <c r="A202" s="5" t="s">
        <v>184</v>
      </c>
      <c r="B202" s="6" t="s">
        <v>455</v>
      </c>
      <c r="C202" s="7">
        <v>8206640</v>
      </c>
      <c r="D202" s="9">
        <v>3</v>
      </c>
      <c r="E202" s="9">
        <v>67</v>
      </c>
      <c r="F202" s="10" t="s">
        <v>18</v>
      </c>
      <c r="G202" s="10" t="s">
        <v>54</v>
      </c>
      <c r="H202" s="11" t="s">
        <v>311</v>
      </c>
      <c r="I202" s="10">
        <v>2019</v>
      </c>
      <c r="J202" s="21">
        <v>43607</v>
      </c>
      <c r="K202" s="10" t="s">
        <v>20</v>
      </c>
      <c r="L202" s="10" t="s">
        <v>32</v>
      </c>
      <c r="M202" s="21">
        <v>43700</v>
      </c>
      <c r="N202" s="19" t="s">
        <v>291</v>
      </c>
      <c r="O202" s="10" t="s">
        <v>23</v>
      </c>
      <c r="P202" s="5" t="s">
        <v>27</v>
      </c>
      <c r="Q202" s="6" t="s">
        <v>431</v>
      </c>
      <c r="R202" s="33" t="s">
        <v>456</v>
      </c>
      <c r="S202" s="5" t="s">
        <v>388</v>
      </c>
      <c r="T202" s="5" t="s">
        <v>281</v>
      </c>
      <c r="U202" s="22">
        <v>45682</v>
      </c>
      <c r="V202" s="22">
        <v>45802</v>
      </c>
      <c r="W202" s="5">
        <f t="shared" ca="1" si="23"/>
        <v>-283</v>
      </c>
      <c r="X202" s="5" t="str">
        <f t="shared" ca="1" si="24"/>
        <v>Vencido</v>
      </c>
    </row>
    <row r="203" spans="1:25" ht="65.25" customHeight="1">
      <c r="A203" s="60" t="s">
        <v>184</v>
      </c>
      <c r="B203" s="60" t="s">
        <v>457</v>
      </c>
      <c r="C203" s="163">
        <v>5684192</v>
      </c>
      <c r="D203" s="164" t="s">
        <v>129</v>
      </c>
      <c r="E203" s="67" t="e">
        <f ca="1">DATEDIF(#REF!,TODAY(),"Y")</f>
        <v>#REF!</v>
      </c>
      <c r="F203" s="67" t="s">
        <v>18</v>
      </c>
      <c r="G203" s="67" t="s">
        <v>68</v>
      </c>
      <c r="H203" s="6" t="s">
        <v>315</v>
      </c>
      <c r="I203" s="67">
        <v>2022</v>
      </c>
      <c r="J203" s="82">
        <v>44701</v>
      </c>
      <c r="K203" s="67" t="s">
        <v>20</v>
      </c>
      <c r="L203" s="67" t="s">
        <v>32</v>
      </c>
      <c r="M203" s="82">
        <v>45162</v>
      </c>
      <c r="N203" s="60"/>
      <c r="O203" s="79" t="s">
        <v>34</v>
      </c>
      <c r="P203" s="60" t="s">
        <v>152</v>
      </c>
      <c r="Q203" s="60" t="s">
        <v>24</v>
      </c>
      <c r="R203" s="165" t="s">
        <v>458</v>
      </c>
      <c r="S203" s="60"/>
      <c r="T203" s="60"/>
      <c r="U203" s="60"/>
      <c r="V203" s="91"/>
      <c r="W203" s="13">
        <f t="shared" ca="1" si="23"/>
        <v>-46085</v>
      </c>
      <c r="X203" s="60" t="str">
        <f t="shared" ca="1" si="24"/>
        <v>Vencido</v>
      </c>
      <c r="Y203" s="60" t="s">
        <v>307</v>
      </c>
    </row>
    <row r="204" spans="1:25" ht="65.25" customHeight="1">
      <c r="A204" s="6" t="s">
        <v>184</v>
      </c>
      <c r="B204" s="6" t="s">
        <v>459</v>
      </c>
      <c r="C204" s="53">
        <v>8745495</v>
      </c>
      <c r="D204" s="54">
        <v>9</v>
      </c>
      <c r="E204" s="6">
        <v>62</v>
      </c>
      <c r="F204" s="19" t="s">
        <v>324</v>
      </c>
      <c r="G204" s="19" t="s">
        <v>68</v>
      </c>
      <c r="H204" s="6" t="s">
        <v>315</v>
      </c>
      <c r="I204" s="19">
        <v>2024</v>
      </c>
      <c r="J204" s="73">
        <v>45306</v>
      </c>
      <c r="K204" s="19" t="s">
        <v>62</v>
      </c>
      <c r="L204" s="19" t="s">
        <v>21</v>
      </c>
      <c r="M204" s="75">
        <v>45621</v>
      </c>
      <c r="N204" s="6" t="s">
        <v>450</v>
      </c>
      <c r="O204" s="72" t="s">
        <v>58</v>
      </c>
      <c r="P204" s="6" t="s">
        <v>27</v>
      </c>
      <c r="Q204" s="6" t="s">
        <v>24</v>
      </c>
      <c r="R204" s="13" t="s">
        <v>460</v>
      </c>
      <c r="S204" s="6" t="s">
        <v>284</v>
      </c>
      <c r="T204" s="6" t="s">
        <v>285</v>
      </c>
      <c r="U204" s="75">
        <v>45622</v>
      </c>
      <c r="V204" s="75">
        <v>45652</v>
      </c>
      <c r="W204" s="13">
        <f t="shared" ca="1" si="23"/>
        <v>-433</v>
      </c>
      <c r="X204" s="6" t="str">
        <f t="shared" ca="1" si="24"/>
        <v>Vencido</v>
      </c>
      <c r="Y204" s="6" t="s">
        <v>461</v>
      </c>
    </row>
    <row r="205" spans="1:25" ht="65.25" customHeight="1">
      <c r="A205" s="6" t="s">
        <v>184</v>
      </c>
      <c r="B205" s="6" t="s">
        <v>462</v>
      </c>
      <c r="C205" s="53">
        <v>16110517</v>
      </c>
      <c r="D205" s="54">
        <v>1</v>
      </c>
      <c r="E205" s="19" t="e">
        <f ca="1">DATEDIF(#REF!,TODAY(),"Y")</f>
        <v>#REF!</v>
      </c>
      <c r="F205" s="19" t="s">
        <v>18</v>
      </c>
      <c r="G205" s="6" t="s">
        <v>68</v>
      </c>
      <c r="H205" s="6" t="s">
        <v>315</v>
      </c>
      <c r="I205" s="19">
        <v>2022</v>
      </c>
      <c r="J205" s="73">
        <v>44623</v>
      </c>
      <c r="K205" s="19" t="s">
        <v>20</v>
      </c>
      <c r="L205" s="19" t="s">
        <v>32</v>
      </c>
      <c r="M205" s="73">
        <v>45716</v>
      </c>
      <c r="N205" s="6" t="s">
        <v>463</v>
      </c>
      <c r="O205" s="74" t="s">
        <v>169</v>
      </c>
      <c r="P205" s="6" t="s">
        <v>152</v>
      </c>
      <c r="Q205" s="6" t="s">
        <v>464</v>
      </c>
      <c r="R205" s="13" t="s">
        <v>465</v>
      </c>
      <c r="S205" s="6" t="s">
        <v>284</v>
      </c>
      <c r="T205" s="6" t="s">
        <v>289</v>
      </c>
      <c r="U205" s="75">
        <v>45855</v>
      </c>
      <c r="V205" s="75">
        <v>45886</v>
      </c>
      <c r="W205" s="13">
        <f ca="1">V205-TODAY()</f>
        <v>-199</v>
      </c>
      <c r="X205" s="6" t="str">
        <f ca="1">IF(W205&gt;=20,"Vigente",IF(AND(W205&gt;=1,W205&lt;=20),"Por Vencer","Vencido"))</f>
        <v>Vencido</v>
      </c>
      <c r="Y205" s="6"/>
    </row>
    <row r="206" spans="1:25" ht="65.25" customHeight="1">
      <c r="A206" s="6" t="s">
        <v>184</v>
      </c>
      <c r="B206" s="6" t="s">
        <v>466</v>
      </c>
      <c r="C206" s="53">
        <v>3903618</v>
      </c>
      <c r="D206" s="18">
        <v>5</v>
      </c>
      <c r="E206" s="6">
        <v>87</v>
      </c>
      <c r="F206" s="19" t="s">
        <v>18</v>
      </c>
      <c r="G206" s="19" t="s">
        <v>19</v>
      </c>
      <c r="H206" s="11" t="s">
        <v>315</v>
      </c>
      <c r="I206" s="19">
        <v>2025</v>
      </c>
      <c r="J206" s="73">
        <v>45845</v>
      </c>
      <c r="K206" s="19" t="s">
        <v>166</v>
      </c>
      <c r="L206" s="19" t="s">
        <v>467</v>
      </c>
      <c r="M206" s="6"/>
      <c r="N206" s="19"/>
      <c r="O206" s="72" t="s">
        <v>58</v>
      </c>
      <c r="P206" s="6"/>
      <c r="Q206" s="6" t="s">
        <v>24</v>
      </c>
      <c r="R206" s="6" t="s">
        <v>468</v>
      </c>
      <c r="S206" s="6" t="s">
        <v>284</v>
      </c>
      <c r="T206" s="6" t="s">
        <v>428</v>
      </c>
      <c r="U206" s="75">
        <v>45853</v>
      </c>
      <c r="V206" s="75">
        <v>45884</v>
      </c>
      <c r="W206" s="13">
        <f ca="1">V206-TODAY()</f>
        <v>-201</v>
      </c>
      <c r="X206" s="5" t="str">
        <f ca="1">IF(W206&gt;=20,"Vigente",IF(AND(W206&gt;=1,W206&lt;=20),"Por Vencer","Vencido"))</f>
        <v>Vencido</v>
      </c>
    </row>
    <row r="207" spans="1:25" ht="65.25" customHeight="1">
      <c r="A207" s="6" t="s">
        <v>59</v>
      </c>
      <c r="B207" s="6" t="s">
        <v>469</v>
      </c>
      <c r="C207" s="53">
        <v>5695508</v>
      </c>
      <c r="D207" s="18">
        <v>9</v>
      </c>
      <c r="E207" s="6">
        <v>85</v>
      </c>
      <c r="F207" s="19" t="s">
        <v>470</v>
      </c>
      <c r="G207" s="19" t="s">
        <v>107</v>
      </c>
      <c r="H207" s="11" t="s">
        <v>315</v>
      </c>
      <c r="I207" s="19">
        <v>2025</v>
      </c>
      <c r="J207" s="73">
        <v>45832</v>
      </c>
      <c r="K207" s="19" t="s">
        <v>62</v>
      </c>
      <c r="L207" s="19" t="s">
        <v>241</v>
      </c>
      <c r="M207" s="75">
        <v>45838</v>
      </c>
      <c r="N207" s="19" t="s">
        <v>471</v>
      </c>
      <c r="O207" s="72" t="s">
        <v>58</v>
      </c>
      <c r="P207" s="6" t="s">
        <v>152</v>
      </c>
      <c r="Q207" s="6" t="s">
        <v>464</v>
      </c>
      <c r="R207" s="6" t="s">
        <v>472</v>
      </c>
      <c r="S207" s="6" t="s">
        <v>284</v>
      </c>
      <c r="T207" s="6" t="s">
        <v>473</v>
      </c>
      <c r="U207" s="75">
        <v>45838</v>
      </c>
      <c r="V207" s="75">
        <v>45868</v>
      </c>
      <c r="W207" s="13">
        <f ca="1">V207-TODAY()</f>
        <v>-217</v>
      </c>
      <c r="X207" s="5" t="str">
        <f ca="1">IF(W207&gt;=20,"Vigente",IF(AND(W207&gt;=1,W207&lt;=20),"Por Vencer","Vencido"))</f>
        <v>Vencido</v>
      </c>
    </row>
    <row r="208" spans="1:25" customFormat="1" ht="50.1" customHeight="1">
      <c r="A208" s="6" t="s">
        <v>59</v>
      </c>
      <c r="B208" s="26" t="s">
        <v>474</v>
      </c>
      <c r="C208" s="24">
        <v>8909067</v>
      </c>
      <c r="D208" s="24">
        <v>9</v>
      </c>
      <c r="E208" s="35">
        <v>66</v>
      </c>
      <c r="F208" s="24" t="s">
        <v>18</v>
      </c>
      <c r="G208" s="24" t="s">
        <v>193</v>
      </c>
      <c r="H208" s="11" t="s">
        <v>311</v>
      </c>
      <c r="I208" s="24" t="s">
        <v>174</v>
      </c>
      <c r="J208" s="24" t="s">
        <v>475</v>
      </c>
      <c r="K208" s="24" t="s">
        <v>62</v>
      </c>
      <c r="L208" s="24" t="s">
        <v>269</v>
      </c>
      <c r="M208" s="25">
        <v>45847</v>
      </c>
      <c r="N208" s="26" t="s">
        <v>476</v>
      </c>
      <c r="O208" s="10" t="s">
        <v>58</v>
      </c>
      <c r="P208" s="24" t="s">
        <v>152</v>
      </c>
      <c r="Q208" s="26" t="s">
        <v>464</v>
      </c>
      <c r="R208" s="26" t="s">
        <v>477</v>
      </c>
      <c r="S208" s="24" t="s">
        <v>288</v>
      </c>
      <c r="T208" s="24" t="s">
        <v>289</v>
      </c>
      <c r="U208" s="25">
        <v>45847</v>
      </c>
      <c r="V208" s="25">
        <v>45939</v>
      </c>
      <c r="W208" s="5">
        <f ca="1">V208-TODAY()</f>
        <v>-146</v>
      </c>
      <c r="X208" s="5" t="str">
        <f ca="1">IF(W208&gt;=20,"Vigente",IF(AND(W208&gt;=1,W208&lt;=20),"Por Vencer","Vencido"))</f>
        <v>Vencido</v>
      </c>
    </row>
    <row r="209" spans="1:25" ht="65.25" customHeight="1">
      <c r="A209" s="6" t="s">
        <v>184</v>
      </c>
      <c r="B209" s="6" t="s">
        <v>478</v>
      </c>
      <c r="C209" s="53">
        <v>7284666</v>
      </c>
      <c r="D209" s="54">
        <v>4</v>
      </c>
      <c r="E209" s="19" t="e">
        <f ca="1">DATEDIF(#REF!,TODAY(),"Y")</f>
        <v>#REF!</v>
      </c>
      <c r="F209" s="19" t="s">
        <v>64</v>
      </c>
      <c r="G209" s="6" t="s">
        <v>19</v>
      </c>
      <c r="H209" s="6" t="s">
        <v>315</v>
      </c>
      <c r="I209" s="19">
        <v>2023</v>
      </c>
      <c r="J209" s="73">
        <v>45278</v>
      </c>
      <c r="K209" s="19" t="s">
        <v>49</v>
      </c>
      <c r="L209" s="19" t="s">
        <v>52</v>
      </c>
      <c r="M209" s="73">
        <v>45334</v>
      </c>
      <c r="N209" s="6" t="s">
        <v>479</v>
      </c>
      <c r="O209" s="72" t="s">
        <v>58</v>
      </c>
      <c r="P209" s="6" t="s">
        <v>27</v>
      </c>
      <c r="Q209" s="6" t="s">
        <v>480</v>
      </c>
      <c r="R209" s="6" t="s">
        <v>481</v>
      </c>
      <c r="S209" s="6" t="s">
        <v>284</v>
      </c>
      <c r="T209" s="6" t="s">
        <v>482</v>
      </c>
      <c r="U209" s="75">
        <v>45512</v>
      </c>
      <c r="V209" s="75">
        <v>45543</v>
      </c>
      <c r="W209" s="13">
        <f t="shared" ref="W209" ca="1" si="25">V209-TODAY()</f>
        <v>-542</v>
      </c>
      <c r="X209" s="6" t="str">
        <f t="shared" ref="X209" ca="1" si="26">IF(W209&gt;=20,"Vigente",IF(AND(W209&gt;=1,W209&lt;=20),"Por Vencer","Vencido"))</f>
        <v>Vencido</v>
      </c>
      <c r="Y209" s="6" t="s">
        <v>483</v>
      </c>
    </row>
    <row r="210" spans="1:25" ht="65.25" customHeight="1">
      <c r="A210" s="6" t="s">
        <v>184</v>
      </c>
      <c r="B210" s="111" t="s">
        <v>484</v>
      </c>
      <c r="C210" s="112">
        <v>3399535</v>
      </c>
      <c r="D210" s="18">
        <v>0</v>
      </c>
      <c r="E210" s="6">
        <v>90</v>
      </c>
      <c r="F210" s="19" t="s">
        <v>18</v>
      </c>
      <c r="G210" s="19" t="s">
        <v>485</v>
      </c>
      <c r="H210" s="6" t="s">
        <v>315</v>
      </c>
      <c r="I210" s="19" t="s">
        <v>174</v>
      </c>
      <c r="J210" s="19" t="s">
        <v>178</v>
      </c>
      <c r="K210" s="19" t="s">
        <v>62</v>
      </c>
      <c r="L210" s="19" t="s">
        <v>269</v>
      </c>
      <c r="M210" s="6" t="s">
        <v>180</v>
      </c>
      <c r="N210" s="19" t="s">
        <v>180</v>
      </c>
      <c r="O210" s="72" t="s">
        <v>58</v>
      </c>
      <c r="P210" s="6" t="s">
        <v>152</v>
      </c>
      <c r="Q210" s="6" t="s">
        <v>24</v>
      </c>
      <c r="R210" s="120" t="s">
        <v>486</v>
      </c>
      <c r="S210" s="6" t="s">
        <v>284</v>
      </c>
      <c r="T210" s="6" t="s">
        <v>277</v>
      </c>
      <c r="U210" s="75">
        <v>45581</v>
      </c>
      <c r="V210" s="75">
        <v>45673</v>
      </c>
      <c r="W210" s="13">
        <f ca="1">V210-TODAY()</f>
        <v>-412</v>
      </c>
      <c r="X210" s="6" t="str">
        <f ca="1">IF(W210&gt;=20,"Vigente",IF(AND(W210&gt;=1,W210&lt;=20),"Por Vencer","Vencido"))</f>
        <v>Vencido</v>
      </c>
      <c r="Y210" s="6"/>
    </row>
    <row r="211" spans="1:25" s="40" customFormat="1" ht="65.25" customHeight="1">
      <c r="A211" s="6" t="s">
        <v>184</v>
      </c>
      <c r="B211" s="6" t="s">
        <v>487</v>
      </c>
      <c r="C211" s="53">
        <v>4387839</v>
      </c>
      <c r="D211" s="18">
        <v>5</v>
      </c>
      <c r="E211" s="6">
        <v>85</v>
      </c>
      <c r="F211" s="19" t="s">
        <v>470</v>
      </c>
      <c r="G211" s="19" t="s">
        <v>141</v>
      </c>
      <c r="H211" s="19" t="s">
        <v>335</v>
      </c>
      <c r="I211" s="19">
        <v>2025</v>
      </c>
      <c r="J211" s="73">
        <v>45681</v>
      </c>
      <c r="K211" s="19" t="s">
        <v>62</v>
      </c>
      <c r="L211" s="19" t="s">
        <v>168</v>
      </c>
      <c r="M211" s="75">
        <v>45698</v>
      </c>
      <c r="N211" s="19" t="s">
        <v>488</v>
      </c>
      <c r="O211" s="72" t="s">
        <v>58</v>
      </c>
      <c r="P211" s="6" t="s">
        <v>152</v>
      </c>
      <c r="Q211" s="6" t="s">
        <v>24</v>
      </c>
      <c r="R211" s="6" t="s">
        <v>489</v>
      </c>
      <c r="S211" s="6" t="s">
        <v>288</v>
      </c>
      <c r="T211" s="6" t="s">
        <v>289</v>
      </c>
      <c r="U211" s="75" t="s">
        <v>438</v>
      </c>
      <c r="V211" s="75" t="s">
        <v>490</v>
      </c>
      <c r="W211" s="13">
        <f ca="1">V211-TODAY()</f>
        <v>-232</v>
      </c>
      <c r="X211" s="6" t="str">
        <f ca="1">IF(W211&gt;=20,"Vigente",IF(AND(W211&gt;=1,W211&lt;=20),"Por Vencer","Vencido"))</f>
        <v>Vencido</v>
      </c>
      <c r="Y211" s="6"/>
    </row>
    <row r="212" spans="1:25" ht="65.25" customHeight="1">
      <c r="A212" s="6" t="s">
        <v>184</v>
      </c>
      <c r="B212" s="6" t="s">
        <v>491</v>
      </c>
      <c r="C212" s="53">
        <v>4493099</v>
      </c>
      <c r="D212" s="18">
        <v>4</v>
      </c>
      <c r="E212" s="19" t="e">
        <f ca="1">DATEDIF(#REF!,TODAY(),"Y")</f>
        <v>#REF!</v>
      </c>
      <c r="F212" s="19" t="s">
        <v>64</v>
      </c>
      <c r="G212" s="6" t="s">
        <v>19</v>
      </c>
      <c r="H212" s="6" t="s">
        <v>335</v>
      </c>
      <c r="I212" s="19">
        <v>2024</v>
      </c>
      <c r="J212" s="73">
        <v>45334</v>
      </c>
      <c r="K212" s="19" t="s">
        <v>62</v>
      </c>
      <c r="L212" s="19" t="s">
        <v>21</v>
      </c>
      <c r="M212" s="73">
        <v>45635</v>
      </c>
      <c r="N212" s="6" t="s">
        <v>312</v>
      </c>
      <c r="O212" s="72" t="s">
        <v>58</v>
      </c>
      <c r="P212" s="6" t="s">
        <v>149</v>
      </c>
      <c r="Q212" s="6" t="s">
        <v>24</v>
      </c>
      <c r="R212" s="6" t="s">
        <v>312</v>
      </c>
      <c r="S212" s="6" t="s">
        <v>288</v>
      </c>
      <c r="T212" s="75" t="s">
        <v>289</v>
      </c>
      <c r="U212" s="75">
        <v>45737</v>
      </c>
      <c r="V212" s="75">
        <v>45829</v>
      </c>
      <c r="W212" s="13">
        <f ca="1">V212-TODAY()</f>
        <v>-256</v>
      </c>
      <c r="X212" s="6" t="str">
        <f ca="1">IF(W212&gt;=20,"Vigente",IF(AND(W212&gt;=1,W212&lt;=20),"Por Vencer","Vencido"))</f>
        <v>Vencido</v>
      </c>
      <c r="Y212" s="6"/>
    </row>
    <row r="213" spans="1:25" ht="65.25" customHeight="1">
      <c r="A213" s="6" t="s">
        <v>184</v>
      </c>
      <c r="B213" s="6" t="s">
        <v>492</v>
      </c>
      <c r="C213" s="53">
        <v>6262402</v>
      </c>
      <c r="D213" s="18">
        <v>7</v>
      </c>
      <c r="E213" s="6">
        <v>70</v>
      </c>
      <c r="F213" s="19"/>
      <c r="G213" s="19" t="s">
        <v>141</v>
      </c>
      <c r="H213" s="19" t="s">
        <v>315</v>
      </c>
      <c r="I213" s="19"/>
      <c r="J213" s="19"/>
      <c r="K213" s="19"/>
      <c r="L213" s="19"/>
      <c r="M213" s="6"/>
      <c r="N213" s="19"/>
      <c r="O213" s="72" t="s">
        <v>58</v>
      </c>
      <c r="P213" s="6"/>
      <c r="Q213" s="184" t="s">
        <v>464</v>
      </c>
      <c r="R213" s="6" t="s">
        <v>493</v>
      </c>
      <c r="S213" s="6" t="s">
        <v>284</v>
      </c>
      <c r="T213" s="6" t="s">
        <v>285</v>
      </c>
      <c r="U213" s="75">
        <v>45671</v>
      </c>
      <c r="V213" s="75">
        <v>45684</v>
      </c>
      <c r="W213" s="13">
        <f ca="1">V213-TODAY()</f>
        <v>-401</v>
      </c>
      <c r="X213" s="6" t="str">
        <f ca="1">IF(W213&gt;=20,"Vigente",IF(AND(W213&gt;=1,W213&lt;=20),"Por Vencer","Vencido"))</f>
        <v>Vencido</v>
      </c>
      <c r="Y213" s="6"/>
    </row>
    <row r="214" spans="1:25" s="177" customFormat="1" ht="65.25" customHeight="1">
      <c r="A214" s="171" t="s">
        <v>184</v>
      </c>
      <c r="B214" s="171" t="s">
        <v>494</v>
      </c>
      <c r="C214" s="172">
        <v>5842435</v>
      </c>
      <c r="D214" s="173">
        <v>8</v>
      </c>
      <c r="E214" s="174" t="e">
        <f ca="1">DATEDIF(#REF!,TODAY(),"Y")</f>
        <v>#REF!</v>
      </c>
      <c r="F214" s="174" t="s">
        <v>18</v>
      </c>
      <c r="G214" s="171" t="s">
        <v>19</v>
      </c>
      <c r="H214" s="171" t="s">
        <v>335</v>
      </c>
      <c r="I214" s="174">
        <v>2016</v>
      </c>
      <c r="J214" s="175">
        <v>46371</v>
      </c>
      <c r="K214" s="174" t="s">
        <v>62</v>
      </c>
      <c r="L214" s="174" t="s">
        <v>32</v>
      </c>
      <c r="M214" s="175">
        <v>45994</v>
      </c>
      <c r="N214" s="171" t="s">
        <v>495</v>
      </c>
      <c r="O214" s="174" t="s">
        <v>34</v>
      </c>
      <c r="P214" s="171" t="s">
        <v>152</v>
      </c>
      <c r="Q214" s="171"/>
      <c r="R214" s="171" t="s">
        <v>496</v>
      </c>
      <c r="S214" s="171" t="s">
        <v>276</v>
      </c>
      <c r="T214" s="171" t="s">
        <v>289</v>
      </c>
      <c r="U214" s="176">
        <v>45736</v>
      </c>
      <c r="V214" s="176">
        <v>45797</v>
      </c>
      <c r="W214" s="171">
        <f t="shared" ref="W214" ca="1" si="27">V214-TODAY()</f>
        <v>-288</v>
      </c>
      <c r="X214" s="171" t="str">
        <f t="shared" ref="X214" ca="1" si="28">IF(W214&gt;=20,"Vigente",IF(AND(W214&gt;=1,W214&lt;=20),"Por Vencer","Vencido"))</f>
        <v>Vencido</v>
      </c>
      <c r="Y214" s="171"/>
    </row>
    <row r="215" spans="1:25" ht="65.25" customHeight="1">
      <c r="A215" s="122" t="s">
        <v>184</v>
      </c>
      <c r="B215" s="122" t="s">
        <v>497</v>
      </c>
      <c r="C215" s="123">
        <v>26352249</v>
      </c>
      <c r="D215" s="124">
        <v>4</v>
      </c>
      <c r="E215" s="125" t="e">
        <f ca="1">DATEDIF(#REF!,TODAY(),"Y")</f>
        <v>#REF!</v>
      </c>
      <c r="F215" s="125" t="s">
        <v>18</v>
      </c>
      <c r="G215" s="125" t="s">
        <v>68</v>
      </c>
      <c r="H215" s="122" t="s">
        <v>335</v>
      </c>
      <c r="I215" s="125">
        <v>2020</v>
      </c>
      <c r="J215" s="127">
        <v>44076</v>
      </c>
      <c r="K215" s="125" t="s">
        <v>20</v>
      </c>
      <c r="L215" s="125" t="s">
        <v>191</v>
      </c>
      <c r="M215" s="127">
        <v>44025</v>
      </c>
      <c r="N215" s="122"/>
      <c r="O215" s="72" t="s">
        <v>58</v>
      </c>
      <c r="P215" s="122" t="s">
        <v>27</v>
      </c>
      <c r="Q215" s="122" t="s">
        <v>498</v>
      </c>
      <c r="R215" s="122" t="s">
        <v>499</v>
      </c>
      <c r="S215" s="122"/>
      <c r="T215" s="122"/>
      <c r="U215" s="122"/>
      <c r="V215" s="128"/>
      <c r="W215" s="13">
        <f t="shared" ref="W215:W220" ca="1" si="29">V215-TODAY()</f>
        <v>-46085</v>
      </c>
      <c r="X215" s="122" t="str">
        <f t="shared" ref="X215:X220" ca="1" si="30">IF(W215&gt;=20,"Vigente",IF(AND(W215&gt;=1,W215&lt;=20),"Por Vencer","Vencido"))</f>
        <v>Vencido</v>
      </c>
      <c r="Y215" s="122" t="s">
        <v>500</v>
      </c>
    </row>
    <row r="216" spans="1:25" ht="65.25" customHeight="1">
      <c r="A216" s="6" t="s">
        <v>184</v>
      </c>
      <c r="B216" s="6" t="s">
        <v>501</v>
      </c>
      <c r="C216" s="53">
        <v>3339543</v>
      </c>
      <c r="D216" s="18">
        <v>4</v>
      </c>
      <c r="E216" s="6">
        <v>94</v>
      </c>
      <c r="F216" s="19" t="s">
        <v>18</v>
      </c>
      <c r="G216" s="19" t="s">
        <v>502</v>
      </c>
      <c r="H216" s="19" t="s">
        <v>335</v>
      </c>
      <c r="I216" s="19">
        <v>2025</v>
      </c>
      <c r="J216" s="73">
        <v>45740</v>
      </c>
      <c r="K216" s="19" t="s">
        <v>62</v>
      </c>
      <c r="L216" s="19" t="s">
        <v>156</v>
      </c>
      <c r="M216" s="75" t="s">
        <v>503</v>
      </c>
      <c r="N216" s="27" t="s">
        <v>312</v>
      </c>
      <c r="O216" s="72" t="s">
        <v>58</v>
      </c>
      <c r="P216" s="6" t="s">
        <v>152</v>
      </c>
      <c r="Q216" s="6" t="s">
        <v>24</v>
      </c>
      <c r="R216" s="6" t="s">
        <v>504</v>
      </c>
      <c r="S216" s="6" t="s">
        <v>288</v>
      </c>
      <c r="T216" s="6" t="s">
        <v>406</v>
      </c>
      <c r="U216" s="75">
        <v>45796</v>
      </c>
      <c r="V216" s="75">
        <v>45888</v>
      </c>
      <c r="W216" s="13">
        <f t="shared" ca="1" si="29"/>
        <v>-197</v>
      </c>
      <c r="X216" s="6" t="str">
        <f t="shared" ca="1" si="30"/>
        <v>Vencido</v>
      </c>
      <c r="Y216" s="6"/>
    </row>
    <row r="217" spans="1:25" ht="65.25" customHeight="1">
      <c r="A217" s="6" t="s">
        <v>59</v>
      </c>
      <c r="B217" s="6" t="s">
        <v>505</v>
      </c>
      <c r="C217" s="53">
        <v>4740457</v>
      </c>
      <c r="D217" s="18">
        <v>6</v>
      </c>
      <c r="E217" s="6">
        <v>86</v>
      </c>
      <c r="F217" s="19" t="s">
        <v>18</v>
      </c>
      <c r="G217" s="19" t="s">
        <v>506</v>
      </c>
      <c r="H217" s="19" t="s">
        <v>335</v>
      </c>
      <c r="I217" s="19" t="s">
        <v>174</v>
      </c>
      <c r="J217" s="19" t="s">
        <v>178</v>
      </c>
      <c r="K217" s="19" t="s">
        <v>166</v>
      </c>
      <c r="L217" s="19" t="s">
        <v>507</v>
      </c>
      <c r="M217" s="75">
        <v>45740</v>
      </c>
      <c r="N217" s="19" t="s">
        <v>508</v>
      </c>
      <c r="O217" s="72" t="s">
        <v>58</v>
      </c>
      <c r="P217" s="6" t="s">
        <v>152</v>
      </c>
      <c r="Q217" s="6" t="s">
        <v>509</v>
      </c>
      <c r="R217" s="6" t="s">
        <v>510</v>
      </c>
      <c r="S217" s="6" t="s">
        <v>284</v>
      </c>
      <c r="T217" s="6" t="s">
        <v>511</v>
      </c>
      <c r="U217" s="75">
        <v>45754</v>
      </c>
      <c r="V217" s="75">
        <v>45784</v>
      </c>
      <c r="W217" s="13">
        <f t="shared" ca="1" si="29"/>
        <v>-301</v>
      </c>
      <c r="X217" s="6" t="str">
        <f t="shared" ca="1" si="30"/>
        <v>Vencido</v>
      </c>
      <c r="Y217" s="6"/>
    </row>
    <row r="218" spans="1:25" customFormat="1" ht="67.5" customHeight="1">
      <c r="A218" s="5" t="s">
        <v>184</v>
      </c>
      <c r="B218" s="6" t="s">
        <v>512</v>
      </c>
      <c r="C218" s="7">
        <v>14486813</v>
      </c>
      <c r="D218" s="9">
        <v>7</v>
      </c>
      <c r="E218" s="9"/>
      <c r="F218" s="10" t="s">
        <v>18</v>
      </c>
      <c r="G218" s="10" t="s">
        <v>141</v>
      </c>
      <c r="H218" s="11" t="s">
        <v>315</v>
      </c>
      <c r="I218" s="10" t="s">
        <v>174</v>
      </c>
      <c r="J218" s="10" t="s">
        <v>178</v>
      </c>
      <c r="K218" s="10" t="s">
        <v>62</v>
      </c>
      <c r="L218" s="10" t="s">
        <v>32</v>
      </c>
      <c r="M218" s="21">
        <v>45481</v>
      </c>
      <c r="N218" s="6" t="s">
        <v>513</v>
      </c>
      <c r="O218" s="72" t="s">
        <v>58</v>
      </c>
      <c r="P218" s="5" t="s">
        <v>149</v>
      </c>
      <c r="Q218" s="6" t="s">
        <v>223</v>
      </c>
      <c r="R218" s="13" t="s">
        <v>514</v>
      </c>
      <c r="S218" s="5" t="s">
        <v>276</v>
      </c>
      <c r="T218" s="5" t="s">
        <v>289</v>
      </c>
      <c r="U218" s="22">
        <v>45541</v>
      </c>
      <c r="V218" s="22">
        <v>45602</v>
      </c>
      <c r="W218" s="13">
        <f t="shared" ca="1" si="29"/>
        <v>-483</v>
      </c>
      <c r="X218" s="5" t="str">
        <f t="shared" ca="1" si="30"/>
        <v>Vencido</v>
      </c>
      <c r="Y218" s="24"/>
    </row>
    <row r="219" spans="1:25" ht="65.25" customHeight="1">
      <c r="A219" s="5" t="s">
        <v>184</v>
      </c>
      <c r="B219" s="6" t="s">
        <v>515</v>
      </c>
      <c r="C219" s="53">
        <v>11383224</v>
      </c>
      <c r="D219" s="18" t="s">
        <v>87</v>
      </c>
      <c r="E219" s="6">
        <v>56</v>
      </c>
      <c r="F219" s="19" t="s">
        <v>18</v>
      </c>
      <c r="G219" s="19" t="s">
        <v>516</v>
      </c>
      <c r="H219" s="11" t="s">
        <v>315</v>
      </c>
      <c r="I219" s="19">
        <v>2025</v>
      </c>
      <c r="J219" s="73">
        <v>45763</v>
      </c>
      <c r="K219" s="19" t="s">
        <v>148</v>
      </c>
      <c r="L219" s="19" t="s">
        <v>452</v>
      </c>
      <c r="M219" s="6"/>
      <c r="N219" s="19"/>
      <c r="O219" s="72" t="s">
        <v>58</v>
      </c>
      <c r="P219" s="6" t="s">
        <v>152</v>
      </c>
      <c r="Q219" s="6" t="s">
        <v>24</v>
      </c>
      <c r="R219" s="6" t="s">
        <v>517</v>
      </c>
      <c r="S219" s="6" t="s">
        <v>284</v>
      </c>
      <c r="T219" s="6" t="s">
        <v>473</v>
      </c>
      <c r="U219" s="75">
        <v>45812</v>
      </c>
      <c r="V219" s="75">
        <v>45842</v>
      </c>
      <c r="W219" s="13">
        <f t="shared" ca="1" si="29"/>
        <v>-243</v>
      </c>
      <c r="X219" s="5" t="str">
        <f t="shared" ca="1" si="30"/>
        <v>Vencido</v>
      </c>
      <c r="Y219" s="6"/>
    </row>
    <row r="220" spans="1:25" ht="65.25" customHeight="1">
      <c r="A220" s="13" t="s">
        <v>184</v>
      </c>
      <c r="B220" s="13" t="s">
        <v>518</v>
      </c>
      <c r="C220" s="51">
        <v>5595271</v>
      </c>
      <c r="D220" s="52" t="s">
        <v>129</v>
      </c>
      <c r="E220" s="27" t="e">
        <f ca="1">DATEDIF(#REF!,TODAY(),"Y")</f>
        <v>#REF!</v>
      </c>
      <c r="F220" s="27" t="s">
        <v>18</v>
      </c>
      <c r="G220" s="27" t="s">
        <v>19</v>
      </c>
      <c r="H220" s="13" t="s">
        <v>315</v>
      </c>
      <c r="I220" s="27">
        <v>2018</v>
      </c>
      <c r="J220" s="71">
        <v>43230</v>
      </c>
      <c r="K220" s="27" t="s">
        <v>20</v>
      </c>
      <c r="L220" s="27" t="s">
        <v>21</v>
      </c>
      <c r="M220" s="71">
        <v>43809</v>
      </c>
      <c r="N220" s="13" t="s">
        <v>444</v>
      </c>
      <c r="O220" s="72" t="s">
        <v>58</v>
      </c>
      <c r="P220" s="13" t="s">
        <v>152</v>
      </c>
      <c r="Q220" s="185" t="s">
        <v>431</v>
      </c>
      <c r="R220" s="13" t="s">
        <v>519</v>
      </c>
      <c r="S220" s="13" t="s">
        <v>520</v>
      </c>
      <c r="T220" s="13" t="s">
        <v>294</v>
      </c>
      <c r="U220" s="85">
        <v>45365</v>
      </c>
      <c r="V220" s="85">
        <v>45579</v>
      </c>
      <c r="W220" s="13">
        <f t="shared" ca="1" si="29"/>
        <v>-506</v>
      </c>
      <c r="X220" s="13" t="str">
        <f t="shared" ca="1" si="30"/>
        <v>Vencido</v>
      </c>
      <c r="Y220" s="13" t="s">
        <v>521</v>
      </c>
    </row>
    <row r="221" spans="1:25" ht="65.25" customHeight="1">
      <c r="A221" s="6" t="s">
        <v>184</v>
      </c>
      <c r="B221" s="6" t="s">
        <v>522</v>
      </c>
      <c r="C221" s="53">
        <v>10553746</v>
      </c>
      <c r="D221" s="18">
        <v>8</v>
      </c>
      <c r="E221" s="6">
        <v>62</v>
      </c>
      <c r="F221" s="19" t="s">
        <v>18</v>
      </c>
      <c r="G221" s="19" t="s">
        <v>502</v>
      </c>
      <c r="H221" s="11" t="s">
        <v>315</v>
      </c>
      <c r="I221" s="19">
        <v>2025</v>
      </c>
      <c r="J221" s="73">
        <v>45859</v>
      </c>
      <c r="K221" s="19" t="s">
        <v>62</v>
      </c>
      <c r="L221" s="19" t="s">
        <v>168</v>
      </c>
      <c r="M221" s="75">
        <v>45901</v>
      </c>
      <c r="N221" s="19" t="s">
        <v>523</v>
      </c>
      <c r="O221" s="72" t="s">
        <v>58</v>
      </c>
      <c r="P221" s="6" t="s">
        <v>152</v>
      </c>
      <c r="Q221" s="6" t="s">
        <v>225</v>
      </c>
      <c r="R221" s="6" t="s">
        <v>524</v>
      </c>
      <c r="S221" s="6" t="s">
        <v>284</v>
      </c>
      <c r="T221" s="6" t="s">
        <v>277</v>
      </c>
      <c r="U221" s="75">
        <v>45903</v>
      </c>
      <c r="V221" s="75">
        <v>45939</v>
      </c>
      <c r="W221" s="13">
        <f ca="1">V221-TODAY()</f>
        <v>-146</v>
      </c>
      <c r="X221" s="5" t="str">
        <f ca="1">IF(W221&gt;=20,"Vigente",IF(AND(W221&gt;=1,W221&lt;=20),"Por Vencer","Vencido"))</f>
        <v>Vencido</v>
      </c>
    </row>
    <row r="222" spans="1:25" s="37" customFormat="1" ht="65.25" customHeight="1">
      <c r="A222" s="13" t="s">
        <v>184</v>
      </c>
      <c r="B222" s="13" t="s">
        <v>525</v>
      </c>
      <c r="C222" s="51">
        <v>11723640</v>
      </c>
      <c r="D222" s="113">
        <v>4</v>
      </c>
      <c r="E222" s="27">
        <v>53</v>
      </c>
      <c r="F222" s="27" t="s">
        <v>18</v>
      </c>
      <c r="G222" s="13" t="s">
        <v>141</v>
      </c>
      <c r="H222" s="13" t="s">
        <v>315</v>
      </c>
      <c r="I222" s="27">
        <v>2024</v>
      </c>
      <c r="J222" s="71">
        <v>45363</v>
      </c>
      <c r="K222" s="27" t="s">
        <v>62</v>
      </c>
      <c r="L222" s="27" t="s">
        <v>32</v>
      </c>
      <c r="M222" s="71">
        <v>45755</v>
      </c>
      <c r="N222" s="13" t="s">
        <v>526</v>
      </c>
      <c r="O222" s="79" t="s">
        <v>34</v>
      </c>
      <c r="P222" s="13" t="s">
        <v>152</v>
      </c>
      <c r="Q222" s="13" t="s">
        <v>225</v>
      </c>
      <c r="R222" s="13" t="s">
        <v>527</v>
      </c>
      <c r="S222" s="13" t="s">
        <v>528</v>
      </c>
      <c r="T222" s="13" t="s">
        <v>289</v>
      </c>
      <c r="U222" s="85">
        <v>45855</v>
      </c>
      <c r="V222" s="85">
        <v>45917</v>
      </c>
      <c r="W222" s="13">
        <f ca="1">V222-TODAY()</f>
        <v>-168</v>
      </c>
      <c r="X222" s="13" t="str">
        <f ca="1">IF(W222&gt;=20,"Vigente",IF(AND(W222&gt;=1,W222&lt;=20),"Por Vencer","Vencido"))</f>
        <v>Vencido</v>
      </c>
      <c r="Y222" s="13"/>
    </row>
    <row r="223" spans="1:25" ht="65.25" customHeight="1">
      <c r="A223" s="6" t="s">
        <v>184</v>
      </c>
      <c r="B223" s="6" t="s">
        <v>529</v>
      </c>
      <c r="C223" s="53">
        <v>12771643</v>
      </c>
      <c r="D223" s="54">
        <v>9</v>
      </c>
      <c r="E223" s="19">
        <v>48</v>
      </c>
      <c r="F223" s="19" t="s">
        <v>18</v>
      </c>
      <c r="G223" s="6" t="s">
        <v>19</v>
      </c>
      <c r="H223" s="6" t="s">
        <v>315</v>
      </c>
      <c r="I223" s="19">
        <v>2019</v>
      </c>
      <c r="J223" s="73">
        <v>43801</v>
      </c>
      <c r="K223" s="186" t="s">
        <v>62</v>
      </c>
      <c r="L223" s="19" t="s">
        <v>21</v>
      </c>
      <c r="M223" s="73">
        <v>43810</v>
      </c>
      <c r="N223" s="6" t="s">
        <v>530</v>
      </c>
      <c r="O223" s="72" t="s">
        <v>58</v>
      </c>
      <c r="P223" s="6" t="s">
        <v>152</v>
      </c>
      <c r="Q223" s="184" t="s">
        <v>431</v>
      </c>
      <c r="R223" s="184" t="s">
        <v>531</v>
      </c>
      <c r="S223" s="6" t="s">
        <v>532</v>
      </c>
      <c r="T223" s="6" t="s">
        <v>294</v>
      </c>
      <c r="U223" s="75">
        <v>45602</v>
      </c>
      <c r="V223" s="75">
        <v>45875</v>
      </c>
      <c r="W223" s="13">
        <f ca="1">V223-TODAY()</f>
        <v>-210</v>
      </c>
      <c r="X223" s="6" t="str">
        <f ca="1">IF(W223&gt;=20,"Vigente",IF(AND(W223&gt;=1,W223&lt;=20),"Por Vencer","Vencido"))</f>
        <v>Vencido</v>
      </c>
      <c r="Y223" s="184" t="s">
        <v>521</v>
      </c>
    </row>
    <row r="224" spans="1:25" ht="40.5" customHeight="1">
      <c r="A224" s="6" t="s">
        <v>184</v>
      </c>
      <c r="B224" s="6" t="s">
        <v>533</v>
      </c>
      <c r="C224" s="53">
        <v>13535298</v>
      </c>
      <c r="D224" s="54">
        <v>5</v>
      </c>
      <c r="E224" s="6">
        <v>45</v>
      </c>
      <c r="F224" s="19" t="s">
        <v>18</v>
      </c>
      <c r="G224" s="19" t="s">
        <v>141</v>
      </c>
      <c r="H224" s="19" t="s">
        <v>315</v>
      </c>
      <c r="I224" s="19">
        <v>2024</v>
      </c>
      <c r="J224" s="73">
        <v>45643</v>
      </c>
      <c r="K224" s="19" t="s">
        <v>62</v>
      </c>
      <c r="L224" s="19" t="s">
        <v>168</v>
      </c>
      <c r="M224" s="75">
        <v>45889</v>
      </c>
      <c r="N224" s="186" t="s">
        <v>534</v>
      </c>
      <c r="O224" s="79" t="s">
        <v>34</v>
      </c>
      <c r="P224" s="6" t="s">
        <v>152</v>
      </c>
      <c r="Q224" s="6" t="s">
        <v>225</v>
      </c>
      <c r="R224" s="184" t="s">
        <v>535</v>
      </c>
      <c r="S224" s="184" t="s">
        <v>288</v>
      </c>
      <c r="T224" s="6" t="s">
        <v>277</v>
      </c>
      <c r="U224" s="75">
        <v>45904</v>
      </c>
      <c r="V224" s="75">
        <v>45995</v>
      </c>
      <c r="W224" s="13">
        <f ca="1">V224-TODAY()</f>
        <v>-90</v>
      </c>
      <c r="X224" s="6" t="str">
        <f ca="1">IF(W224&gt;=20,"Vigente",IF(AND(W224&gt;=1,W224&lt;=20),"Por Vencer","Vencido"))</f>
        <v>Vencido</v>
      </c>
      <c r="Y224" s="6"/>
    </row>
    <row r="225" spans="1:189" ht="40.5" customHeight="1">
      <c r="A225" s="13" t="s">
        <v>184</v>
      </c>
      <c r="B225" s="13" t="s">
        <v>536</v>
      </c>
      <c r="C225" s="51">
        <v>7220697</v>
      </c>
      <c r="D225" s="52">
        <v>5</v>
      </c>
      <c r="E225" s="27" t="e">
        <f ca="1">DATEDIF(#REF!,TODAY(),"Y")</f>
        <v>#REF!</v>
      </c>
      <c r="F225" s="27" t="s">
        <v>537</v>
      </c>
      <c r="G225" s="13" t="s">
        <v>19</v>
      </c>
      <c r="H225" s="13" t="s">
        <v>315</v>
      </c>
      <c r="I225" s="27">
        <v>2023</v>
      </c>
      <c r="J225" s="71">
        <v>45216</v>
      </c>
      <c r="K225" s="27" t="s">
        <v>62</v>
      </c>
      <c r="L225" s="27" t="s">
        <v>21</v>
      </c>
      <c r="M225" s="71">
        <v>45440</v>
      </c>
      <c r="N225" s="13" t="s">
        <v>362</v>
      </c>
      <c r="O225" s="72" t="s">
        <v>58</v>
      </c>
      <c r="P225" s="13" t="s">
        <v>152</v>
      </c>
      <c r="Q225" s="13" t="s">
        <v>225</v>
      </c>
      <c r="R225" s="13" t="s">
        <v>538</v>
      </c>
      <c r="S225" s="13" t="s">
        <v>288</v>
      </c>
      <c r="T225" s="13" t="s">
        <v>289</v>
      </c>
      <c r="U225" s="85">
        <v>45855</v>
      </c>
      <c r="V225" s="85">
        <v>45947</v>
      </c>
      <c r="W225" s="13">
        <f ca="1">V225-TODAY()</f>
        <v>-138</v>
      </c>
      <c r="X225" s="13" t="str">
        <f ca="1">IF(W225&gt;=20,"Vigente",IF(AND(W225&gt;=1,W225&lt;=20),"Por Vencer","Vencido"))</f>
        <v>Vencido</v>
      </c>
      <c r="Y225" s="13"/>
      <c r="Z225" s="37"/>
      <c r="AA225" s="37"/>
    </row>
    <row r="226" spans="1:189" ht="40.5" customHeight="1">
      <c r="A226" s="6" t="s">
        <v>184</v>
      </c>
      <c r="B226" s="6" t="s">
        <v>539</v>
      </c>
      <c r="C226" s="53">
        <v>14463827</v>
      </c>
      <c r="D226" s="18">
        <v>1</v>
      </c>
      <c r="E226" s="6">
        <v>52</v>
      </c>
      <c r="F226" s="19" t="s">
        <v>18</v>
      </c>
      <c r="G226" s="19" t="s">
        <v>68</v>
      </c>
      <c r="H226" s="6" t="s">
        <v>315</v>
      </c>
      <c r="I226" s="19">
        <v>2024</v>
      </c>
      <c r="J226" s="73">
        <v>45507</v>
      </c>
      <c r="K226" s="19" t="s">
        <v>62</v>
      </c>
      <c r="L226" s="19" t="s">
        <v>269</v>
      </c>
      <c r="M226" s="75">
        <v>45916</v>
      </c>
      <c r="N226" s="19" t="s">
        <v>312</v>
      </c>
      <c r="O226" s="181" t="s">
        <v>58</v>
      </c>
      <c r="P226" s="6" t="s">
        <v>152</v>
      </c>
      <c r="Q226" s="6" t="s">
        <v>223</v>
      </c>
      <c r="R226" s="184" t="s">
        <v>540</v>
      </c>
      <c r="S226" s="13" t="s">
        <v>288</v>
      </c>
      <c r="T226" s="6" t="s">
        <v>277</v>
      </c>
      <c r="U226" s="75">
        <v>45932</v>
      </c>
      <c r="V226" s="75">
        <v>46024</v>
      </c>
      <c r="W226" s="13">
        <f ca="1">V226-TODAY()</f>
        <v>-61</v>
      </c>
      <c r="X226" s="6" t="str">
        <f ca="1">IF(W226&gt;=20,"Vigente",IF(AND(W226&gt;=1,W226&lt;=20),"Por Vencer","Vencido"))</f>
        <v>Vencido</v>
      </c>
      <c r="Y226" s="6"/>
    </row>
    <row r="227" spans="1:189" ht="40.5" customHeight="1">
      <c r="A227" s="6" t="s">
        <v>184</v>
      </c>
      <c r="B227" s="6" t="s">
        <v>541</v>
      </c>
      <c r="C227" s="53">
        <v>6814097</v>
      </c>
      <c r="D227" s="54">
        <v>8</v>
      </c>
      <c r="E227" s="6">
        <v>90</v>
      </c>
      <c r="F227" s="19" t="s">
        <v>26</v>
      </c>
      <c r="G227" s="19" t="s">
        <v>68</v>
      </c>
      <c r="H227" s="19" t="s">
        <v>315</v>
      </c>
      <c r="I227" s="19">
        <v>2024</v>
      </c>
      <c r="J227" s="103">
        <v>45572</v>
      </c>
      <c r="K227" s="19" t="s">
        <v>62</v>
      </c>
      <c r="L227" s="19" t="s">
        <v>21</v>
      </c>
      <c r="M227" s="75">
        <v>45586</v>
      </c>
      <c r="N227" s="6" t="s">
        <v>201</v>
      </c>
      <c r="O227" s="72" t="s">
        <v>58</v>
      </c>
      <c r="P227" s="6" t="s">
        <v>152</v>
      </c>
      <c r="Q227" s="6" t="s">
        <v>225</v>
      </c>
      <c r="R227" s="13" t="s">
        <v>542</v>
      </c>
      <c r="S227" s="6" t="s">
        <v>288</v>
      </c>
      <c r="T227" s="6" t="s">
        <v>277</v>
      </c>
      <c r="U227" s="75">
        <v>45867</v>
      </c>
      <c r="V227" s="75">
        <v>45959</v>
      </c>
      <c r="W227" s="13">
        <f ca="1">V227-TODAY()</f>
        <v>-126</v>
      </c>
      <c r="X227" s="6" t="str">
        <f ca="1">IF(W227&gt;=20,"Vigente",IF(AND(W227&gt;=1,W227&lt;=20),"Por Vencer","Vencido"))</f>
        <v>Vencido</v>
      </c>
      <c r="Y227" s="6"/>
    </row>
    <row r="228" spans="1:189" ht="40.5" customHeight="1">
      <c r="A228" s="13" t="s">
        <v>184</v>
      </c>
      <c r="B228" s="13" t="s">
        <v>543</v>
      </c>
      <c r="C228" s="51">
        <v>10625886</v>
      </c>
      <c r="D228" s="52">
        <v>4</v>
      </c>
      <c r="E228" s="27" t="e">
        <f ca="1">DATEDIF(#REF!,TODAY(),"Y")</f>
        <v>#REF!</v>
      </c>
      <c r="F228" s="27" t="s">
        <v>18</v>
      </c>
      <c r="G228" s="13" t="s">
        <v>68</v>
      </c>
      <c r="H228" s="13" t="s">
        <v>315</v>
      </c>
      <c r="I228" s="27">
        <v>2023</v>
      </c>
      <c r="J228" s="71">
        <v>45219</v>
      </c>
      <c r="K228" s="187" t="s">
        <v>62</v>
      </c>
      <c r="L228" s="27" t="s">
        <v>21</v>
      </c>
      <c r="M228" s="71">
        <v>45896</v>
      </c>
      <c r="N228" s="187" t="s">
        <v>544</v>
      </c>
      <c r="O228" s="72" t="s">
        <v>58</v>
      </c>
      <c r="P228" s="13" t="s">
        <v>152</v>
      </c>
      <c r="Q228" s="13" t="s">
        <v>225</v>
      </c>
      <c r="R228" s="185" t="s">
        <v>545</v>
      </c>
      <c r="S228" s="185" t="s">
        <v>288</v>
      </c>
      <c r="T228" s="13" t="s">
        <v>289</v>
      </c>
      <c r="U228" s="85">
        <v>45904</v>
      </c>
      <c r="V228" s="85">
        <v>45995</v>
      </c>
      <c r="W228" s="13">
        <f ca="1">V228-TODAY()</f>
        <v>-90</v>
      </c>
      <c r="X228" s="13" t="str">
        <f ca="1">IF(W228&gt;=20,"Vigente",IF(AND(W228&gt;=1,W228&lt;=20),"Por Vencer","Vencido"))</f>
        <v>Vencido</v>
      </c>
      <c r="Y228" s="13"/>
      <c r="Z228" s="37"/>
      <c r="AA228" s="37"/>
      <c r="AB228" s="37"/>
      <c r="AC228" s="37"/>
      <c r="AD228" s="37"/>
      <c r="AE228" s="37"/>
      <c r="AF228" s="37"/>
      <c r="AG228" s="37"/>
      <c r="AH228" s="37"/>
      <c r="AI228" s="37"/>
      <c r="AJ228" s="37"/>
      <c r="AK228" s="37"/>
      <c r="AL228" s="37"/>
      <c r="AM228" s="37"/>
      <c r="AN228" s="37"/>
      <c r="AO228" s="37"/>
      <c r="AP228" s="37"/>
      <c r="AQ228" s="37"/>
      <c r="AR228" s="37"/>
      <c r="AS228" s="37"/>
      <c r="AT228" s="37"/>
      <c r="AU228" s="37"/>
      <c r="AV228" s="37"/>
      <c r="AW228" s="37"/>
      <c r="AX228" s="37"/>
      <c r="AY228" s="37"/>
      <c r="AZ228" s="37"/>
      <c r="BA228" s="37"/>
      <c r="BB228" s="37"/>
      <c r="BC228" s="37"/>
      <c r="BD228" s="37"/>
      <c r="BE228" s="37"/>
      <c r="BF228" s="37"/>
      <c r="BG228" s="37"/>
      <c r="BH228" s="37"/>
      <c r="BI228" s="37"/>
      <c r="BJ228" s="37"/>
      <c r="BK228" s="37"/>
      <c r="BL228" s="37"/>
      <c r="BM228" s="37"/>
      <c r="BN228" s="37"/>
      <c r="BO228" s="37"/>
      <c r="BP228" s="37"/>
      <c r="BQ228" s="37"/>
      <c r="BR228" s="37"/>
      <c r="BS228" s="37"/>
      <c r="BT228" s="37"/>
      <c r="BU228" s="37"/>
      <c r="BV228" s="37"/>
      <c r="BW228" s="37"/>
      <c r="BX228" s="37"/>
      <c r="BY228" s="37"/>
      <c r="BZ228" s="37"/>
      <c r="CA228" s="37"/>
      <c r="CB228" s="37"/>
      <c r="CC228" s="37"/>
      <c r="CD228" s="37"/>
      <c r="CE228" s="37"/>
      <c r="CF228" s="37"/>
      <c r="CG228" s="37"/>
      <c r="CH228" s="37"/>
      <c r="CI228" s="37"/>
      <c r="CJ228" s="37"/>
      <c r="CK228" s="37"/>
      <c r="CL228" s="37"/>
      <c r="CM228" s="37"/>
      <c r="CN228" s="37"/>
      <c r="CO228" s="37"/>
      <c r="CP228" s="37"/>
      <c r="CQ228" s="37"/>
      <c r="CR228" s="37"/>
      <c r="CS228" s="37"/>
      <c r="CT228" s="37"/>
      <c r="CU228" s="37"/>
      <c r="CV228" s="37"/>
      <c r="CW228" s="37"/>
      <c r="CX228" s="37"/>
      <c r="CY228" s="37"/>
      <c r="CZ228" s="37"/>
      <c r="DA228" s="37"/>
      <c r="DB228" s="37"/>
      <c r="DC228" s="37"/>
      <c r="DD228" s="37"/>
      <c r="DE228" s="37"/>
      <c r="DF228" s="37"/>
      <c r="DG228" s="37"/>
      <c r="DH228" s="37"/>
      <c r="DI228" s="37"/>
      <c r="DJ228" s="37"/>
      <c r="DK228" s="37"/>
      <c r="DL228" s="37"/>
      <c r="DM228" s="37"/>
      <c r="DN228" s="37"/>
      <c r="DO228" s="37"/>
      <c r="DP228" s="37"/>
      <c r="DQ228" s="37"/>
      <c r="DR228" s="37"/>
      <c r="DS228" s="37"/>
      <c r="DT228" s="37"/>
      <c r="DU228" s="37"/>
      <c r="DV228" s="37"/>
      <c r="DW228" s="37"/>
      <c r="DX228" s="37"/>
      <c r="DY228" s="37"/>
      <c r="DZ228" s="37"/>
      <c r="EA228" s="37"/>
      <c r="EB228" s="37"/>
      <c r="EC228" s="37"/>
      <c r="ED228" s="37"/>
      <c r="EE228" s="37"/>
      <c r="EF228" s="37"/>
      <c r="EG228" s="37"/>
      <c r="EH228" s="37"/>
      <c r="EI228" s="37"/>
      <c r="EJ228" s="37"/>
      <c r="EK228" s="37"/>
      <c r="EL228" s="37"/>
      <c r="EM228" s="37"/>
      <c r="EN228" s="37"/>
      <c r="EO228" s="37"/>
      <c r="EP228" s="37"/>
      <c r="EQ228" s="37"/>
      <c r="ER228" s="37"/>
      <c r="ES228" s="37"/>
      <c r="ET228" s="37"/>
      <c r="EU228" s="37"/>
      <c r="EV228" s="37"/>
      <c r="EW228" s="37"/>
      <c r="EX228" s="37"/>
      <c r="EY228" s="37"/>
      <c r="EZ228" s="37"/>
      <c r="FA228" s="37"/>
      <c r="FB228" s="37"/>
      <c r="FC228" s="37"/>
      <c r="FD228" s="37"/>
      <c r="FE228" s="37"/>
      <c r="FF228" s="37"/>
      <c r="FG228" s="37"/>
      <c r="FH228" s="37"/>
      <c r="FI228" s="37"/>
      <c r="FJ228" s="37"/>
      <c r="FK228" s="37"/>
      <c r="FL228" s="37"/>
      <c r="FM228" s="37"/>
      <c r="FN228" s="37"/>
      <c r="FO228" s="37"/>
      <c r="FP228" s="37"/>
      <c r="FQ228" s="37"/>
      <c r="FR228" s="37"/>
      <c r="FS228" s="37"/>
      <c r="FT228" s="37"/>
      <c r="FU228" s="37"/>
      <c r="FV228" s="37"/>
      <c r="FW228" s="37"/>
      <c r="FX228" s="37"/>
      <c r="FY228" s="37"/>
      <c r="FZ228" s="37"/>
      <c r="GA228" s="37"/>
      <c r="GB228" s="37"/>
      <c r="GC228" s="37"/>
      <c r="GD228" s="37"/>
      <c r="GE228" s="37"/>
      <c r="GF228" s="37"/>
      <c r="GG228" s="37"/>
    </row>
    <row r="229" spans="1:189" ht="40.5" customHeight="1">
      <c r="A229" s="6" t="s">
        <v>184</v>
      </c>
      <c r="B229" s="6" t="s">
        <v>546</v>
      </c>
      <c r="C229" s="53">
        <v>12427000</v>
      </c>
      <c r="D229" s="54">
        <v>6</v>
      </c>
      <c r="E229" s="19">
        <v>50</v>
      </c>
      <c r="F229" s="61" t="s">
        <v>18</v>
      </c>
      <c r="G229" s="6" t="s">
        <v>141</v>
      </c>
      <c r="H229" s="6" t="s">
        <v>315</v>
      </c>
      <c r="I229" s="19">
        <v>2021</v>
      </c>
      <c r="J229" s="73">
        <v>44327</v>
      </c>
      <c r="K229" s="19" t="s">
        <v>161</v>
      </c>
      <c r="L229" s="19" t="s">
        <v>21</v>
      </c>
      <c r="M229" s="73">
        <v>45516</v>
      </c>
      <c r="N229" s="6" t="s">
        <v>201</v>
      </c>
      <c r="O229" s="72" t="s">
        <v>58</v>
      </c>
      <c r="P229" s="6" t="s">
        <v>152</v>
      </c>
      <c r="Q229" s="6" t="s">
        <v>225</v>
      </c>
      <c r="R229" s="13" t="s">
        <v>437</v>
      </c>
      <c r="S229" s="6" t="s">
        <v>288</v>
      </c>
      <c r="T229" s="6" t="s">
        <v>343</v>
      </c>
      <c r="U229" s="75">
        <v>45868</v>
      </c>
      <c r="V229" s="75">
        <v>45960</v>
      </c>
      <c r="W229" s="13">
        <f ca="1">V229-TODAY()</f>
        <v>-125</v>
      </c>
      <c r="X229" s="6" t="str">
        <f ca="1">IF(W229&gt;=20,"Vigente",IF(AND(W229&gt;=1,W229&lt;=20),"Por Vencer","Vencido"))</f>
        <v>Vencido</v>
      </c>
      <c r="Y229" s="6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40"/>
      <c r="AK229" s="40"/>
      <c r="AL229" s="40"/>
      <c r="AM229" s="40"/>
      <c r="AN229" s="40"/>
      <c r="AO229" s="40"/>
      <c r="AP229" s="40"/>
      <c r="AQ229" s="40"/>
      <c r="AR229" s="40"/>
      <c r="AS229" s="40"/>
      <c r="AT229" s="40"/>
      <c r="AU229" s="40"/>
      <c r="AV229" s="40"/>
      <c r="AW229" s="40"/>
      <c r="AX229" s="40"/>
      <c r="AY229" s="40"/>
      <c r="AZ229" s="40"/>
      <c r="BA229" s="40"/>
      <c r="BB229" s="40"/>
      <c r="BC229" s="40"/>
      <c r="BD229" s="40"/>
      <c r="BE229" s="40"/>
      <c r="BF229" s="40"/>
      <c r="BG229" s="40"/>
      <c r="BH229" s="40"/>
      <c r="BI229" s="40"/>
      <c r="BJ229" s="40"/>
      <c r="BK229" s="40"/>
      <c r="BL229" s="40"/>
      <c r="BM229" s="40"/>
      <c r="BN229" s="40"/>
      <c r="BO229" s="40"/>
      <c r="BP229" s="40"/>
      <c r="BQ229" s="40"/>
      <c r="BR229" s="40"/>
      <c r="BS229" s="40"/>
      <c r="BT229" s="40"/>
      <c r="BU229" s="40"/>
      <c r="BV229" s="40"/>
      <c r="BW229" s="40"/>
      <c r="BX229" s="40"/>
      <c r="BY229" s="40"/>
      <c r="BZ229" s="40"/>
      <c r="CA229" s="40"/>
      <c r="CB229" s="40"/>
      <c r="CC229" s="40"/>
      <c r="CD229" s="40"/>
      <c r="CE229" s="40"/>
      <c r="CF229" s="40"/>
      <c r="CG229" s="40"/>
      <c r="CH229" s="40"/>
      <c r="CI229" s="40"/>
      <c r="CJ229" s="40"/>
      <c r="CK229" s="40"/>
      <c r="CL229" s="40"/>
      <c r="CM229" s="40"/>
      <c r="CN229" s="40"/>
      <c r="CO229" s="40"/>
      <c r="CP229" s="40"/>
      <c r="CQ229" s="40"/>
      <c r="CR229" s="40"/>
      <c r="CS229" s="40"/>
      <c r="CT229" s="40"/>
      <c r="CU229" s="40"/>
      <c r="CV229" s="40"/>
      <c r="CW229" s="40"/>
      <c r="CX229" s="40"/>
      <c r="CY229" s="40"/>
      <c r="CZ229" s="40"/>
      <c r="DA229" s="40"/>
      <c r="DB229" s="40"/>
      <c r="DC229" s="40"/>
      <c r="DD229" s="40"/>
      <c r="DE229" s="40"/>
      <c r="DF229" s="40"/>
      <c r="DG229" s="40"/>
      <c r="DH229" s="40"/>
      <c r="DI229" s="40"/>
      <c r="DJ229" s="40"/>
      <c r="DK229" s="40"/>
      <c r="DL229" s="40"/>
      <c r="DM229" s="40"/>
      <c r="DN229" s="40"/>
      <c r="DO229" s="40"/>
      <c r="DP229" s="40"/>
      <c r="DQ229" s="40"/>
      <c r="DR229" s="40"/>
      <c r="DS229" s="40"/>
      <c r="DT229" s="40"/>
      <c r="DU229" s="40"/>
      <c r="DV229" s="40"/>
      <c r="DW229" s="40"/>
      <c r="DX229" s="40"/>
      <c r="DY229" s="40"/>
      <c r="DZ229" s="40"/>
      <c r="EA229" s="40"/>
      <c r="EB229" s="40"/>
      <c r="EC229" s="40"/>
      <c r="ED229" s="40"/>
      <c r="EE229" s="40"/>
      <c r="EF229" s="40"/>
      <c r="EG229" s="40"/>
      <c r="EH229" s="40"/>
      <c r="EI229" s="40"/>
      <c r="EJ229" s="40"/>
      <c r="EK229" s="40"/>
      <c r="EL229" s="40"/>
      <c r="EM229" s="40"/>
      <c r="EN229" s="40"/>
      <c r="EO229" s="40"/>
      <c r="EP229" s="40"/>
      <c r="EQ229" s="40"/>
      <c r="ER229" s="40"/>
      <c r="ES229" s="40"/>
      <c r="ET229" s="40"/>
      <c r="EU229" s="40"/>
      <c r="EV229" s="40"/>
      <c r="EW229" s="40"/>
      <c r="EX229" s="40"/>
      <c r="EY229" s="40"/>
      <c r="EZ229" s="40"/>
      <c r="FA229" s="40"/>
      <c r="FB229" s="40"/>
      <c r="FC229" s="40"/>
      <c r="FD229" s="40"/>
      <c r="FE229" s="40"/>
      <c r="FF229" s="40"/>
      <c r="FG229" s="40"/>
      <c r="FH229" s="40"/>
      <c r="FI229" s="40"/>
      <c r="FJ229" s="40"/>
      <c r="FK229" s="40"/>
      <c r="FL229" s="40"/>
      <c r="FM229" s="40"/>
      <c r="FN229" s="40"/>
      <c r="FO229" s="40"/>
      <c r="FP229" s="40"/>
      <c r="FQ229" s="40"/>
      <c r="FR229" s="40"/>
      <c r="FS229" s="40"/>
      <c r="FT229" s="40"/>
      <c r="FU229" s="40"/>
      <c r="FV229" s="40"/>
      <c r="FW229" s="40"/>
      <c r="FX229" s="40"/>
      <c r="FY229" s="40"/>
      <c r="FZ229" s="40"/>
      <c r="GA229" s="40"/>
      <c r="GB229" s="40"/>
      <c r="GC229" s="40"/>
      <c r="GD229" s="40"/>
      <c r="GE229" s="40"/>
      <c r="GF229" s="40"/>
      <c r="GG229" s="40"/>
    </row>
    <row r="230" spans="1:189" ht="40.5" customHeight="1">
      <c r="A230" s="6" t="s">
        <v>184</v>
      </c>
      <c r="B230" s="6" t="s">
        <v>547</v>
      </c>
      <c r="C230" s="53">
        <v>6207522</v>
      </c>
      <c r="D230" s="54">
        <v>8</v>
      </c>
      <c r="E230" s="6">
        <v>73</v>
      </c>
      <c r="F230" s="19" t="s">
        <v>18</v>
      </c>
      <c r="G230" s="19" t="s">
        <v>141</v>
      </c>
      <c r="H230" s="19" t="s">
        <v>335</v>
      </c>
      <c r="I230" s="19">
        <v>2025</v>
      </c>
      <c r="J230" s="73">
        <v>45716</v>
      </c>
      <c r="K230" s="19" t="s">
        <v>166</v>
      </c>
      <c r="L230" s="19" t="s">
        <v>21</v>
      </c>
      <c r="M230" s="6" t="s">
        <v>180</v>
      </c>
      <c r="N230" s="13" t="s">
        <v>176</v>
      </c>
      <c r="O230" s="72" t="s">
        <v>58</v>
      </c>
      <c r="P230" s="6" t="s">
        <v>152</v>
      </c>
      <c r="Q230" s="6" t="s">
        <v>24</v>
      </c>
      <c r="R230" s="6" t="s">
        <v>548</v>
      </c>
      <c r="S230" s="6" t="s">
        <v>288</v>
      </c>
      <c r="T230" s="6" t="s">
        <v>277</v>
      </c>
      <c r="U230" s="75">
        <v>45869</v>
      </c>
      <c r="V230" s="75">
        <v>45961</v>
      </c>
      <c r="W230" s="13">
        <f ca="1">V230-TODAY()</f>
        <v>-124</v>
      </c>
      <c r="X230" s="6" t="str">
        <f ca="1">IF(W230&gt;=20,"Vigente",IF(AND(W230&gt;=1,W230&lt;=20),"Por Vencer","Vencido"))</f>
        <v>Vencido</v>
      </c>
      <c r="Y230" s="6"/>
    </row>
    <row r="231" spans="1:189" ht="40.5" customHeight="1">
      <c r="A231" s="6" t="s">
        <v>184</v>
      </c>
      <c r="B231" s="6" t="s">
        <v>549</v>
      </c>
      <c r="C231" s="53">
        <v>4725928</v>
      </c>
      <c r="D231" s="54">
        <v>2</v>
      </c>
      <c r="E231" s="19" t="e">
        <f ca="1">DATEDIF(#REF!,TODAY(),"Y")</f>
        <v>#REF!</v>
      </c>
      <c r="F231" s="19" t="s">
        <v>18</v>
      </c>
      <c r="G231" s="19" t="s">
        <v>19</v>
      </c>
      <c r="H231" s="6" t="s">
        <v>315</v>
      </c>
      <c r="I231" s="19">
        <v>2021</v>
      </c>
      <c r="J231" s="73">
        <v>44550</v>
      </c>
      <c r="K231" s="19" t="s">
        <v>20</v>
      </c>
      <c r="L231" s="19" t="s">
        <v>21</v>
      </c>
      <c r="M231" s="73">
        <v>45258</v>
      </c>
      <c r="N231" s="6" t="s">
        <v>450</v>
      </c>
      <c r="O231" s="72" t="s">
        <v>58</v>
      </c>
      <c r="P231" s="6" t="s">
        <v>152</v>
      </c>
      <c r="Q231" s="6" t="s">
        <v>223</v>
      </c>
      <c r="R231" s="13" t="s">
        <v>383</v>
      </c>
      <c r="S231" s="6" t="s">
        <v>388</v>
      </c>
      <c r="T231" s="6" t="s">
        <v>289</v>
      </c>
      <c r="U231" s="75">
        <v>45869</v>
      </c>
      <c r="V231" s="75">
        <v>45961</v>
      </c>
      <c r="W231" s="13">
        <f ca="1">V231-TODAY()</f>
        <v>-124</v>
      </c>
      <c r="X231" s="6" t="str">
        <f ca="1">IF(W231&gt;=20,"Vigente",IF(AND(W231&gt;=1,W231&lt;=20),"Por Vencer","Vencido"))</f>
        <v>Vencido</v>
      </c>
      <c r="Y231" s="6"/>
    </row>
    <row r="232" spans="1:189" ht="40.5" customHeight="1">
      <c r="A232" s="6" t="s">
        <v>184</v>
      </c>
      <c r="B232" s="6" t="s">
        <v>550</v>
      </c>
      <c r="C232" s="53">
        <v>6936505</v>
      </c>
      <c r="D232" s="18">
        <v>1</v>
      </c>
      <c r="E232" s="6">
        <v>72</v>
      </c>
      <c r="F232" s="19" t="s">
        <v>18</v>
      </c>
      <c r="G232" s="19" t="s">
        <v>68</v>
      </c>
      <c r="H232" s="19" t="s">
        <v>315</v>
      </c>
      <c r="I232" s="19">
        <v>2025</v>
      </c>
      <c r="J232" s="73">
        <v>45986</v>
      </c>
      <c r="K232" s="19" t="s">
        <v>62</v>
      </c>
      <c r="L232" s="19" t="s">
        <v>168</v>
      </c>
      <c r="M232" s="75">
        <v>46048</v>
      </c>
      <c r="N232" s="19" t="s">
        <v>551</v>
      </c>
      <c r="O232" s="72" t="s">
        <v>34</v>
      </c>
      <c r="P232" s="6" t="s">
        <v>152</v>
      </c>
      <c r="Q232" s="6" t="s">
        <v>225</v>
      </c>
      <c r="R232" s="6" t="s">
        <v>552</v>
      </c>
      <c r="S232" s="6" t="s">
        <v>284</v>
      </c>
      <c r="T232" s="6" t="s">
        <v>277</v>
      </c>
      <c r="U232" s="75">
        <v>46051</v>
      </c>
      <c r="V232" s="75">
        <v>46081</v>
      </c>
      <c r="W232" s="6">
        <f ca="1">V232-TODAY()</f>
        <v>-4</v>
      </c>
      <c r="X232" s="5" t="str">
        <f ca="1">IF(W232&gt;=20,"Vigente",IF(AND(W232&gt;=1,W232&lt;=20),"Por Vencer","Vencido"))</f>
        <v>Vencido</v>
      </c>
    </row>
    <row r="233" spans="1:189" ht="40.5" customHeight="1">
      <c r="A233" s="6" t="s">
        <v>184</v>
      </c>
      <c r="B233" s="6" t="s">
        <v>553</v>
      </c>
      <c r="C233" s="53">
        <v>4679259</v>
      </c>
      <c r="D233" s="18">
        <v>9</v>
      </c>
      <c r="E233" s="6">
        <v>85</v>
      </c>
      <c r="F233" s="19" t="s">
        <v>554</v>
      </c>
      <c r="G233" s="19" t="s">
        <v>19</v>
      </c>
      <c r="H233" s="11" t="s">
        <v>315</v>
      </c>
      <c r="I233" s="19">
        <v>2025</v>
      </c>
      <c r="J233" s="73">
        <v>45839</v>
      </c>
      <c r="K233" s="19" t="s">
        <v>62</v>
      </c>
      <c r="L233" s="186" t="s">
        <v>241</v>
      </c>
      <c r="M233" s="75">
        <v>45873</v>
      </c>
      <c r="N233" s="186" t="s">
        <v>555</v>
      </c>
      <c r="O233" s="72" t="s">
        <v>58</v>
      </c>
      <c r="P233" s="6" t="s">
        <v>152</v>
      </c>
      <c r="Q233" s="6" t="s">
        <v>225</v>
      </c>
      <c r="R233" s="184" t="s">
        <v>556</v>
      </c>
      <c r="S233" s="184" t="s">
        <v>557</v>
      </c>
      <c r="T233" s="184" t="s">
        <v>511</v>
      </c>
      <c r="U233" s="75">
        <v>46002</v>
      </c>
      <c r="V233" s="75">
        <v>46184</v>
      </c>
      <c r="W233" s="13">
        <f ca="1">V233-TODAY()</f>
        <v>99</v>
      </c>
      <c r="X233" s="5" t="str">
        <f ca="1">IF(W233&gt;=20,"Vigente",IF(AND(W233&gt;=1,W233&lt;=20),"Por Vencer","Vencido"))</f>
        <v>Vigente</v>
      </c>
    </row>
  </sheetData>
  <autoFilter ref="A4:P204" xr:uid="{00000000-0009-0000-0000-000001000000}"/>
  <conditionalFormatting sqref="A89:A223">
    <cfRule type="containsText" dxfId="345" priority="76" operator="containsText" text="NO GES">
      <formula>NOT(ISERROR(SEARCH("NO GES",A89)))</formula>
    </cfRule>
  </conditionalFormatting>
  <conditionalFormatting sqref="A92:A223">
    <cfRule type="containsText" dxfId="344" priority="75" operator="containsText" text="GES ">
      <formula>NOT(ISERROR(SEARCH("GES ",A92)))</formula>
    </cfRule>
  </conditionalFormatting>
  <conditionalFormatting sqref="C148">
    <cfRule type="duplicateValues" dxfId="343" priority="962"/>
  </conditionalFormatting>
  <conditionalFormatting sqref="C149">
    <cfRule type="duplicateValues" dxfId="342" priority="950"/>
  </conditionalFormatting>
  <conditionalFormatting sqref="C150">
    <cfRule type="duplicateValues" dxfId="341" priority="938"/>
  </conditionalFormatting>
  <conditionalFormatting sqref="C151">
    <cfRule type="duplicateValues" dxfId="340" priority="921"/>
  </conditionalFormatting>
  <conditionalFormatting sqref="C152">
    <cfRule type="duplicateValues" dxfId="339" priority="909"/>
  </conditionalFormatting>
  <conditionalFormatting sqref="C153">
    <cfRule type="duplicateValues" dxfId="338" priority="897"/>
  </conditionalFormatting>
  <conditionalFormatting sqref="C154">
    <cfRule type="duplicateValues" dxfId="337" priority="885"/>
  </conditionalFormatting>
  <conditionalFormatting sqref="C155">
    <cfRule type="duplicateValues" dxfId="336" priority="868"/>
  </conditionalFormatting>
  <conditionalFormatting sqref="C156">
    <cfRule type="duplicateValues" dxfId="335" priority="855"/>
  </conditionalFormatting>
  <conditionalFormatting sqref="C157">
    <cfRule type="duplicateValues" dxfId="334" priority="843"/>
  </conditionalFormatting>
  <conditionalFormatting sqref="C158">
    <cfRule type="duplicateValues" dxfId="333" priority="831"/>
  </conditionalFormatting>
  <conditionalFormatting sqref="C159">
    <cfRule type="duplicateValues" dxfId="332" priority="819"/>
  </conditionalFormatting>
  <conditionalFormatting sqref="C160">
    <cfRule type="duplicateValues" dxfId="331" priority="807"/>
  </conditionalFormatting>
  <conditionalFormatting sqref="C161">
    <cfRule type="duplicateValues" dxfId="330" priority="790"/>
  </conditionalFormatting>
  <conditionalFormatting sqref="C162">
    <cfRule type="duplicateValues" dxfId="329" priority="777"/>
  </conditionalFormatting>
  <conditionalFormatting sqref="C163">
    <cfRule type="duplicateValues" dxfId="328" priority="765"/>
  </conditionalFormatting>
  <conditionalFormatting sqref="C164">
    <cfRule type="duplicateValues" dxfId="327" priority="753"/>
  </conditionalFormatting>
  <conditionalFormatting sqref="C165">
    <cfRule type="duplicateValues" dxfId="326" priority="736"/>
  </conditionalFormatting>
  <conditionalFormatting sqref="C166">
    <cfRule type="duplicateValues" dxfId="325" priority="719"/>
  </conditionalFormatting>
  <conditionalFormatting sqref="C167">
    <cfRule type="duplicateValues" dxfId="324" priority="702"/>
  </conditionalFormatting>
  <conditionalFormatting sqref="C168">
    <cfRule type="duplicateValues" dxfId="323" priority="690"/>
  </conditionalFormatting>
  <conditionalFormatting sqref="C169">
    <cfRule type="duplicateValues" dxfId="322" priority="678"/>
  </conditionalFormatting>
  <conditionalFormatting sqref="C170">
    <cfRule type="duplicateValues" dxfId="321" priority="666"/>
  </conditionalFormatting>
  <conditionalFormatting sqref="C171">
    <cfRule type="duplicateValues" dxfId="320" priority="654"/>
  </conditionalFormatting>
  <conditionalFormatting sqref="C172">
    <cfRule type="duplicateValues" dxfId="319" priority="642"/>
  </conditionalFormatting>
  <conditionalFormatting sqref="C173">
    <cfRule type="duplicateValues" dxfId="318" priority="630"/>
  </conditionalFormatting>
  <conditionalFormatting sqref="C174">
    <cfRule type="duplicateValues" dxfId="317" priority="618"/>
  </conditionalFormatting>
  <conditionalFormatting sqref="C175">
    <cfRule type="duplicateValues" dxfId="316" priority="606"/>
  </conditionalFormatting>
  <conditionalFormatting sqref="C176">
    <cfRule type="duplicateValues" dxfId="315" priority="594"/>
  </conditionalFormatting>
  <conditionalFormatting sqref="C177">
    <cfRule type="duplicateValues" dxfId="314" priority="582"/>
  </conditionalFormatting>
  <conditionalFormatting sqref="C178">
    <cfRule type="duplicateValues" dxfId="313" priority="570"/>
  </conditionalFormatting>
  <conditionalFormatting sqref="C179">
    <cfRule type="duplicateValues" dxfId="312" priority="558"/>
  </conditionalFormatting>
  <conditionalFormatting sqref="C180">
    <cfRule type="duplicateValues" dxfId="311" priority="546"/>
  </conditionalFormatting>
  <conditionalFormatting sqref="C181">
    <cfRule type="duplicateValues" dxfId="310" priority="529"/>
  </conditionalFormatting>
  <conditionalFormatting sqref="C182">
    <cfRule type="duplicateValues" dxfId="309" priority="512"/>
  </conditionalFormatting>
  <conditionalFormatting sqref="C183">
    <cfRule type="duplicateValues" dxfId="308" priority="495"/>
  </conditionalFormatting>
  <conditionalFormatting sqref="C184">
    <cfRule type="duplicateValues" dxfId="307" priority="478"/>
  </conditionalFormatting>
  <conditionalFormatting sqref="C185">
    <cfRule type="duplicateValues" dxfId="306" priority="457"/>
  </conditionalFormatting>
  <conditionalFormatting sqref="C186">
    <cfRule type="duplicateValues" dxfId="305" priority="437"/>
  </conditionalFormatting>
  <conditionalFormatting sqref="C187">
    <cfRule type="duplicateValues" dxfId="304" priority="421"/>
  </conditionalFormatting>
  <conditionalFormatting sqref="C188">
    <cfRule type="duplicateValues" dxfId="303" priority="408"/>
  </conditionalFormatting>
  <conditionalFormatting sqref="C189">
    <cfRule type="duplicateValues" dxfId="302" priority="391"/>
  </conditionalFormatting>
  <conditionalFormatting sqref="C190">
    <cfRule type="duplicateValues" dxfId="301" priority="374"/>
    <cfRule type="duplicateValues" dxfId="300" priority="375"/>
  </conditionalFormatting>
  <conditionalFormatting sqref="C191">
    <cfRule type="duplicateValues" dxfId="299" priority="362"/>
    <cfRule type="duplicateValues" dxfId="298" priority="363"/>
  </conditionalFormatting>
  <conditionalFormatting sqref="C192">
    <cfRule type="duplicateValues" dxfId="297" priority="350"/>
    <cfRule type="duplicateValues" dxfId="296" priority="351"/>
  </conditionalFormatting>
  <conditionalFormatting sqref="C193">
    <cfRule type="duplicateValues" dxfId="295" priority="338"/>
    <cfRule type="duplicateValues" dxfId="294" priority="339"/>
  </conditionalFormatting>
  <conditionalFormatting sqref="C218">
    <cfRule type="duplicateValues" dxfId="293" priority="133"/>
  </conditionalFormatting>
  <conditionalFormatting sqref="M126">
    <cfRule type="containsText" dxfId="292" priority="1192" operator="containsText" text="HOV">
      <formula>NOT(ISERROR(SEARCH("HOV",M126)))</formula>
    </cfRule>
    <cfRule type="containsText" dxfId="291" priority="1194" operator="containsText" text="HSP">
      <formula>NOT(ISERROR(SEARCH("HSP",M126)))</formula>
    </cfRule>
    <cfRule type="containsText" dxfId="290" priority="1195" operator="containsText" text="HLS">
      <formula>NOT(ISERROR(SEARCH("HLS",M126)))</formula>
    </cfRule>
    <cfRule type="containsText" dxfId="289" priority="1196" operator="containsText" text="HOV">
      <formula>NOT(ISERROR(SEARCH("HOV",M126)))</formula>
    </cfRule>
  </conditionalFormatting>
  <conditionalFormatting sqref="M142">
    <cfRule type="containsText" dxfId="288" priority="1030" operator="containsText" text="HOV">
      <formula>NOT(ISERROR(SEARCH("HOV",M142)))</formula>
    </cfRule>
    <cfRule type="containsText" dxfId="287" priority="1032" operator="containsText" text="HSP">
      <formula>NOT(ISERROR(SEARCH("HSP",M142)))</formula>
    </cfRule>
    <cfRule type="containsText" dxfId="286" priority="1033" operator="containsText" text="HLS">
      <formula>NOT(ISERROR(SEARCH("HLS",M142)))</formula>
    </cfRule>
    <cfRule type="containsText" dxfId="285" priority="1034" operator="containsText" text="HOV">
      <formula>NOT(ISERROR(SEARCH("HOV",M142)))</formula>
    </cfRule>
  </conditionalFormatting>
  <conditionalFormatting sqref="M144">
    <cfRule type="containsText" dxfId="284" priority="1008" operator="containsText" text="HOV">
      <formula>NOT(ISERROR(SEARCH("HOV",M144)))</formula>
    </cfRule>
    <cfRule type="containsText" dxfId="283" priority="1010" operator="containsText" text="HSP">
      <formula>NOT(ISERROR(SEARCH("HSP",M144)))</formula>
    </cfRule>
    <cfRule type="containsText" dxfId="282" priority="1011" operator="containsText" text="HLS">
      <formula>NOT(ISERROR(SEARCH("HLS",M144)))</formula>
    </cfRule>
    <cfRule type="containsText" dxfId="281" priority="1012" operator="containsText" text="HOV">
      <formula>NOT(ISERROR(SEARCH("HOV",M144)))</formula>
    </cfRule>
  </conditionalFormatting>
  <conditionalFormatting sqref="M155">
    <cfRule type="containsText" dxfId="280" priority="860" operator="containsText" text="HOV">
      <formula>NOT(ISERROR(SEARCH("HOV",M155)))</formula>
    </cfRule>
    <cfRule type="containsText" dxfId="279" priority="862" operator="containsText" text="HSP">
      <formula>NOT(ISERROR(SEARCH("HSP",M155)))</formula>
    </cfRule>
    <cfRule type="containsText" dxfId="278" priority="863" operator="containsText" text="HLS">
      <formula>NOT(ISERROR(SEARCH("HLS",M155)))</formula>
    </cfRule>
    <cfRule type="containsText" dxfId="277" priority="864" operator="containsText" text="HOV">
      <formula>NOT(ISERROR(SEARCH("HOV",M155)))</formula>
    </cfRule>
  </conditionalFormatting>
  <conditionalFormatting sqref="M143:N143">
    <cfRule type="containsText" dxfId="276" priority="1019" operator="containsText" text="HOV">
      <formula>NOT(ISERROR(SEARCH("HOV",M143)))</formula>
    </cfRule>
    <cfRule type="containsText" dxfId="275" priority="1021" operator="containsText" text="HSP">
      <formula>NOT(ISERROR(SEARCH("HSP",M143)))</formula>
    </cfRule>
    <cfRule type="containsText" dxfId="274" priority="1022" operator="containsText" text="HLS">
      <formula>NOT(ISERROR(SEARCH("HLS",M143)))</formula>
    </cfRule>
    <cfRule type="containsText" dxfId="273" priority="1023" operator="containsText" text="HOV">
      <formula>NOT(ISERROR(SEARCH("HOV",M143)))</formula>
    </cfRule>
  </conditionalFormatting>
  <conditionalFormatting sqref="M145:N145">
    <cfRule type="containsText" dxfId="272" priority="997" operator="containsText" text="HOV">
      <formula>NOT(ISERROR(SEARCH("HOV",M145)))</formula>
    </cfRule>
    <cfRule type="containsText" dxfId="271" priority="999" operator="containsText" text="HSP">
      <formula>NOT(ISERROR(SEARCH("HSP",M145)))</formula>
    </cfRule>
    <cfRule type="containsText" dxfId="270" priority="1000" operator="containsText" text="HLS">
      <formula>NOT(ISERROR(SEARCH("HLS",M145)))</formula>
    </cfRule>
    <cfRule type="containsText" dxfId="269" priority="1001" operator="containsText" text="HOV">
      <formula>NOT(ISERROR(SEARCH("HOV",M145)))</formula>
    </cfRule>
  </conditionalFormatting>
  <conditionalFormatting sqref="M146:N147">
    <cfRule type="containsText" dxfId="268" priority="964" operator="containsText" text="HOV">
      <formula>NOT(ISERROR(SEARCH("HOV",M146)))</formula>
    </cfRule>
    <cfRule type="containsText" dxfId="267" priority="965" operator="containsText" text="HSP">
      <formula>NOT(ISERROR(SEARCH("HSP",M146)))</formula>
    </cfRule>
    <cfRule type="containsText" dxfId="266" priority="966" operator="containsText" text="HLS">
      <formula>NOT(ISERROR(SEARCH("HLS",M146)))</formula>
    </cfRule>
    <cfRule type="containsText" dxfId="265" priority="967" operator="containsText" text="HOV">
      <formula>NOT(ISERROR(SEARCH("HOV",M146)))</formula>
    </cfRule>
  </conditionalFormatting>
  <conditionalFormatting sqref="M150:N150">
    <cfRule type="containsText" dxfId="264" priority="923" operator="containsText" text="HOV">
      <formula>NOT(ISERROR(SEARCH("HOV",M150)))</formula>
    </cfRule>
    <cfRule type="containsText" dxfId="263" priority="924" operator="containsText" text="HSP">
      <formula>NOT(ISERROR(SEARCH("HSP",M150)))</formula>
    </cfRule>
    <cfRule type="containsText" dxfId="262" priority="925" operator="containsText" text="HLS">
      <formula>NOT(ISERROR(SEARCH("HLS",M150)))</formula>
    </cfRule>
    <cfRule type="containsText" dxfId="261" priority="926" operator="containsText" text="HOV">
      <formula>NOT(ISERROR(SEARCH("HOV",M150)))</formula>
    </cfRule>
  </conditionalFormatting>
  <conditionalFormatting sqref="M154:N154">
    <cfRule type="containsText" dxfId="260" priority="870" operator="containsText" text="HOV">
      <formula>NOT(ISERROR(SEARCH("HOV",M154)))</formula>
    </cfRule>
    <cfRule type="containsText" dxfId="259" priority="871" operator="containsText" text="HSP">
      <formula>NOT(ISERROR(SEARCH("HSP",M154)))</formula>
    </cfRule>
    <cfRule type="containsText" dxfId="258" priority="872" operator="containsText" text="HLS">
      <formula>NOT(ISERROR(SEARCH("HLS",M154)))</formula>
    </cfRule>
    <cfRule type="containsText" dxfId="257" priority="873" operator="containsText" text="HOV">
      <formula>NOT(ISERROR(SEARCH("HOV",M154)))</formula>
    </cfRule>
  </conditionalFormatting>
  <conditionalFormatting sqref="N86">
    <cfRule type="containsText" dxfId="256" priority="1551" operator="containsText" text="HOV">
      <formula>NOT(ISERROR(SEARCH("HOV",N86)))</formula>
    </cfRule>
    <cfRule type="containsText" dxfId="255" priority="1552" operator="containsText" text="HSP">
      <formula>NOT(ISERROR(SEARCH("HSP",N86)))</formula>
    </cfRule>
    <cfRule type="containsText" dxfId="254" priority="1553" operator="containsText" text="HLS">
      <formula>NOT(ISERROR(SEARCH("HLS",N86)))</formula>
    </cfRule>
    <cfRule type="containsText" dxfId="253" priority="1554" operator="containsText" text="HOV">
      <formula>NOT(ISERROR(SEARCH("HOV",N86)))</formula>
    </cfRule>
  </conditionalFormatting>
  <conditionalFormatting sqref="N88:N125">
    <cfRule type="containsText" dxfId="252" priority="1203" operator="containsText" text="HOV">
      <formula>NOT(ISERROR(SEARCH("HOV",N88)))</formula>
    </cfRule>
    <cfRule type="containsText" dxfId="251" priority="1204" operator="containsText" text="HSP">
      <formula>NOT(ISERROR(SEARCH("HSP",N88)))</formula>
    </cfRule>
    <cfRule type="containsText" dxfId="250" priority="1205" operator="containsText" text="HLS">
      <formula>NOT(ISERROR(SEARCH("HLS",N88)))</formula>
    </cfRule>
    <cfRule type="containsText" dxfId="249" priority="1206" operator="containsText" text="HOV">
      <formula>NOT(ISERROR(SEARCH("HOV",N88)))</formula>
    </cfRule>
  </conditionalFormatting>
  <conditionalFormatting sqref="N91:N147">
    <cfRule type="containsText" dxfId="248" priority="969" operator="containsText" text="STGO">
      <formula>NOT(ISERROR(SEARCH("STGO",N91)))</formula>
    </cfRule>
  </conditionalFormatting>
  <conditionalFormatting sqref="N127:N141">
    <cfRule type="containsText" dxfId="247" priority="1041" operator="containsText" text="HOV">
      <formula>NOT(ISERROR(SEARCH("HOV",N127)))</formula>
    </cfRule>
    <cfRule type="containsText" dxfId="246" priority="1043" operator="containsText" text="HSP">
      <formula>NOT(ISERROR(SEARCH("HSP",N127)))</formula>
    </cfRule>
    <cfRule type="containsText" dxfId="245" priority="1044" operator="containsText" text="HLS">
      <formula>NOT(ISERROR(SEARCH("HLS",N127)))</formula>
    </cfRule>
    <cfRule type="containsText" dxfId="244" priority="1045" operator="containsText" text="HOV">
      <formula>NOT(ISERROR(SEARCH("HOV",N127)))</formula>
    </cfRule>
  </conditionalFormatting>
  <conditionalFormatting sqref="N148:N149">
    <cfRule type="containsText" dxfId="243" priority="943" operator="containsText" text="HOV">
      <formula>NOT(ISERROR(SEARCH("HOV",N148)))</formula>
    </cfRule>
    <cfRule type="containsText" dxfId="242" priority="944" operator="containsText" text="HSP">
      <formula>NOT(ISERROR(SEARCH("HSP",N148)))</formula>
    </cfRule>
    <cfRule type="containsText" dxfId="241" priority="945" operator="containsText" text="HLS">
      <formula>NOT(ISERROR(SEARCH("HLS",N148)))</formula>
    </cfRule>
    <cfRule type="containsText" dxfId="240" priority="946" operator="containsText" text="HOV">
      <formula>NOT(ISERROR(SEARCH("HOV",N148)))</formula>
    </cfRule>
  </conditionalFormatting>
  <conditionalFormatting sqref="N148:N150">
    <cfRule type="containsText" dxfId="239" priority="928" operator="containsText" text="STGO">
      <formula>NOT(ISERROR(SEARCH("STGO",N148)))</formula>
    </cfRule>
  </conditionalFormatting>
  <conditionalFormatting sqref="N151:N153">
    <cfRule type="containsText" dxfId="238" priority="890" operator="containsText" text="HOV">
      <formula>NOT(ISERROR(SEARCH("HOV",N151)))</formula>
    </cfRule>
    <cfRule type="containsText" dxfId="237" priority="891" operator="containsText" text="HSP">
      <formula>NOT(ISERROR(SEARCH("HSP",N151)))</formula>
    </cfRule>
    <cfRule type="containsText" dxfId="236" priority="892" operator="containsText" text="HLS">
      <formula>NOT(ISERROR(SEARCH("HLS",N151)))</formula>
    </cfRule>
    <cfRule type="containsText" dxfId="235" priority="893" operator="containsText" text="HOV">
      <formula>NOT(ISERROR(SEARCH("HOV",N151)))</formula>
    </cfRule>
  </conditionalFormatting>
  <conditionalFormatting sqref="N151:N154">
    <cfRule type="containsText" dxfId="234" priority="875" operator="containsText" text="STGO">
      <formula>NOT(ISERROR(SEARCH("STGO",N151)))</formula>
    </cfRule>
  </conditionalFormatting>
  <conditionalFormatting sqref="N155:N157">
    <cfRule type="containsText" dxfId="233" priority="834" operator="containsText" text="STGO">
      <formula>NOT(ISERROR(SEARCH("STGO",N155)))</formula>
    </cfRule>
  </conditionalFormatting>
  <conditionalFormatting sqref="N156:N157">
    <cfRule type="containsText" dxfId="232" priority="836" operator="containsText" text="HOV">
      <formula>NOT(ISERROR(SEARCH("HOV",N156)))</formula>
    </cfRule>
    <cfRule type="containsText" dxfId="231" priority="837" operator="containsText" text="HSP">
      <formula>NOT(ISERROR(SEARCH("HSP",N156)))</formula>
    </cfRule>
    <cfRule type="containsText" dxfId="230" priority="838" operator="containsText" text="HLS">
      <formula>NOT(ISERROR(SEARCH("HLS",N156)))</formula>
    </cfRule>
    <cfRule type="containsText" dxfId="229" priority="839" operator="containsText" text="HOV">
      <formula>NOT(ISERROR(SEARCH("HOV",N156)))</formula>
    </cfRule>
  </conditionalFormatting>
  <conditionalFormatting sqref="N161:N162">
    <cfRule type="containsText" dxfId="228" priority="770" operator="containsText" text="HOV">
      <formula>NOT(ISERROR(SEARCH("HOV",N161)))</formula>
    </cfRule>
    <cfRule type="containsText" dxfId="227" priority="771" operator="containsText" text="HSP">
      <formula>NOT(ISERROR(SEARCH("HSP",N161)))</formula>
    </cfRule>
    <cfRule type="containsText" dxfId="226" priority="772" operator="containsText" text="HLS">
      <formula>NOT(ISERROR(SEARCH("HLS",N161)))</formula>
    </cfRule>
    <cfRule type="containsText" dxfId="225" priority="773" operator="containsText" text="HOV">
      <formula>NOT(ISERROR(SEARCH("HOV",N161)))</formula>
    </cfRule>
  </conditionalFormatting>
  <conditionalFormatting sqref="N183:N189">
    <cfRule type="containsText" dxfId="224" priority="383" operator="containsText" text="HOV">
      <formula>NOT(ISERROR(SEARCH("HOV",N183)))</formula>
    </cfRule>
    <cfRule type="containsText" dxfId="223" priority="385" operator="containsText" text="HSP">
      <formula>NOT(ISERROR(SEARCH("HSP",N183)))</formula>
    </cfRule>
  </conditionalFormatting>
  <conditionalFormatting sqref="N185:N187">
    <cfRule type="containsText" dxfId="222" priority="416" operator="containsText" text="HLS">
      <formula>NOT(ISERROR(SEARCH("HLS",N185)))</formula>
    </cfRule>
  </conditionalFormatting>
  <conditionalFormatting sqref="N187">
    <cfRule type="containsText" dxfId="221" priority="417" operator="containsText" text="HOV">
      <formula>NOT(ISERROR(SEARCH("HOV",N187)))</formula>
    </cfRule>
  </conditionalFormatting>
  <conditionalFormatting sqref="N189">
    <cfRule type="containsText" dxfId="220" priority="386" operator="containsText" text="HLS">
      <formula>NOT(ISERROR(SEARCH("HLS",N189)))</formula>
    </cfRule>
    <cfRule type="containsText" dxfId="219" priority="387" operator="containsText" text="HOV">
      <formula>NOT(ISERROR(SEARCH("HOV",N189)))</formula>
    </cfRule>
  </conditionalFormatting>
  <conditionalFormatting sqref="N214:N219">
    <cfRule type="containsText" dxfId="218" priority="112" operator="containsText" text="HOV">
      <formula>NOT(ISERROR(SEARCH("HOV",N214)))</formula>
    </cfRule>
    <cfRule type="containsText" dxfId="217" priority="113" operator="containsText" text="HSP">
      <formula>NOT(ISERROR(SEARCH("HSP",N214)))</formula>
    </cfRule>
    <cfRule type="containsText" dxfId="216" priority="114" operator="containsText" text="HLS">
      <formula>NOT(ISERROR(SEARCH("HLS",N214)))</formula>
    </cfRule>
    <cfRule type="containsText" dxfId="215" priority="115" operator="containsText" text="HOV">
      <formula>NOT(ISERROR(SEARCH("HOV",N214)))</formula>
    </cfRule>
  </conditionalFormatting>
  <conditionalFormatting sqref="N160:O160">
    <cfRule type="containsText" dxfId="214" priority="792" operator="containsText" text="HOV">
      <formula>NOT(ISERROR(SEARCH("HOV",N160)))</formula>
    </cfRule>
    <cfRule type="containsText" dxfId="213" priority="793" operator="containsText" text="HSP">
      <formula>NOT(ISERROR(SEARCH("HSP",N160)))</formula>
    </cfRule>
    <cfRule type="containsText" dxfId="212" priority="794" operator="containsText" text="HLS">
      <formula>NOT(ISERROR(SEARCH("HLS",N160)))</formula>
    </cfRule>
    <cfRule type="containsText" dxfId="211" priority="795" operator="containsText" text="HOV">
      <formula>NOT(ISERROR(SEARCH("HOV",N160)))</formula>
    </cfRule>
  </conditionalFormatting>
  <conditionalFormatting sqref="N164:O166">
    <cfRule type="containsText" dxfId="210" priority="704" operator="containsText" text="HOV">
      <formula>NOT(ISERROR(SEARCH("HOV",N164)))</formula>
    </cfRule>
    <cfRule type="containsText" dxfId="209" priority="705" operator="containsText" text="HSP">
      <formula>NOT(ISERROR(SEARCH("HSP",N164)))</formula>
    </cfRule>
    <cfRule type="containsText" dxfId="208" priority="706" operator="containsText" text="HLS">
      <formula>NOT(ISERROR(SEARCH("HLS",N164)))</formula>
    </cfRule>
    <cfRule type="containsText" dxfId="207" priority="707" operator="containsText" text="HOV">
      <formula>NOT(ISERROR(SEARCH("HOV",N164)))</formula>
    </cfRule>
  </conditionalFormatting>
  <conditionalFormatting sqref="N180:O182">
    <cfRule type="containsText" dxfId="206" priority="504" operator="containsText" text="HOV">
      <formula>NOT(ISERROR(SEARCH("HOV",N180)))</formula>
    </cfRule>
    <cfRule type="containsText" dxfId="205" priority="506" operator="containsText" text="HSP">
      <formula>NOT(ISERROR(SEARCH("HSP",N180)))</formula>
    </cfRule>
    <cfRule type="containsText" dxfId="204" priority="507" operator="containsText" text="HLS">
      <formula>NOT(ISERROR(SEARCH("HLS",N180)))</formula>
    </cfRule>
    <cfRule type="containsText" dxfId="203" priority="508" operator="containsText" text="HOV">
      <formula>NOT(ISERROR(SEARCH("HOV",N180)))</formula>
    </cfRule>
  </conditionalFormatting>
  <conditionalFormatting sqref="N183:O184">
    <cfRule type="containsText" dxfId="202" priority="465" operator="containsText" text="HLS">
      <formula>NOT(ISERROR(SEARCH("HLS",N183)))</formula>
    </cfRule>
    <cfRule type="containsText" dxfId="201" priority="466" operator="containsText" text="HOV">
      <formula>NOT(ISERROR(SEARCH("HOV",N183)))</formula>
    </cfRule>
  </conditionalFormatting>
  <conditionalFormatting sqref="N185:O186">
    <cfRule type="containsText" dxfId="200" priority="426" operator="containsText" text="HOV">
      <formula>NOT(ISERROR(SEARCH("HOV",N185)))</formula>
    </cfRule>
  </conditionalFormatting>
  <conditionalFormatting sqref="N188:O188">
    <cfRule type="containsText" dxfId="199" priority="395" operator="containsText" text="HLS">
      <formula>NOT(ISERROR(SEARCH("HLS",N188)))</formula>
    </cfRule>
    <cfRule type="containsText" dxfId="198" priority="396" operator="containsText" text="HOV">
      <formula>NOT(ISERROR(SEARCH("HOV",N188)))</formula>
    </cfRule>
  </conditionalFormatting>
  <conditionalFormatting sqref="N193:O193">
    <cfRule type="containsText" dxfId="197" priority="325" operator="containsText" text="HOV">
      <formula>NOT(ISERROR(SEARCH("HOV",N193)))</formula>
    </cfRule>
    <cfRule type="containsText" dxfId="196" priority="327" operator="containsText" text="HSP">
      <formula>NOT(ISERROR(SEARCH("HSP",N193)))</formula>
    </cfRule>
    <cfRule type="containsText" dxfId="195" priority="328" operator="containsText" text="HLS">
      <formula>NOT(ISERROR(SEARCH("HLS",N193)))</formula>
    </cfRule>
    <cfRule type="containsText" dxfId="194" priority="329" operator="containsText" text="HOV">
      <formula>NOT(ISERROR(SEARCH("HOV",N193)))</formula>
    </cfRule>
  </conditionalFormatting>
  <conditionalFormatting sqref="N206:O207">
    <cfRule type="containsText" dxfId="193" priority="217" operator="containsText" text="HOV">
      <formula>NOT(ISERROR(SEARCH("HOV",N206)))</formula>
    </cfRule>
    <cfRule type="containsText" dxfId="192" priority="218" operator="containsText" text="HSP">
      <formula>NOT(ISERROR(SEARCH("HSP",N206)))</formula>
    </cfRule>
    <cfRule type="containsText" dxfId="191" priority="219" operator="containsText" text="HLS">
      <formula>NOT(ISERROR(SEARCH("HLS",N206)))</formula>
    </cfRule>
    <cfRule type="containsText" dxfId="190" priority="220" operator="containsText" text="HOV">
      <formula>NOT(ISERROR(SEARCH("HOV",N206)))</formula>
    </cfRule>
  </conditionalFormatting>
  <conditionalFormatting sqref="N221:O221">
    <cfRule type="containsText" dxfId="189" priority="87" operator="containsText" text="HOV">
      <formula>NOT(ISERROR(SEARCH("HOV",N221)))</formula>
    </cfRule>
    <cfRule type="containsText" dxfId="188" priority="88" operator="containsText" text="HSP">
      <formula>NOT(ISERROR(SEARCH("HSP",N221)))</formula>
    </cfRule>
    <cfRule type="containsText" dxfId="187" priority="89" operator="containsText" text="HLS">
      <formula>NOT(ISERROR(SEARCH("HLS",N221)))</formula>
    </cfRule>
    <cfRule type="containsText" dxfId="186" priority="90" operator="containsText" text="HOV">
      <formula>NOT(ISERROR(SEARCH("HOV",N221)))</formula>
    </cfRule>
  </conditionalFormatting>
  <conditionalFormatting sqref="O158:O159">
    <cfRule type="containsText" dxfId="185" priority="812" operator="containsText" text="HOV">
      <formula>NOT(ISERROR(SEARCH("HOV",O158)))</formula>
    </cfRule>
    <cfRule type="containsText" dxfId="184" priority="813" operator="containsText" text="HSP">
      <formula>NOT(ISERROR(SEARCH("HSP",O158)))</formula>
    </cfRule>
    <cfRule type="containsText" dxfId="183" priority="814" operator="containsText" text="HLS">
      <formula>NOT(ISERROR(SEARCH("HLS",O158)))</formula>
    </cfRule>
    <cfRule type="containsText" dxfId="182" priority="815" operator="containsText" text="HOV">
      <formula>NOT(ISERROR(SEARCH("HOV",O158)))</formula>
    </cfRule>
  </conditionalFormatting>
  <conditionalFormatting sqref="O158:O160">
    <cfRule type="containsText" dxfId="181" priority="797" operator="containsText" text="STGO">
      <formula>NOT(ISERROR(SEARCH("STGO",O158)))</formula>
    </cfRule>
  </conditionalFormatting>
  <conditionalFormatting sqref="O161:O166">
    <cfRule type="containsText" dxfId="180" priority="709" operator="containsText" text="STGO">
      <formula>NOT(ISERROR(SEARCH("STGO",O161)))</formula>
    </cfRule>
  </conditionalFormatting>
  <conditionalFormatting sqref="O163">
    <cfRule type="containsText" dxfId="179" priority="758" operator="containsText" text="HOV">
      <formula>NOT(ISERROR(SEARCH("HOV",O163)))</formula>
    </cfRule>
    <cfRule type="containsText" dxfId="178" priority="759" operator="containsText" text="HSP">
      <formula>NOT(ISERROR(SEARCH("HSP",O163)))</formula>
    </cfRule>
    <cfRule type="containsText" dxfId="177" priority="760" operator="containsText" text="HLS">
      <formula>NOT(ISERROR(SEARCH("HLS",O163)))</formula>
    </cfRule>
    <cfRule type="containsText" dxfId="176" priority="761" operator="containsText" text="HOV">
      <formula>NOT(ISERROR(SEARCH("HOV",O163)))</formula>
    </cfRule>
  </conditionalFormatting>
  <conditionalFormatting sqref="O167:O179">
    <cfRule type="containsText" dxfId="175" priority="551" operator="containsText" text="HOV">
      <formula>NOT(ISERROR(SEARCH("HOV",O167)))</formula>
    </cfRule>
    <cfRule type="containsText" dxfId="174" priority="552" operator="containsText" text="HSP">
      <formula>NOT(ISERROR(SEARCH("HSP",O167)))</formula>
    </cfRule>
    <cfRule type="containsText" dxfId="173" priority="553" operator="containsText" text="HLS">
      <formula>NOT(ISERROR(SEARCH("HLS",O167)))</formula>
    </cfRule>
    <cfRule type="containsText" dxfId="172" priority="554" operator="containsText" text="HOV">
      <formula>NOT(ISERROR(SEARCH("HOV",O167)))</formula>
    </cfRule>
  </conditionalFormatting>
  <conditionalFormatting sqref="O167:O181">
    <cfRule type="containsText" dxfId="171" priority="519" operator="containsText" text="STGO">
      <formula>NOT(ISERROR(SEARCH("STGO",O167)))</formula>
    </cfRule>
  </conditionalFormatting>
  <conditionalFormatting sqref="O182">
    <cfRule type="containsText" dxfId="170" priority="499" operator="containsText" text="HLS">
      <formula>NOT(ISERROR(SEARCH("HLS",O182)))</formula>
    </cfRule>
    <cfRule type="containsText" dxfId="169" priority="500" operator="containsText" text="HOV">
      <formula>NOT(ISERROR(SEARCH("HOV",O182)))</formula>
    </cfRule>
    <cfRule type="containsText" dxfId="168" priority="502" operator="containsText" text="STGO">
      <formula>NOT(ISERROR(SEARCH("STGO",O182)))</formula>
    </cfRule>
  </conditionalFormatting>
  <conditionalFormatting sqref="O182:O184">
    <cfRule type="containsText" dxfId="167" priority="463" operator="containsText" text="HOV">
      <formula>NOT(ISERROR(SEARCH("HOV",O182)))</formula>
    </cfRule>
    <cfRule type="containsText" dxfId="166" priority="464" operator="containsText" text="HSP">
      <formula>NOT(ISERROR(SEARCH("HSP",O182)))</formula>
    </cfRule>
  </conditionalFormatting>
  <conditionalFormatting sqref="O183:O184">
    <cfRule type="containsText" dxfId="165" priority="468" operator="containsText" text="STGO">
      <formula>NOT(ISERROR(SEARCH("STGO",O183)))</formula>
    </cfRule>
  </conditionalFormatting>
  <conditionalFormatting sqref="O184">
    <cfRule type="containsText" dxfId="164" priority="462" operator="containsText" text="HOV">
      <formula>NOT(ISERROR(SEARCH("HOV",O184)))</formula>
    </cfRule>
  </conditionalFormatting>
  <conditionalFormatting sqref="O184:O186">
    <cfRule type="containsText" dxfId="163" priority="423" operator="containsText" text="HOV">
      <formula>NOT(ISERROR(SEARCH("HOV",O184)))</formula>
    </cfRule>
    <cfRule type="containsText" dxfId="162" priority="424" operator="containsText" text="HSP">
      <formula>NOT(ISERROR(SEARCH("HSP",O184)))</formula>
    </cfRule>
    <cfRule type="containsText" dxfId="161" priority="425" operator="containsText" text="HLS">
      <formula>NOT(ISERROR(SEARCH("HLS",O184)))</formula>
    </cfRule>
  </conditionalFormatting>
  <conditionalFormatting sqref="O185:O186">
    <cfRule type="containsText" dxfId="160" priority="428" operator="containsText" text="STGO">
      <formula>NOT(ISERROR(SEARCH("STGO",O185)))</formula>
    </cfRule>
  </conditionalFormatting>
  <conditionalFormatting sqref="O187:O188">
    <cfRule type="containsText" dxfId="159" priority="398" operator="containsText" text="STGO">
      <formula>NOT(ISERROR(SEARCH("STGO",O187)))</formula>
    </cfRule>
  </conditionalFormatting>
  <conditionalFormatting sqref="O188:O192">
    <cfRule type="containsText" dxfId="158" priority="343" operator="containsText" text="HOV">
      <formula>NOT(ISERROR(SEARCH("HOV",O188)))</formula>
    </cfRule>
    <cfRule type="containsText" dxfId="157" priority="344" operator="containsText" text="HSP">
      <formula>NOT(ISERROR(SEARCH("HSP",O188)))</formula>
    </cfRule>
  </conditionalFormatting>
  <conditionalFormatting sqref="O189">
    <cfRule type="containsText" dxfId="156" priority="381" operator="containsText" text="STGO">
      <formula>NOT(ISERROR(SEARCH("STGO",O189)))</formula>
    </cfRule>
  </conditionalFormatting>
  <conditionalFormatting sqref="O189:O192">
    <cfRule type="containsText" dxfId="155" priority="345" operator="containsText" text="HLS">
      <formula>NOT(ISERROR(SEARCH("HLS",O189)))</formula>
    </cfRule>
    <cfRule type="containsText" dxfId="154" priority="346" operator="containsText" text="HOV">
      <formula>NOT(ISERROR(SEARCH("HOV",O189)))</formula>
    </cfRule>
  </conditionalFormatting>
  <conditionalFormatting sqref="O190:O193">
    <cfRule type="containsText" dxfId="153" priority="337" operator="containsText" text="STGO">
      <formula>NOT(ISERROR(SEARCH("STGO",O190)))</formula>
    </cfRule>
  </conditionalFormatting>
  <conditionalFormatting sqref="O194:O202">
    <cfRule type="containsText" dxfId="152" priority="271" operator="containsText" text="STGO">
      <formula>NOT(ISERROR(SEARCH("STGO",O194)))</formula>
    </cfRule>
  </conditionalFormatting>
  <conditionalFormatting sqref="O202">
    <cfRule type="containsText" dxfId="151" priority="267" operator="containsText" text="HOV">
      <formula>NOT(ISERROR(SEARCH("HOV",O202)))</formula>
    </cfRule>
    <cfRule type="containsText" dxfId="150" priority="268" operator="containsText" text="HSP">
      <formula>NOT(ISERROR(SEARCH("HSP",O202)))</formula>
    </cfRule>
    <cfRule type="containsText" dxfId="149" priority="269" operator="containsText" text="HLS">
      <formula>NOT(ISERROR(SEARCH("HLS",O202)))</formula>
    </cfRule>
    <cfRule type="containsText" dxfId="148" priority="270" operator="containsText" text="HOV">
      <formula>NOT(ISERROR(SEARCH("HOV",O202)))</formula>
    </cfRule>
  </conditionalFormatting>
  <conditionalFormatting sqref="O203:O207">
    <cfRule type="containsText" dxfId="147" priority="231" operator="containsText" text="STGO">
      <formula>NOT(ISERROR(SEARCH("STGO",O203)))</formula>
    </cfRule>
  </conditionalFormatting>
  <conditionalFormatting sqref="O208">
    <cfRule type="containsText" dxfId="146" priority="208" operator="containsText" text="HOV">
      <formula>NOT(ISERROR(SEARCH("HOV",O208)))</formula>
    </cfRule>
    <cfRule type="containsText" dxfId="145" priority="209" operator="containsText" text="HSP">
      <formula>NOT(ISERROR(SEARCH("HSP",O208)))</formula>
    </cfRule>
    <cfRule type="containsText" dxfId="144" priority="210" operator="containsText" text="HLS">
      <formula>NOT(ISERROR(SEARCH("HLS",O208)))</formula>
    </cfRule>
    <cfRule type="containsText" dxfId="143" priority="211" operator="containsText" text="HOV">
      <formula>NOT(ISERROR(SEARCH("HOV",O208)))</formula>
    </cfRule>
  </conditionalFormatting>
  <conditionalFormatting sqref="O209:O219">
    <cfRule type="containsText" dxfId="142" priority="122" operator="containsText" text="STGO">
      <formula>NOT(ISERROR(SEARCH("STGO",O209)))</formula>
    </cfRule>
  </conditionalFormatting>
  <conditionalFormatting sqref="O219">
    <cfRule type="containsText" dxfId="141" priority="108" operator="containsText" text="HOV">
      <formula>NOT(ISERROR(SEARCH("HOV",O219)))</formula>
    </cfRule>
    <cfRule type="containsText" dxfId="140" priority="109" operator="containsText" text="HSP">
      <formula>NOT(ISERROR(SEARCH("HSP",O219)))</formula>
    </cfRule>
    <cfRule type="containsText" dxfId="139" priority="110" operator="containsText" text="HLS">
      <formula>NOT(ISERROR(SEARCH("HLS",O219)))</formula>
    </cfRule>
    <cfRule type="containsText" dxfId="138" priority="111" operator="containsText" text="HOV">
      <formula>NOT(ISERROR(SEARCH("HOV",O219)))</formula>
    </cfRule>
  </conditionalFormatting>
  <conditionalFormatting sqref="O220:O221">
    <cfRule type="containsText" dxfId="137" priority="96" operator="containsText" text="STGO">
      <formula>NOT(ISERROR(SEARCH("STGO",O220)))</formula>
    </cfRule>
  </conditionalFormatting>
  <conditionalFormatting sqref="O222:O223">
    <cfRule type="containsText" dxfId="136" priority="80" operator="containsText" text="STGO">
      <formula>NOT(ISERROR(SEARCH("STGO",O222)))</formula>
    </cfRule>
  </conditionalFormatting>
  <conditionalFormatting sqref="Q126">
    <cfRule type="containsText" dxfId="135" priority="1193" operator="containsText" text="CONTACTAR ">
      <formula>NOT(ISERROR(SEARCH("CONTACTAR ",Q126)))</formula>
    </cfRule>
  </conditionalFormatting>
  <conditionalFormatting sqref="Q141:Q147">
    <cfRule type="containsText" dxfId="134" priority="972" operator="containsText" text="CONTACTAR ">
      <formula>NOT(ISERROR(SEARCH("CONTACTAR ",Q141)))</formula>
    </cfRule>
  </conditionalFormatting>
  <conditionalFormatting sqref="Q150">
    <cfRule type="containsText" dxfId="133" priority="931" operator="containsText" text="CONTACTAR ">
      <formula>NOT(ISERROR(SEARCH("CONTACTAR ",Q150)))</formula>
    </cfRule>
  </conditionalFormatting>
  <conditionalFormatting sqref="Q154:Q155">
    <cfRule type="containsText" dxfId="132" priority="861" operator="containsText" text="CONTACTAR ">
      <formula>NOT(ISERROR(SEARCH("CONTACTAR ",Q154)))</formula>
    </cfRule>
  </conditionalFormatting>
  <conditionalFormatting sqref="R90:R91">
    <cfRule type="containsText" dxfId="131" priority="1547" operator="containsText" text="vigente">
      <formula>NOT(ISERROR(SEARCH("vigente",R90)))</formula>
    </cfRule>
    <cfRule type="containsText" dxfId="130" priority="1548" operator="containsText" text="por vencer">
      <formula>NOT(ISERROR(SEARCH("por vencer",R90)))</formula>
    </cfRule>
    <cfRule type="containsText" dxfId="129" priority="1549" operator="containsText" text="vencido">
      <formula>NOT(ISERROR(SEARCH("vencido",R90)))</formula>
    </cfRule>
  </conditionalFormatting>
  <conditionalFormatting sqref="R160:R161">
    <cfRule type="containsText" dxfId="128" priority="783" operator="containsText" text="CONTACTAR ">
      <formula>NOT(ISERROR(SEARCH("CONTACTAR ",R160)))</formula>
    </cfRule>
  </conditionalFormatting>
  <conditionalFormatting sqref="R164:R166">
    <cfRule type="containsText" dxfId="127" priority="712" operator="containsText" text="CONTACTAR ">
      <formula>NOT(ISERROR(SEARCH("CONTACTAR ",R164)))</formula>
    </cfRule>
  </conditionalFormatting>
  <conditionalFormatting sqref="R180:R184">
    <cfRule type="containsText" dxfId="126" priority="471" operator="containsText" text="CONTACTAR ">
      <formula>NOT(ISERROR(SEARCH("CONTACTAR ",R180)))</formula>
    </cfRule>
  </conditionalFormatting>
  <conditionalFormatting sqref="R185">
    <cfRule type="containsText" dxfId="125" priority="443" operator="containsText" text="HOV">
      <formula>NOT(ISERROR(SEARCH("HOV",R185)))</formula>
    </cfRule>
    <cfRule type="containsText" dxfId="124" priority="444" operator="containsText" text="HSP">
      <formula>NOT(ISERROR(SEARCH("HSP",R185)))</formula>
    </cfRule>
    <cfRule type="containsText" dxfId="123" priority="445" operator="containsText" text="HLS">
      <formula>NOT(ISERROR(SEARCH("HLS",R185)))</formula>
    </cfRule>
    <cfRule type="containsText" dxfId="122" priority="446" operator="containsText" text="HOV">
      <formula>NOT(ISERROR(SEARCH("HOV",R185)))</formula>
    </cfRule>
  </conditionalFormatting>
  <conditionalFormatting sqref="R187:R189">
    <cfRule type="containsText" dxfId="121" priority="384" operator="containsText" text="CONTACTAR ">
      <formula>NOT(ISERROR(SEARCH("CONTACTAR ",R187)))</formula>
    </cfRule>
  </conditionalFormatting>
  <conditionalFormatting sqref="R193">
    <cfRule type="containsText" dxfId="120" priority="326" operator="containsText" text="CONTACTAR ">
      <formula>NOT(ISERROR(SEARCH("CONTACTAR ",R193)))</formula>
    </cfRule>
  </conditionalFormatting>
  <conditionalFormatting sqref="R206:R207">
    <cfRule type="containsText" dxfId="119" priority="224" operator="containsText" text="CONTACTAR ">
      <formula>NOT(ISERROR(SEARCH("CONTACTAR ",R206)))</formula>
    </cfRule>
  </conditionalFormatting>
  <conditionalFormatting sqref="R215:R219">
    <cfRule type="containsText" dxfId="118" priority="118" operator="containsText" text="CONTACTAR ">
      <formula>NOT(ISERROR(SEARCH("CONTACTAR ",R215)))</formula>
    </cfRule>
  </conditionalFormatting>
  <conditionalFormatting sqref="R221">
    <cfRule type="containsText" dxfId="117" priority="98" operator="containsText" text="CONTACTAR ">
      <formula>NOT(ISERROR(SEARCH("CONTACTAR ",R221)))</formula>
    </cfRule>
  </conditionalFormatting>
  <conditionalFormatting sqref="W94:W157">
    <cfRule type="containsText" dxfId="116" priority="840" operator="containsText" text="vigente">
      <formula>NOT(ISERROR(SEARCH("vigente",W94)))</formula>
    </cfRule>
    <cfRule type="containsText" dxfId="115" priority="841" operator="containsText" text="por vencer">
      <formula>NOT(ISERROR(SEARCH("por vencer",W94)))</formula>
    </cfRule>
    <cfRule type="containsText" dxfId="114" priority="842" operator="containsText" text="vencido">
      <formula>NOT(ISERROR(SEARCH("vencido",W94)))</formula>
    </cfRule>
  </conditionalFormatting>
  <conditionalFormatting sqref="X158:X223">
    <cfRule type="containsText" dxfId="113" priority="77" operator="containsText" text="vigente">
      <formula>NOT(ISERROR(SEARCH("vigente",X158)))</formula>
    </cfRule>
    <cfRule type="containsText" dxfId="112" priority="78" operator="containsText" text="por vencer">
      <formula>NOT(ISERROR(SEARCH("por vencer",X158)))</formula>
    </cfRule>
    <cfRule type="containsText" dxfId="111" priority="79" operator="containsText" text="vencido">
      <formula>NOT(ISERROR(SEARCH("vencido",X158)))</formula>
    </cfRule>
  </conditionalFormatting>
  <conditionalFormatting sqref="A224">
    <cfRule type="containsText" dxfId="110" priority="69" operator="containsText" text="GES ">
      <formula>NOT(ISERROR(SEARCH("GES ",A224)))</formula>
    </cfRule>
    <cfRule type="containsText" dxfId="109" priority="70" operator="containsText" text="NO GES">
      <formula>NOT(ISERROR(SEARCH("NO GES",A224)))</formula>
    </cfRule>
  </conditionalFormatting>
  <conditionalFormatting sqref="O224">
    <cfRule type="containsText" dxfId="108" priority="74" operator="containsText" text="STGO">
      <formula>NOT(ISERROR(SEARCH("STGO",O224)))</formula>
    </cfRule>
  </conditionalFormatting>
  <conditionalFormatting sqref="X224">
    <cfRule type="containsText" dxfId="107" priority="71" operator="containsText" text="vigente">
      <formula>NOT(ISERROR(SEARCH("vigente",X224)))</formula>
    </cfRule>
    <cfRule type="containsText" dxfId="106" priority="72" operator="containsText" text="por vencer">
      <formula>NOT(ISERROR(SEARCH("por vencer",X224)))</formula>
    </cfRule>
    <cfRule type="containsText" dxfId="105" priority="73" operator="containsText" text="vencido">
      <formula>NOT(ISERROR(SEARCH("vencido",X224)))</formula>
    </cfRule>
  </conditionalFormatting>
  <conditionalFormatting sqref="A225">
    <cfRule type="containsText" dxfId="104" priority="63" operator="containsText" text="GES ">
      <formula>NOT(ISERROR(SEARCH("GES ",A225)))</formula>
    </cfRule>
    <cfRule type="containsText" dxfId="103" priority="64" operator="containsText" text="NO GES">
      <formula>NOT(ISERROR(SEARCH("NO GES",A225)))</formula>
    </cfRule>
  </conditionalFormatting>
  <conditionalFormatting sqref="O225">
    <cfRule type="containsText" dxfId="102" priority="68" operator="containsText" text="STGO">
      <formula>NOT(ISERROR(SEARCH("STGO",O225)))</formula>
    </cfRule>
  </conditionalFormatting>
  <conditionalFormatting sqref="X225">
    <cfRule type="containsText" dxfId="101" priority="65" operator="containsText" text="vigente">
      <formula>NOT(ISERROR(SEARCH("vigente",X225)))</formula>
    </cfRule>
    <cfRule type="containsText" dxfId="100" priority="66" operator="containsText" text="por vencer">
      <formula>NOT(ISERROR(SEARCH("por vencer",X225)))</formula>
    </cfRule>
    <cfRule type="containsText" dxfId="99" priority="67" operator="containsText" text="vencido">
      <formula>NOT(ISERROR(SEARCH("vencido",X225)))</formula>
    </cfRule>
  </conditionalFormatting>
  <conditionalFormatting sqref="A226">
    <cfRule type="containsText" dxfId="98" priority="57" operator="containsText" text="GES ">
      <formula>NOT(ISERROR(SEARCH("GES ",A226)))</formula>
    </cfRule>
    <cfRule type="containsText" dxfId="97" priority="58" operator="containsText" text="NO GES">
      <formula>NOT(ISERROR(SEARCH("NO GES",A226)))</formula>
    </cfRule>
  </conditionalFormatting>
  <conditionalFormatting sqref="O226">
    <cfRule type="containsText" dxfId="96" priority="62" operator="containsText" text="STGO">
      <formula>NOT(ISERROR(SEARCH("STGO",O226)))</formula>
    </cfRule>
  </conditionalFormatting>
  <conditionalFormatting sqref="X226">
    <cfRule type="containsText" dxfId="95" priority="59" operator="containsText" text="vigente">
      <formula>NOT(ISERROR(SEARCH("vigente",X226)))</formula>
    </cfRule>
    <cfRule type="containsText" dxfId="94" priority="60" operator="containsText" text="por vencer">
      <formula>NOT(ISERROR(SEARCH("por vencer",X226)))</formula>
    </cfRule>
    <cfRule type="containsText" dxfId="93" priority="61" operator="containsText" text="vencido">
      <formula>NOT(ISERROR(SEARCH("vencido",X226)))</formula>
    </cfRule>
  </conditionalFormatting>
  <conditionalFormatting sqref="A227">
    <cfRule type="containsText" dxfId="92" priority="51" operator="containsText" text="GES ">
      <formula>NOT(ISERROR(SEARCH("GES ",A227)))</formula>
    </cfRule>
    <cfRule type="containsText" dxfId="91" priority="52" operator="containsText" text="NO GES">
      <formula>NOT(ISERROR(SEARCH("NO GES",A227)))</formula>
    </cfRule>
  </conditionalFormatting>
  <conditionalFormatting sqref="O227">
    <cfRule type="containsText" dxfId="90" priority="56" operator="containsText" text="STGO">
      <formula>NOT(ISERROR(SEARCH("STGO",O227)))</formula>
    </cfRule>
  </conditionalFormatting>
  <conditionalFormatting sqref="X227">
    <cfRule type="containsText" dxfId="89" priority="53" operator="containsText" text="vigente">
      <formula>NOT(ISERROR(SEARCH("vigente",X227)))</formula>
    </cfRule>
    <cfRule type="containsText" dxfId="88" priority="54" operator="containsText" text="por vencer">
      <formula>NOT(ISERROR(SEARCH("por vencer",X227)))</formula>
    </cfRule>
    <cfRule type="containsText" dxfId="87" priority="55" operator="containsText" text="vencido">
      <formula>NOT(ISERROR(SEARCH("vencido",X227)))</formula>
    </cfRule>
  </conditionalFormatting>
  <conditionalFormatting sqref="A228">
    <cfRule type="containsText" dxfId="86" priority="45" operator="containsText" text="GES ">
      <formula>NOT(ISERROR(SEARCH("GES ",A228)))</formula>
    </cfRule>
    <cfRule type="containsText" dxfId="85" priority="46" operator="containsText" text="NO GES">
      <formula>NOT(ISERROR(SEARCH("NO GES",A228)))</formula>
    </cfRule>
  </conditionalFormatting>
  <conditionalFormatting sqref="O228">
    <cfRule type="containsText" dxfId="84" priority="50" operator="containsText" text="STGO">
      <formula>NOT(ISERROR(SEARCH("STGO",O228)))</formula>
    </cfRule>
  </conditionalFormatting>
  <conditionalFormatting sqref="X228">
    <cfRule type="containsText" dxfId="83" priority="47" operator="containsText" text="vigente">
      <formula>NOT(ISERROR(SEARCH("vigente",X228)))</formula>
    </cfRule>
    <cfRule type="containsText" dxfId="82" priority="48" operator="containsText" text="por vencer">
      <formula>NOT(ISERROR(SEARCH("por vencer",X228)))</formula>
    </cfRule>
    <cfRule type="containsText" dxfId="81" priority="49" operator="containsText" text="vencido">
      <formula>NOT(ISERROR(SEARCH("vencido",X228)))</formula>
    </cfRule>
  </conditionalFormatting>
  <conditionalFormatting sqref="A229">
    <cfRule type="containsText" dxfId="80" priority="39" operator="containsText" text="GES ">
      <formula>NOT(ISERROR(SEARCH("GES ",A229)))</formula>
    </cfRule>
    <cfRule type="containsText" dxfId="79" priority="40" operator="containsText" text="NO GES">
      <formula>NOT(ISERROR(SEARCH("NO GES",A229)))</formula>
    </cfRule>
  </conditionalFormatting>
  <conditionalFormatting sqref="O229">
    <cfRule type="containsText" dxfId="78" priority="44" operator="containsText" text="STGO">
      <formula>NOT(ISERROR(SEARCH("STGO",O229)))</formula>
    </cfRule>
  </conditionalFormatting>
  <conditionalFormatting sqref="X229">
    <cfRule type="containsText" dxfId="77" priority="41" operator="containsText" text="vigente">
      <formula>NOT(ISERROR(SEARCH("vigente",X229)))</formula>
    </cfRule>
    <cfRule type="containsText" dxfId="76" priority="42" operator="containsText" text="por vencer">
      <formula>NOT(ISERROR(SEARCH("por vencer",X229)))</formula>
    </cfRule>
    <cfRule type="containsText" dxfId="75" priority="43" operator="containsText" text="vencido">
      <formula>NOT(ISERROR(SEARCH("vencido",X229)))</formula>
    </cfRule>
  </conditionalFormatting>
  <conditionalFormatting sqref="A230">
    <cfRule type="containsText" dxfId="74" priority="33" operator="containsText" text="GES ">
      <formula>NOT(ISERROR(SEARCH("GES ",A230)))</formula>
    </cfRule>
    <cfRule type="containsText" dxfId="73" priority="34" operator="containsText" text="NO GES">
      <formula>NOT(ISERROR(SEARCH("NO GES",A230)))</formula>
    </cfRule>
  </conditionalFormatting>
  <conditionalFormatting sqref="O230">
    <cfRule type="containsText" dxfId="72" priority="38" operator="containsText" text="STGO">
      <formula>NOT(ISERROR(SEARCH("STGO",O230)))</formula>
    </cfRule>
  </conditionalFormatting>
  <conditionalFormatting sqref="X230">
    <cfRule type="containsText" dxfId="71" priority="35" operator="containsText" text="vigente">
      <formula>NOT(ISERROR(SEARCH("vigente",X230)))</formula>
    </cfRule>
    <cfRule type="containsText" dxfId="70" priority="36" operator="containsText" text="por vencer">
      <formula>NOT(ISERROR(SEARCH("por vencer",X230)))</formula>
    </cfRule>
    <cfRule type="containsText" dxfId="69" priority="37" operator="containsText" text="vencido">
      <formula>NOT(ISERROR(SEARCH("vencido",X230)))</formula>
    </cfRule>
  </conditionalFormatting>
  <conditionalFormatting sqref="A231">
    <cfRule type="containsText" dxfId="68" priority="27" operator="containsText" text="GES ">
      <formula>NOT(ISERROR(SEARCH("GES ",A231)))</formula>
    </cfRule>
    <cfRule type="containsText" dxfId="67" priority="28" operator="containsText" text="NO GES">
      <formula>NOT(ISERROR(SEARCH("NO GES",A231)))</formula>
    </cfRule>
  </conditionalFormatting>
  <conditionalFormatting sqref="O231">
    <cfRule type="containsText" dxfId="66" priority="32" operator="containsText" text="STGO">
      <formula>NOT(ISERROR(SEARCH("STGO",O231)))</formula>
    </cfRule>
  </conditionalFormatting>
  <conditionalFormatting sqref="X231">
    <cfRule type="containsText" dxfId="65" priority="29" operator="containsText" text="vigente">
      <formula>NOT(ISERROR(SEARCH("vigente",X231)))</formula>
    </cfRule>
    <cfRule type="containsText" dxfId="64" priority="30" operator="containsText" text="por vencer">
      <formula>NOT(ISERROR(SEARCH("por vencer",X231)))</formula>
    </cfRule>
    <cfRule type="containsText" dxfId="63" priority="31" operator="containsText" text="vencido">
      <formula>NOT(ISERROR(SEARCH("vencido",X231)))</formula>
    </cfRule>
  </conditionalFormatting>
  <conditionalFormatting sqref="A232">
    <cfRule type="containsText" dxfId="62" priority="20" operator="containsText" text="GES ">
      <formula>NOT(ISERROR(SEARCH("GES ",A232)))</formula>
    </cfRule>
    <cfRule type="containsText" dxfId="61" priority="21" operator="containsText" text="NO GES">
      <formula>NOT(ISERROR(SEARCH("NO GES",A232)))</formula>
    </cfRule>
  </conditionalFormatting>
  <conditionalFormatting sqref="N232:O232">
    <cfRule type="containsText" dxfId="60" priority="16" operator="containsText" text="HOV">
      <formula>NOT(ISERROR(SEARCH("HOV",N232)))</formula>
    </cfRule>
    <cfRule type="containsText" dxfId="59" priority="17" operator="containsText" text="HSP">
      <formula>NOT(ISERROR(SEARCH("HSP",N232)))</formula>
    </cfRule>
    <cfRule type="containsText" dxfId="58" priority="18" operator="containsText" text="HLS">
      <formula>NOT(ISERROR(SEARCH("HLS",N232)))</formula>
    </cfRule>
    <cfRule type="containsText" dxfId="57" priority="19" operator="containsText" text="HOV">
      <formula>NOT(ISERROR(SEARCH("HOV",N232)))</formula>
    </cfRule>
  </conditionalFormatting>
  <conditionalFormatting sqref="O232">
    <cfRule type="containsText" dxfId="56" priority="26" operator="containsText" text="STGO">
      <formula>NOT(ISERROR(SEARCH("STGO",O232)))</formula>
    </cfRule>
  </conditionalFormatting>
  <conditionalFormatting sqref="R232">
    <cfRule type="containsText" dxfId="55" priority="22" operator="containsText" text="CONTACTAR ">
      <formula>NOT(ISERROR(SEARCH("CONTACTAR ",R232)))</formula>
    </cfRule>
  </conditionalFormatting>
  <conditionalFormatting sqref="X232">
    <cfRule type="containsText" dxfId="54" priority="23" operator="containsText" text="vigente">
      <formula>NOT(ISERROR(SEARCH("vigente",X232)))</formula>
    </cfRule>
    <cfRule type="containsText" dxfId="53" priority="24" operator="containsText" text="por vencer">
      <formula>NOT(ISERROR(SEARCH("por vencer",X232)))</formula>
    </cfRule>
    <cfRule type="containsText" dxfId="52" priority="25" operator="containsText" text="vencido">
      <formula>NOT(ISERROR(SEARCH("vencido",X232)))</formula>
    </cfRule>
  </conditionalFormatting>
  <conditionalFormatting sqref="A233">
    <cfRule type="containsText" dxfId="51" priority="9" operator="containsText" text="GES ">
      <formula>NOT(ISERROR(SEARCH("GES ",A233)))</formula>
    </cfRule>
    <cfRule type="containsText" dxfId="50" priority="10" operator="containsText" text="NO GES">
      <formula>NOT(ISERROR(SEARCH("NO GES",A233)))</formula>
    </cfRule>
  </conditionalFormatting>
  <conditionalFormatting sqref="N233">
    <cfRule type="containsText" dxfId="49" priority="5" operator="containsText" text="HOV">
      <formula>NOT(ISERROR(SEARCH("HOV",N233)))</formula>
    </cfRule>
    <cfRule type="containsText" dxfId="48" priority="6" operator="containsText" text="HSP">
      <formula>NOT(ISERROR(SEARCH("HSP",N233)))</formula>
    </cfRule>
    <cfRule type="containsText" dxfId="47" priority="7" operator="containsText" text="HLS">
      <formula>NOT(ISERROR(SEARCH("HLS",N233)))</formula>
    </cfRule>
    <cfRule type="containsText" dxfId="46" priority="8" operator="containsText" text="HOV">
      <formula>NOT(ISERROR(SEARCH("HOV",N233)))</formula>
    </cfRule>
  </conditionalFormatting>
  <conditionalFormatting sqref="O233">
    <cfRule type="containsText" dxfId="45" priority="15" operator="containsText" text="STGO">
      <formula>NOT(ISERROR(SEARCH("STGO",O233)))</formula>
    </cfRule>
  </conditionalFormatting>
  <conditionalFormatting sqref="O233">
    <cfRule type="containsText" dxfId="44" priority="1" operator="containsText" text="HOV">
      <formula>NOT(ISERROR(SEARCH("HOV",O233)))</formula>
    </cfRule>
    <cfRule type="containsText" dxfId="43" priority="2" operator="containsText" text="HSP">
      <formula>NOT(ISERROR(SEARCH("HSP",O233)))</formula>
    </cfRule>
    <cfRule type="containsText" dxfId="42" priority="3" operator="containsText" text="HLS">
      <formula>NOT(ISERROR(SEARCH("HLS",O233)))</formula>
    </cfRule>
    <cfRule type="containsText" dxfId="41" priority="4" operator="containsText" text="HOV">
      <formula>NOT(ISERROR(SEARCH("HOV",O233)))</formula>
    </cfRule>
  </conditionalFormatting>
  <conditionalFormatting sqref="R233">
    <cfRule type="containsText" dxfId="40" priority="11" operator="containsText" text="CONTACTAR ">
      <formula>NOT(ISERROR(SEARCH("CONTACTAR ",R233)))</formula>
    </cfRule>
  </conditionalFormatting>
  <conditionalFormatting sqref="X233">
    <cfRule type="containsText" dxfId="39" priority="12" operator="containsText" text="vigente">
      <formula>NOT(ISERROR(SEARCH("vigente",X233)))</formula>
    </cfRule>
    <cfRule type="containsText" dxfId="38" priority="13" operator="containsText" text="por vencer">
      <formula>NOT(ISERROR(SEARCH("por vencer",X233)))</formula>
    </cfRule>
    <cfRule type="containsText" dxfId="37" priority="14" operator="containsText" text="vencido">
      <formula>NOT(ISERROR(SEARCH("vencido",X233)))</formula>
    </cfRule>
  </conditionalFormatting>
  <dataValidations count="7">
    <dataValidation type="list" allowBlank="1" showInputMessage="1" showErrorMessage="1" sqref="A5 A98 A124 A129 A156 A158 A163 A204:A205 A7:A14 A17:A20 A25:A31 A55:A56 A66:A77 A82:A85 A88:A94 A100:A110 A112:A114 A117:A121 A132:A133 A136:A138 A148:A149 A151:A153 A167:A171 A173:A179 A190:A192 A194:A201 A209 A220 A222:A228 A230:A231" xr:uid="{00000000-0002-0000-0100-000000000000}">
      <formula1>"GES,NO GES"</formula1>
    </dataValidation>
    <dataValidation type="list" allowBlank="1" showInputMessage="1" showErrorMessage="1" sqref="J22 J25 J28 J59 J106 J108 J148 J151 K158 K171 K195 J7:J13 J17:J19 J30:J31 J55:J56 J66:J70 J73:J76 J82:J85 J88:J93 J100:J104 K167:K169 K173:K174 K197:K199 K205 K209 K224:K226" xr:uid="{00000000-0002-0000-0100-000001000000}">
      <formula1>"Si,No"</formula1>
    </dataValidation>
    <dataValidation type="list" allowBlank="1" showInputMessage="1" showErrorMessage="1" sqref="K25 K28 K55 K57 K59 K89 K106 K7:K11 K13:K14 K17:K18 K21:K22 K30:K31 K66:K70 K73:K75 K82:K85" xr:uid="{00000000-0002-0000-0100-000002000000}">
      <formula1>"Sospecha,Confirmacion,Etapificacion,Tratamiento,Seguimiento"</formula1>
    </dataValidation>
    <dataValidation type="list" allowBlank="1" showInputMessage="1" showErrorMessage="1" sqref="F39 F106 F158" xr:uid="{00000000-0002-0000-0100-000003000000}">
      <formula1>"Ovalle,Punitaqui ,Rio Hurtado,Combarbala,Monte patria"</formula1>
    </dataValidation>
    <dataValidation type="list" allowBlank="1" showInputMessage="1" showErrorMessage="1" sqref="K88 K95 L163 K90:K93 K98:K105 K107:K125 K127:K138 K148:K149 K151:K153 K156:K157 L158:L159 L167:L174 L176:L179 L190:L192 L194:L201 L203:L205 L209 L220 L222:L231" xr:uid="{00000000-0002-0000-0100-000004000000}">
      <formula1>"Egreso,Confirmación,Etapificacion,Tratamiento,Seguimiento"</formula1>
    </dataValidation>
    <dataValidation type="list" allowBlank="1" showInputMessage="1" showErrorMessage="1" sqref="M88 M7:M13 M66:M70 M82:M85" xr:uid="{00000000-0002-0000-0100-000005000000}">
      <formula1>"Cirugia en Hospital de origen,Cirugia en Centro de derivacion,Quimioterapia neoadyuvante,Quimioterapia adyuvante,Quimioterapia paliativa,Quimioterapia + Rt,Quimioterapia + Ht,Hormonoterapia,Seguimiento,Cuidados paliativos exclusivos,Radiocirugia"</formula1>
    </dataValidation>
    <dataValidation type="list" allowBlank="1" showInputMessage="1" showErrorMessage="1" sqref="O116 O127 O148 P176 P191 P204 O6:O16 O82:O85 O88:O90 O92:O93 O99:O100 O151:O153 P167:P168 P171:P172 P195:P198 P222 P224:P226" xr:uid="{00000000-0002-0000-0100-000006000000}">
      <formula1>"DETENIDO,CURSO"</formula1>
    </dataValidation>
  </dataValidations>
  <pageMargins left="0.7" right="0.7" top="0.75" bottom="0.75" header="0.3" footer="0.3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GG284"/>
  <sheetViews>
    <sheetView tabSelected="1" zoomScale="70" zoomScaleNormal="70" workbookViewId="0">
      <selection activeCell="M288" sqref="M288"/>
    </sheetView>
  </sheetViews>
  <sheetFormatPr defaultColWidth="11.375" defaultRowHeight="65.25" customHeight="1"/>
  <cols>
    <col min="1" max="1" width="9.25" style="34" customWidth="1"/>
    <col min="2" max="2" width="23" style="34" customWidth="1"/>
    <col min="3" max="3" width="13.25" style="43" customWidth="1"/>
    <col min="4" max="4" width="5.625" style="44" customWidth="1"/>
    <col min="5" max="5" width="8.75" style="34" customWidth="1"/>
    <col min="6" max="6" width="12.875" style="45" customWidth="1"/>
    <col min="7" max="7" width="17.875" style="45" customWidth="1"/>
    <col min="8" max="8" width="19.125" style="45" customWidth="1"/>
    <col min="9" max="9" width="11.25" style="45" customWidth="1"/>
    <col min="10" max="10" width="14.625" style="45" customWidth="1"/>
    <col min="11" max="11" width="11.375" style="45" customWidth="1"/>
    <col min="12" max="12" width="16.625" style="45" customWidth="1"/>
    <col min="13" max="13" width="18.875" style="34" customWidth="1"/>
    <col min="14" max="14" width="30.25" style="45" customWidth="1"/>
    <col min="15" max="15" width="16.125" style="34" customWidth="1"/>
    <col min="16" max="16" width="16.25" style="34" customWidth="1"/>
    <col min="17" max="17" width="19.625" style="34" customWidth="1"/>
    <col min="18" max="18" width="55.875" style="34" customWidth="1"/>
    <col min="19" max="19" width="21.375" style="34" customWidth="1"/>
    <col min="20" max="20" width="18.75" style="34" customWidth="1"/>
    <col min="21" max="21" width="19.25" style="34" customWidth="1"/>
    <col min="22" max="22" width="13.75" style="46" customWidth="1"/>
    <col min="23" max="23" width="11.375" style="34"/>
    <col min="24" max="24" width="16.125" style="34" customWidth="1"/>
    <col min="25" max="25" width="48.125" style="34" customWidth="1"/>
    <col min="26" max="26" width="16.875" style="34" customWidth="1"/>
    <col min="27" max="27" width="15.125" style="34" customWidth="1"/>
    <col min="28" max="16384" width="11.375" style="34"/>
  </cols>
  <sheetData>
    <row r="1" spans="1:189" s="37" customFormat="1" ht="15">
      <c r="A1" s="3"/>
      <c r="B1" s="3"/>
      <c r="C1" s="47"/>
      <c r="D1" s="48"/>
      <c r="E1" s="3"/>
      <c r="F1" s="49"/>
      <c r="G1" s="49"/>
      <c r="H1" s="49"/>
      <c r="I1" s="49"/>
      <c r="J1" s="49"/>
      <c r="K1" s="49"/>
      <c r="L1" s="49"/>
      <c r="M1" s="3"/>
      <c r="N1" s="49"/>
      <c r="O1" s="3"/>
      <c r="P1" s="3"/>
      <c r="Q1" s="3"/>
      <c r="R1" s="3"/>
      <c r="S1" s="3"/>
      <c r="T1" s="3"/>
      <c r="U1" s="3"/>
      <c r="V1" s="83"/>
      <c r="W1" s="3"/>
      <c r="X1" s="3"/>
      <c r="Y1" s="3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  <c r="BN1" s="34"/>
      <c r="BO1" s="34"/>
      <c r="BP1" s="34"/>
      <c r="BQ1" s="34"/>
      <c r="BR1" s="34"/>
      <c r="BS1" s="34"/>
      <c r="BT1" s="34"/>
      <c r="BU1" s="34"/>
      <c r="BV1" s="34"/>
      <c r="BW1" s="34"/>
      <c r="BX1" s="34"/>
      <c r="BY1" s="34"/>
      <c r="BZ1" s="34"/>
      <c r="CA1" s="34"/>
      <c r="CB1" s="34"/>
      <c r="CC1" s="34"/>
      <c r="CD1" s="34"/>
      <c r="CE1" s="34"/>
      <c r="CF1" s="34"/>
      <c r="CG1" s="34"/>
      <c r="CH1" s="34"/>
      <c r="CI1" s="34"/>
      <c r="CJ1" s="34"/>
      <c r="CK1" s="34"/>
      <c r="CL1" s="34"/>
      <c r="CM1" s="34"/>
      <c r="CN1" s="34"/>
      <c r="CO1" s="34"/>
      <c r="CP1" s="34"/>
      <c r="CQ1" s="34"/>
      <c r="CR1" s="34"/>
      <c r="CS1" s="34"/>
      <c r="CT1" s="34"/>
      <c r="CU1" s="34"/>
      <c r="CV1" s="34"/>
      <c r="CW1" s="34"/>
      <c r="CX1" s="34"/>
      <c r="CY1" s="34"/>
      <c r="CZ1" s="34"/>
      <c r="DA1" s="34"/>
      <c r="DB1" s="34"/>
      <c r="DC1" s="34"/>
      <c r="DD1" s="34"/>
      <c r="DE1" s="34"/>
      <c r="DF1" s="34"/>
      <c r="DG1" s="34"/>
      <c r="DH1" s="34"/>
      <c r="DI1" s="34"/>
      <c r="DJ1" s="34"/>
      <c r="DK1" s="34"/>
      <c r="DL1" s="34"/>
      <c r="DM1" s="34"/>
      <c r="DN1" s="34"/>
      <c r="DO1" s="34"/>
      <c r="DP1" s="34"/>
      <c r="DQ1" s="34"/>
      <c r="DR1" s="34"/>
      <c r="DS1" s="34"/>
      <c r="DT1" s="34"/>
      <c r="DU1" s="34"/>
      <c r="DV1" s="34"/>
      <c r="DW1" s="34"/>
      <c r="DX1" s="34"/>
      <c r="DY1" s="34"/>
      <c r="DZ1" s="34"/>
      <c r="EA1" s="34"/>
      <c r="EB1" s="34"/>
      <c r="EC1" s="34"/>
      <c r="ED1" s="34"/>
      <c r="EE1" s="34"/>
      <c r="EF1" s="34"/>
      <c r="EG1" s="34"/>
      <c r="EH1" s="34"/>
      <c r="EI1" s="34"/>
      <c r="EJ1" s="34"/>
      <c r="EK1" s="34"/>
      <c r="EL1" s="34"/>
      <c r="EM1" s="34"/>
      <c r="EN1" s="34"/>
      <c r="EO1" s="34"/>
      <c r="EP1" s="34"/>
      <c r="EQ1" s="34"/>
      <c r="ER1" s="34"/>
      <c r="ES1" s="34"/>
      <c r="ET1" s="34"/>
      <c r="EU1" s="34"/>
      <c r="EV1" s="34"/>
      <c r="EW1" s="34"/>
      <c r="EX1" s="34"/>
      <c r="EY1" s="34"/>
      <c r="EZ1" s="34"/>
      <c r="FA1" s="34"/>
      <c r="FB1" s="34"/>
      <c r="FC1" s="34"/>
      <c r="FD1" s="34"/>
      <c r="FE1" s="34"/>
      <c r="FF1" s="34"/>
      <c r="FG1" s="34"/>
      <c r="FH1" s="34"/>
      <c r="FI1" s="34"/>
      <c r="FJ1" s="34"/>
      <c r="FK1" s="34"/>
      <c r="FL1" s="34"/>
      <c r="FM1" s="34"/>
      <c r="FN1" s="34"/>
      <c r="FO1" s="34"/>
      <c r="FP1" s="34"/>
      <c r="FQ1" s="34"/>
      <c r="FR1" s="34"/>
      <c r="FS1" s="34"/>
      <c r="FT1" s="34"/>
      <c r="FU1" s="34"/>
      <c r="FV1" s="34"/>
      <c r="FW1" s="34"/>
      <c r="FX1" s="34"/>
      <c r="FY1" s="34"/>
      <c r="FZ1" s="34"/>
      <c r="GA1" s="34"/>
      <c r="GB1" s="34"/>
      <c r="GC1" s="34"/>
      <c r="GD1" s="34"/>
      <c r="GE1" s="34"/>
      <c r="GF1" s="34"/>
      <c r="GG1" s="34"/>
    </row>
    <row r="2" spans="1:189" s="37" customFormat="1" ht="15">
      <c r="A2" s="3"/>
      <c r="B2" s="3"/>
      <c r="C2" s="47"/>
      <c r="D2" s="48"/>
      <c r="E2" s="3"/>
      <c r="F2" s="49"/>
      <c r="G2" s="49"/>
      <c r="H2" s="49"/>
      <c r="I2" s="49"/>
      <c r="J2" s="49"/>
      <c r="K2" s="49"/>
      <c r="L2" s="49"/>
      <c r="M2" s="3"/>
      <c r="N2" s="49"/>
      <c r="O2" s="3"/>
      <c r="P2" s="3"/>
      <c r="Q2" s="3"/>
      <c r="R2" s="3"/>
      <c r="S2" s="3"/>
      <c r="T2" s="3"/>
      <c r="U2" s="3"/>
      <c r="V2" s="83"/>
      <c r="W2" s="3"/>
      <c r="X2" s="3"/>
      <c r="Y2" s="3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4"/>
      <c r="CB2" s="34"/>
      <c r="CC2" s="34"/>
      <c r="CD2" s="34"/>
      <c r="CE2" s="34"/>
      <c r="CF2" s="34"/>
      <c r="CG2" s="34"/>
      <c r="CH2" s="34"/>
      <c r="CI2" s="34"/>
      <c r="CJ2" s="34"/>
      <c r="CK2" s="34"/>
      <c r="CL2" s="34"/>
      <c r="CM2" s="34"/>
      <c r="CN2" s="34"/>
      <c r="CO2" s="34"/>
      <c r="CP2" s="34"/>
      <c r="CQ2" s="34"/>
      <c r="CR2" s="34"/>
      <c r="CS2" s="34"/>
      <c r="CT2" s="34"/>
      <c r="CU2" s="34"/>
      <c r="CV2" s="34"/>
      <c r="CW2" s="34"/>
      <c r="CX2" s="34"/>
      <c r="CY2" s="34"/>
      <c r="CZ2" s="34"/>
      <c r="DA2" s="34"/>
      <c r="DB2" s="34"/>
      <c r="DC2" s="34"/>
      <c r="DD2" s="34"/>
      <c r="DE2" s="34"/>
      <c r="DF2" s="34"/>
      <c r="DG2" s="34"/>
      <c r="DH2" s="34"/>
      <c r="DI2" s="34"/>
      <c r="DJ2" s="34"/>
      <c r="DK2" s="34"/>
      <c r="DL2" s="34"/>
      <c r="DM2" s="34"/>
      <c r="DN2" s="34"/>
      <c r="DO2" s="34"/>
      <c r="DP2" s="34"/>
      <c r="DQ2" s="34"/>
      <c r="DR2" s="34"/>
      <c r="DS2" s="34"/>
      <c r="DT2" s="34"/>
      <c r="DU2" s="34"/>
      <c r="DV2" s="34"/>
      <c r="DW2" s="34"/>
      <c r="DX2" s="34"/>
      <c r="DY2" s="34"/>
      <c r="DZ2" s="34"/>
      <c r="EA2" s="34"/>
      <c r="EB2" s="34"/>
      <c r="EC2" s="34"/>
      <c r="ED2" s="34"/>
      <c r="EE2" s="34"/>
      <c r="EF2" s="34"/>
      <c r="EG2" s="34"/>
      <c r="EH2" s="34"/>
      <c r="EI2" s="34"/>
      <c r="EJ2" s="34"/>
      <c r="EK2" s="34"/>
      <c r="EL2" s="34"/>
      <c r="EM2" s="34"/>
      <c r="EN2" s="34"/>
      <c r="EO2" s="34"/>
      <c r="EP2" s="34"/>
      <c r="EQ2" s="34"/>
      <c r="ER2" s="34"/>
      <c r="ES2" s="34"/>
      <c r="ET2" s="34"/>
      <c r="EU2" s="34"/>
      <c r="EV2" s="34"/>
      <c r="EW2" s="34"/>
      <c r="EX2" s="34"/>
      <c r="EY2" s="34"/>
      <c r="EZ2" s="34"/>
      <c r="FA2" s="34"/>
      <c r="FB2" s="34"/>
      <c r="FC2" s="34"/>
      <c r="FD2" s="34"/>
      <c r="FE2" s="34"/>
      <c r="FF2" s="34"/>
      <c r="FG2" s="34"/>
      <c r="FH2" s="34"/>
      <c r="FI2" s="34"/>
      <c r="FJ2" s="34"/>
      <c r="FK2" s="34"/>
      <c r="FL2" s="34"/>
      <c r="FM2" s="34"/>
      <c r="FN2" s="34"/>
      <c r="FO2" s="34"/>
      <c r="FP2" s="34"/>
      <c r="FQ2" s="34"/>
      <c r="FR2" s="34"/>
      <c r="FS2" s="34"/>
      <c r="FT2" s="34"/>
      <c r="FU2" s="34"/>
      <c r="FV2" s="34"/>
      <c r="FW2" s="34"/>
      <c r="FX2" s="34"/>
      <c r="FY2" s="34"/>
      <c r="FZ2" s="34"/>
      <c r="GA2" s="34"/>
      <c r="GB2" s="34"/>
      <c r="GC2" s="34"/>
      <c r="GD2" s="34"/>
      <c r="GE2" s="34"/>
      <c r="GF2" s="34"/>
      <c r="GG2" s="34"/>
    </row>
    <row r="3" spans="1:189" s="37" customFormat="1" ht="15">
      <c r="A3" s="3"/>
      <c r="B3" s="3"/>
      <c r="C3" s="47"/>
      <c r="D3" s="48"/>
      <c r="E3" s="3"/>
      <c r="F3" s="49"/>
      <c r="G3" s="49"/>
      <c r="H3" s="49"/>
      <c r="I3" s="49"/>
      <c r="J3" s="49"/>
      <c r="K3" s="49"/>
      <c r="L3" s="49"/>
      <c r="M3" s="3"/>
      <c r="N3" s="49"/>
      <c r="O3" s="3"/>
      <c r="P3" s="3"/>
      <c r="Q3" s="3"/>
      <c r="R3" s="3"/>
      <c r="S3" s="3"/>
      <c r="T3" s="3"/>
      <c r="U3" s="3"/>
      <c r="V3" s="83"/>
      <c r="W3" s="3"/>
      <c r="X3" s="3"/>
      <c r="Y3" s="3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4"/>
      <c r="BR3" s="34"/>
      <c r="BS3" s="34"/>
      <c r="BT3" s="34"/>
      <c r="BU3" s="34"/>
      <c r="BV3" s="34"/>
      <c r="BW3" s="34"/>
      <c r="BX3" s="34"/>
      <c r="BY3" s="34"/>
      <c r="BZ3" s="34"/>
      <c r="CA3" s="34"/>
      <c r="CB3" s="34"/>
      <c r="CC3" s="34"/>
      <c r="CD3" s="34"/>
      <c r="CE3" s="34"/>
      <c r="CF3" s="34"/>
      <c r="CG3" s="34"/>
      <c r="CH3" s="34"/>
      <c r="CI3" s="34"/>
      <c r="CJ3" s="34"/>
      <c r="CK3" s="34"/>
      <c r="CL3" s="34"/>
      <c r="CM3" s="34"/>
      <c r="CN3" s="34"/>
      <c r="CO3" s="34"/>
      <c r="CP3" s="34"/>
      <c r="CQ3" s="34"/>
      <c r="CR3" s="34"/>
      <c r="CS3" s="34"/>
      <c r="CT3" s="34"/>
      <c r="CU3" s="34"/>
      <c r="CV3" s="34"/>
      <c r="CW3" s="34"/>
      <c r="CX3" s="34"/>
      <c r="CY3" s="34"/>
      <c r="CZ3" s="34"/>
      <c r="DA3" s="34"/>
      <c r="DB3" s="34"/>
      <c r="DC3" s="34"/>
      <c r="DD3" s="34"/>
      <c r="DE3" s="34"/>
      <c r="DF3" s="34"/>
      <c r="DG3" s="34"/>
      <c r="DH3" s="34"/>
      <c r="DI3" s="34"/>
      <c r="DJ3" s="34"/>
      <c r="DK3" s="34"/>
      <c r="DL3" s="34"/>
      <c r="DM3" s="34"/>
      <c r="DN3" s="34"/>
      <c r="DO3" s="34"/>
      <c r="DP3" s="34"/>
      <c r="DQ3" s="34"/>
      <c r="DR3" s="34"/>
      <c r="DS3" s="34"/>
      <c r="DT3" s="34"/>
      <c r="DU3" s="34"/>
      <c r="DV3" s="34"/>
      <c r="DW3" s="34"/>
      <c r="DX3" s="34"/>
      <c r="DY3" s="34"/>
      <c r="DZ3" s="34"/>
      <c r="EA3" s="34"/>
      <c r="EB3" s="34"/>
      <c r="EC3" s="34"/>
      <c r="ED3" s="34"/>
      <c r="EE3" s="34"/>
      <c r="EF3" s="34"/>
      <c r="EG3" s="34"/>
      <c r="EH3" s="34"/>
      <c r="EI3" s="34"/>
      <c r="EJ3" s="34"/>
      <c r="EK3" s="34"/>
      <c r="EL3" s="34"/>
      <c r="EM3" s="34"/>
      <c r="EN3" s="34"/>
      <c r="EO3" s="34"/>
      <c r="EP3" s="34"/>
      <c r="EQ3" s="34"/>
      <c r="ER3" s="34"/>
      <c r="ES3" s="34"/>
      <c r="ET3" s="34"/>
      <c r="EU3" s="34"/>
      <c r="EV3" s="34"/>
      <c r="EW3" s="34"/>
      <c r="EX3" s="34"/>
      <c r="EY3" s="34"/>
      <c r="EZ3" s="34"/>
      <c r="FA3" s="34"/>
      <c r="FB3" s="34"/>
      <c r="FC3" s="34"/>
      <c r="FD3" s="34"/>
      <c r="FE3" s="34"/>
      <c r="FF3" s="34"/>
      <c r="FG3" s="34"/>
      <c r="FH3" s="34"/>
      <c r="FI3" s="34"/>
      <c r="FJ3" s="34"/>
      <c r="FK3" s="34"/>
      <c r="FL3" s="34"/>
      <c r="FM3" s="34"/>
      <c r="FN3" s="34"/>
      <c r="FO3" s="34"/>
      <c r="FP3" s="34"/>
      <c r="FQ3" s="34"/>
      <c r="FR3" s="34"/>
      <c r="FS3" s="34"/>
      <c r="FT3" s="34"/>
      <c r="FU3" s="34"/>
      <c r="FV3" s="34"/>
      <c r="FW3" s="34"/>
      <c r="FX3" s="34"/>
      <c r="FY3" s="34"/>
      <c r="FZ3" s="34"/>
      <c r="GA3" s="34"/>
      <c r="GB3" s="34"/>
      <c r="GC3" s="34"/>
      <c r="GD3" s="34"/>
      <c r="GE3" s="34"/>
      <c r="GF3" s="34"/>
      <c r="GG3" s="34"/>
    </row>
    <row r="4" spans="1:189" ht="45.75" customHeight="1">
      <c r="A4" s="4" t="s">
        <v>0</v>
      </c>
      <c r="B4" s="4" t="s">
        <v>1</v>
      </c>
      <c r="C4" s="4" t="s">
        <v>2</v>
      </c>
      <c r="D4" s="50" t="s">
        <v>3</v>
      </c>
      <c r="E4" s="4" t="s">
        <v>4</v>
      </c>
      <c r="F4" s="4" t="s">
        <v>5</v>
      </c>
      <c r="G4" s="4" t="s">
        <v>558</v>
      </c>
      <c r="H4" s="4" t="s">
        <v>559</v>
      </c>
      <c r="I4" s="4" t="s">
        <v>7</v>
      </c>
      <c r="J4" s="4" t="s">
        <v>8</v>
      </c>
      <c r="K4" s="4" t="s">
        <v>9</v>
      </c>
      <c r="L4" s="4" t="s">
        <v>10</v>
      </c>
      <c r="M4" s="4" t="s">
        <v>11</v>
      </c>
      <c r="N4" s="4" t="s">
        <v>12</v>
      </c>
      <c r="O4" s="4" t="s">
        <v>13</v>
      </c>
      <c r="P4" s="4" t="s">
        <v>14</v>
      </c>
      <c r="Q4" s="29" t="s">
        <v>15</v>
      </c>
      <c r="R4" s="30" t="s">
        <v>560</v>
      </c>
      <c r="S4" s="31" t="s">
        <v>561</v>
      </c>
      <c r="T4" s="31" t="s">
        <v>562</v>
      </c>
      <c r="U4" s="32" t="s">
        <v>563</v>
      </c>
      <c r="V4" s="84" t="s">
        <v>564</v>
      </c>
      <c r="W4" s="32" t="s">
        <v>565</v>
      </c>
      <c r="X4" s="32" t="s">
        <v>566</v>
      </c>
      <c r="Y4" s="92" t="s">
        <v>567</v>
      </c>
    </row>
    <row r="5" spans="1:189" s="37" customFormat="1" ht="55.5" hidden="1" customHeight="1">
      <c r="A5" s="13" t="s">
        <v>184</v>
      </c>
      <c r="B5" s="13" t="s">
        <v>568</v>
      </c>
      <c r="C5" s="51">
        <v>4506419</v>
      </c>
      <c r="D5" s="52">
        <v>0</v>
      </c>
      <c r="E5" s="27" t="e">
        <f ca="1">DATEDIF(#REF!,TODAY(),"Y")</f>
        <v>#REF!</v>
      </c>
      <c r="F5" s="27" t="s">
        <v>26</v>
      </c>
      <c r="G5" s="27" t="s">
        <v>19</v>
      </c>
      <c r="H5" s="27" t="s">
        <v>315</v>
      </c>
      <c r="I5" s="27">
        <v>2022</v>
      </c>
      <c r="J5" s="71">
        <v>44803</v>
      </c>
      <c r="K5" s="27" t="s">
        <v>31</v>
      </c>
      <c r="L5" s="27" t="s">
        <v>21</v>
      </c>
      <c r="M5" s="71">
        <v>44879</v>
      </c>
      <c r="N5" s="13" t="s">
        <v>569</v>
      </c>
      <c r="O5" s="72" t="s">
        <v>58</v>
      </c>
      <c r="P5" s="13" t="s">
        <v>27</v>
      </c>
      <c r="Q5" s="13" t="s">
        <v>570</v>
      </c>
      <c r="R5" s="185" t="s">
        <v>571</v>
      </c>
      <c r="S5" s="185" t="s">
        <v>284</v>
      </c>
      <c r="T5" s="185" t="s">
        <v>428</v>
      </c>
      <c r="U5" s="85">
        <v>45923</v>
      </c>
      <c r="V5" s="85">
        <v>45953</v>
      </c>
      <c r="W5" s="13">
        <f ca="1">V5-TODAY()</f>
        <v>-132</v>
      </c>
      <c r="X5" s="13" t="str">
        <f ca="1">IF(W5&gt;=20,"Vigente",IF(AND(W5&gt;=1,W5&lt;=20),"Por Vencer","Vencido"))</f>
        <v>Vencido</v>
      </c>
      <c r="Y5" s="13"/>
    </row>
    <row r="6" spans="1:189" ht="65.25" hidden="1" customHeight="1">
      <c r="A6" s="6" t="s">
        <v>184</v>
      </c>
      <c r="B6" s="6" t="s">
        <v>572</v>
      </c>
      <c r="C6" s="53">
        <v>10222908</v>
      </c>
      <c r="D6" s="54">
        <v>8</v>
      </c>
      <c r="E6" s="19" t="e">
        <f ca="1">DATEDIF(#REF!,TODAY(),"Y")</f>
        <v>#REF!</v>
      </c>
      <c r="F6" s="19" t="s">
        <v>18</v>
      </c>
      <c r="G6" s="19" t="s">
        <v>19</v>
      </c>
      <c r="H6" s="19" t="s">
        <v>315</v>
      </c>
      <c r="I6" s="19">
        <v>2022</v>
      </c>
      <c r="J6" s="73">
        <v>44673</v>
      </c>
      <c r="K6" s="19" t="s">
        <v>20</v>
      </c>
      <c r="L6" s="19" t="s">
        <v>21</v>
      </c>
      <c r="M6" s="73">
        <v>45215</v>
      </c>
      <c r="N6" s="6" t="s">
        <v>430</v>
      </c>
      <c r="O6" s="72" t="s">
        <v>58</v>
      </c>
      <c r="P6" s="6" t="s">
        <v>152</v>
      </c>
      <c r="Q6" s="6"/>
      <c r="R6" s="86" t="s">
        <v>573</v>
      </c>
      <c r="S6" s="6" t="s">
        <v>574</v>
      </c>
      <c r="T6" s="6" t="s">
        <v>294</v>
      </c>
      <c r="U6" s="75">
        <v>45825</v>
      </c>
      <c r="V6" s="75">
        <v>46129</v>
      </c>
      <c r="W6" s="13">
        <f ca="1">V6-TODAY()</f>
        <v>44</v>
      </c>
      <c r="X6" s="6" t="str">
        <f ca="1">IF(W6&gt;=20,"Vigente",IF(AND(W6&gt;=1,W6&lt;=20),"Por Vencer","Vencido"))</f>
        <v>Vigente</v>
      </c>
      <c r="Y6" s="6"/>
    </row>
    <row r="7" spans="1:189" ht="65.25" hidden="1" customHeight="1">
      <c r="A7" s="13" t="s">
        <v>59</v>
      </c>
      <c r="B7" s="13" t="s">
        <v>575</v>
      </c>
      <c r="C7" s="55">
        <v>25960347</v>
      </c>
      <c r="D7" s="56">
        <v>1</v>
      </c>
      <c r="E7" s="27" t="e">
        <f ca="1">DATEDIF(#REF!,TODAY(),"Y")</f>
        <v>#REF!</v>
      </c>
      <c r="F7" s="27" t="s">
        <v>18</v>
      </c>
      <c r="G7" s="27" t="s">
        <v>576</v>
      </c>
      <c r="H7" s="19" t="s">
        <v>315</v>
      </c>
      <c r="I7" s="27">
        <v>2020</v>
      </c>
      <c r="J7" s="71">
        <v>44026</v>
      </c>
      <c r="K7" s="27" t="s">
        <v>31</v>
      </c>
      <c r="L7" s="27" t="s">
        <v>21</v>
      </c>
      <c r="M7" s="71">
        <v>44095</v>
      </c>
      <c r="N7" s="13" t="s">
        <v>577</v>
      </c>
      <c r="O7" s="72" t="s">
        <v>58</v>
      </c>
      <c r="P7" s="13" t="s">
        <v>27</v>
      </c>
      <c r="Q7" s="13" t="s">
        <v>521</v>
      </c>
      <c r="R7" s="13" t="s">
        <v>578</v>
      </c>
      <c r="S7" s="13" t="s">
        <v>276</v>
      </c>
      <c r="T7" s="13" t="s">
        <v>294</v>
      </c>
      <c r="U7" s="85">
        <v>45581</v>
      </c>
      <c r="V7" s="85">
        <v>45824</v>
      </c>
      <c r="W7" s="13">
        <f ca="1">V7-TODAY()</f>
        <v>-261</v>
      </c>
      <c r="X7" s="13" t="str">
        <f ca="1">IF(W7&gt;=20,"Vigente",IF(AND(W7&gt;=1,W7&lt;=20),"Por Vencer","Vencido"))</f>
        <v>Vencido</v>
      </c>
      <c r="Y7" s="13" t="s">
        <v>521</v>
      </c>
    </row>
    <row r="8" spans="1:189" s="37" customFormat="1" ht="80.25" hidden="1" customHeight="1">
      <c r="A8" s="13" t="s">
        <v>184</v>
      </c>
      <c r="B8" s="13" t="s">
        <v>579</v>
      </c>
      <c r="C8" s="51">
        <v>19667292</v>
      </c>
      <c r="D8" s="52">
        <v>3</v>
      </c>
      <c r="E8" s="27">
        <v>28</v>
      </c>
      <c r="F8" s="27" t="s">
        <v>18</v>
      </c>
      <c r="G8" s="27" t="s">
        <v>580</v>
      </c>
      <c r="H8" s="27" t="s">
        <v>315</v>
      </c>
      <c r="I8" s="27">
        <v>2020</v>
      </c>
      <c r="J8" s="71">
        <v>44175</v>
      </c>
      <c r="K8" s="27" t="s">
        <v>166</v>
      </c>
      <c r="L8" s="27" t="s">
        <v>21</v>
      </c>
      <c r="M8" s="27" t="s">
        <v>180</v>
      </c>
      <c r="N8" s="13" t="s">
        <v>176</v>
      </c>
      <c r="O8" s="72" t="s">
        <v>58</v>
      </c>
      <c r="P8" s="13" t="s">
        <v>149</v>
      </c>
      <c r="Q8" s="13"/>
      <c r="R8" s="13" t="s">
        <v>581</v>
      </c>
      <c r="S8" s="13" t="s">
        <v>433</v>
      </c>
      <c r="T8" s="13" t="s">
        <v>294</v>
      </c>
      <c r="U8" s="85">
        <v>46028</v>
      </c>
      <c r="V8" s="85">
        <v>46393</v>
      </c>
      <c r="W8" s="13">
        <f ca="1">V8-TODAY()</f>
        <v>308</v>
      </c>
      <c r="X8" s="13" t="str">
        <f ca="1">IF(W8&gt;=20,"Vigente",IF(AND(W8&gt;=1,W8&lt;=20),"Por Vencer","Vencido"))</f>
        <v>Vigente</v>
      </c>
      <c r="Y8" s="185"/>
    </row>
    <row r="9" spans="1:189" ht="65.25" hidden="1" customHeight="1">
      <c r="A9" s="6" t="s">
        <v>184</v>
      </c>
      <c r="B9" s="6" t="s">
        <v>582</v>
      </c>
      <c r="C9" s="9">
        <v>16135343</v>
      </c>
      <c r="D9" s="57">
        <v>4</v>
      </c>
      <c r="E9" s="6">
        <v>38</v>
      </c>
      <c r="F9" s="19" t="s">
        <v>26</v>
      </c>
      <c r="G9" s="19" t="s">
        <v>583</v>
      </c>
      <c r="H9" s="19" t="s">
        <v>315</v>
      </c>
      <c r="I9" s="19">
        <v>2019</v>
      </c>
      <c r="J9" s="73">
        <v>47333</v>
      </c>
      <c r="K9" s="19" t="s">
        <v>62</v>
      </c>
      <c r="L9" s="19" t="s">
        <v>395</v>
      </c>
      <c r="M9" s="75">
        <v>43899</v>
      </c>
      <c r="N9" s="19" t="s">
        <v>584</v>
      </c>
      <c r="O9" s="72" t="s">
        <v>58</v>
      </c>
      <c r="P9" s="6" t="s">
        <v>152</v>
      </c>
      <c r="Q9" s="6"/>
      <c r="R9" s="26" t="s">
        <v>585</v>
      </c>
      <c r="S9" s="6" t="s">
        <v>433</v>
      </c>
      <c r="T9" s="6" t="s">
        <v>285</v>
      </c>
      <c r="U9" s="75">
        <v>45779</v>
      </c>
      <c r="V9" s="75">
        <v>46114</v>
      </c>
      <c r="W9" s="13">
        <f ca="1">V9-TODAY()</f>
        <v>29</v>
      </c>
      <c r="X9" s="6" t="str">
        <f ca="1">IF(W9&gt;=20,"Vigente",IF(AND(W9&gt;=1,W9&lt;=20),"Por Vencer","Vencido"))</f>
        <v>Vigente</v>
      </c>
      <c r="Y9" s="6"/>
    </row>
    <row r="10" spans="1:189" s="39" customFormat="1" ht="65.25" hidden="1" customHeight="1">
      <c r="A10" s="60" t="s">
        <v>184</v>
      </c>
      <c r="B10" s="13" t="s">
        <v>586</v>
      </c>
      <c r="C10" s="51">
        <v>11514534</v>
      </c>
      <c r="D10" s="52">
        <v>7</v>
      </c>
      <c r="E10" s="27" t="e">
        <f ca="1">DATEDIF(#REF!,TODAY(),"Y")</f>
        <v>#REF!</v>
      </c>
      <c r="F10" s="27" t="s">
        <v>64</v>
      </c>
      <c r="G10" s="27" t="s">
        <v>141</v>
      </c>
      <c r="H10" s="19" t="s">
        <v>315</v>
      </c>
      <c r="I10" s="27" t="s">
        <v>174</v>
      </c>
      <c r="J10" s="27" t="s">
        <v>178</v>
      </c>
      <c r="K10" s="27" t="s">
        <v>31</v>
      </c>
      <c r="L10" s="27" t="s">
        <v>21</v>
      </c>
      <c r="M10" s="71">
        <v>45861</v>
      </c>
      <c r="N10" s="13" t="s">
        <v>587</v>
      </c>
      <c r="O10" s="79" t="s">
        <v>34</v>
      </c>
      <c r="P10" s="13" t="s">
        <v>152</v>
      </c>
      <c r="Q10" s="13"/>
      <c r="R10" s="88" t="s">
        <v>527</v>
      </c>
      <c r="S10" s="13" t="s">
        <v>288</v>
      </c>
      <c r="T10" s="13" t="s">
        <v>289</v>
      </c>
      <c r="U10" s="85">
        <v>46044</v>
      </c>
      <c r="V10" s="85">
        <v>46134</v>
      </c>
      <c r="W10" s="13">
        <f ca="1">V10-TODAY()</f>
        <v>49</v>
      </c>
      <c r="X10" s="13" t="str">
        <f ca="1">IF(W10&gt;=20,"Vigente",IF(AND(W10&gt;=1,W10&lt;=20),"Por Vencer","Vencido"))</f>
        <v>Vigente</v>
      </c>
      <c r="Y10" s="13"/>
    </row>
    <row r="11" spans="1:189" ht="65.25" hidden="1" customHeight="1">
      <c r="A11" s="6" t="s">
        <v>184</v>
      </c>
      <c r="B11" s="6" t="s">
        <v>588</v>
      </c>
      <c r="C11" s="43">
        <v>10564948</v>
      </c>
      <c r="D11" s="54">
        <v>7</v>
      </c>
      <c r="E11" s="19" t="e">
        <f ca="1">DATEDIF(#REF!,TODAY(),"Y")</f>
        <v>#REF!</v>
      </c>
      <c r="F11" s="61" t="s">
        <v>64</v>
      </c>
      <c r="G11" s="27" t="s">
        <v>141</v>
      </c>
      <c r="H11" s="19" t="s">
        <v>315</v>
      </c>
      <c r="I11" s="19">
        <v>2024</v>
      </c>
      <c r="J11" s="73">
        <v>45411</v>
      </c>
      <c r="K11" s="19" t="s">
        <v>62</v>
      </c>
      <c r="L11" s="19" t="s">
        <v>32</v>
      </c>
      <c r="M11" s="73">
        <v>45502</v>
      </c>
      <c r="N11" s="6" t="s">
        <v>589</v>
      </c>
      <c r="O11" s="72" t="s">
        <v>58</v>
      </c>
      <c r="P11" s="6" t="s">
        <v>152</v>
      </c>
      <c r="Q11" s="6"/>
      <c r="R11" s="6" t="s">
        <v>590</v>
      </c>
      <c r="S11" s="6" t="s">
        <v>591</v>
      </c>
      <c r="T11" s="6" t="s">
        <v>285</v>
      </c>
      <c r="U11" s="75">
        <v>45934</v>
      </c>
      <c r="V11" s="75">
        <v>46296</v>
      </c>
      <c r="W11" s="13">
        <f ca="1">V11-TODAY()</f>
        <v>211</v>
      </c>
      <c r="X11" s="6" t="str">
        <f ca="1">IF(W11&gt;=20,"Vigente",IF(AND(W11&gt;=1,W11&lt;=20),"Por Vencer","Vencido"))</f>
        <v>Vigente</v>
      </c>
      <c r="Y11" s="6"/>
    </row>
    <row r="12" spans="1:189" s="40" customFormat="1" ht="65.25" hidden="1" customHeight="1">
      <c r="A12" s="6" t="s">
        <v>184</v>
      </c>
      <c r="B12" s="6" t="s">
        <v>592</v>
      </c>
      <c r="C12" s="53">
        <v>9940514</v>
      </c>
      <c r="D12" s="54">
        <v>7</v>
      </c>
      <c r="E12" s="19" t="e">
        <f ca="1">DATEDIF(#REF!,TODAY(),"Y")</f>
        <v>#REF!</v>
      </c>
      <c r="F12" s="19" t="s">
        <v>18</v>
      </c>
      <c r="G12" s="27" t="s">
        <v>141</v>
      </c>
      <c r="H12" s="6" t="s">
        <v>315</v>
      </c>
      <c r="I12" s="19">
        <v>2024</v>
      </c>
      <c r="J12" s="73">
        <v>45400</v>
      </c>
      <c r="K12" s="19" t="s">
        <v>62</v>
      </c>
      <c r="L12" s="19" t="s">
        <v>21</v>
      </c>
      <c r="M12" s="73">
        <v>45509</v>
      </c>
      <c r="N12" s="6" t="s">
        <v>593</v>
      </c>
      <c r="O12" s="72" t="s">
        <v>58</v>
      </c>
      <c r="P12" s="6" t="s">
        <v>152</v>
      </c>
      <c r="Q12" s="6" t="s">
        <v>521</v>
      </c>
      <c r="R12" s="184" t="s">
        <v>594</v>
      </c>
      <c r="S12" s="184" t="s">
        <v>595</v>
      </c>
      <c r="T12" s="6" t="s">
        <v>428</v>
      </c>
      <c r="U12" s="75">
        <v>45869</v>
      </c>
      <c r="V12" s="75">
        <v>46022</v>
      </c>
      <c r="W12" s="13">
        <f ca="1">V12-TODAY()</f>
        <v>-63</v>
      </c>
      <c r="X12" s="6" t="str">
        <f ca="1">IF(W12&gt;=20,"Vigente",IF(AND(W12&gt;=1,W12&lt;=20),"Por Vencer","Vencido"))</f>
        <v>Vencido</v>
      </c>
      <c r="Y12" s="6"/>
    </row>
    <row r="13" spans="1:189" s="37" customFormat="1" ht="65.25" hidden="1" customHeight="1">
      <c r="A13" s="13" t="s">
        <v>184</v>
      </c>
      <c r="B13" s="13" t="s">
        <v>596</v>
      </c>
      <c r="C13" s="58">
        <v>9712130</v>
      </c>
      <c r="D13" s="59">
        <v>3</v>
      </c>
      <c r="E13" s="27" t="e">
        <f ca="1">DATEDIF(#REF!,TODAY(),"Y")</f>
        <v>#REF!</v>
      </c>
      <c r="F13" s="27" t="s">
        <v>64</v>
      </c>
      <c r="G13" s="27" t="s">
        <v>19</v>
      </c>
      <c r="H13" s="27" t="s">
        <v>315</v>
      </c>
      <c r="I13" s="27">
        <v>2016</v>
      </c>
      <c r="J13" s="76">
        <v>42640</v>
      </c>
      <c r="K13" s="77" t="s">
        <v>20</v>
      </c>
      <c r="L13" s="27" t="s">
        <v>21</v>
      </c>
      <c r="M13" s="27" t="s">
        <v>180</v>
      </c>
      <c r="N13" s="13" t="s">
        <v>176</v>
      </c>
      <c r="O13" s="72" t="s">
        <v>58</v>
      </c>
      <c r="P13" s="13" t="s">
        <v>27</v>
      </c>
      <c r="Q13" s="13" t="s">
        <v>597</v>
      </c>
      <c r="R13" s="87" t="s">
        <v>598</v>
      </c>
      <c r="S13" s="13" t="s">
        <v>276</v>
      </c>
      <c r="T13" s="13" t="s">
        <v>473</v>
      </c>
      <c r="U13" s="85">
        <v>45357</v>
      </c>
      <c r="V13" s="85">
        <v>45418</v>
      </c>
      <c r="W13" s="13">
        <f ca="1">V13-TODAY()</f>
        <v>-667</v>
      </c>
      <c r="X13" s="13" t="str">
        <f ca="1">IF(W13&gt;=20,"Vigente",IF(AND(W13&gt;=1,W13&lt;=20),"Por Vencer","Vencido"))</f>
        <v>Vencido</v>
      </c>
      <c r="Y13" s="13" t="s">
        <v>599</v>
      </c>
    </row>
    <row r="14" spans="1:189" ht="65.25" hidden="1" customHeight="1">
      <c r="A14" s="6" t="s">
        <v>184</v>
      </c>
      <c r="B14" s="6" t="s">
        <v>600</v>
      </c>
      <c r="C14" s="53">
        <v>5326768</v>
      </c>
      <c r="D14" s="54">
        <v>8</v>
      </c>
      <c r="E14" s="19" t="e">
        <f ca="1">DATEDIF(#REF!,TODAY(),"Y")</f>
        <v>#REF!</v>
      </c>
      <c r="F14" s="61" t="s">
        <v>18</v>
      </c>
      <c r="G14" s="27" t="s">
        <v>141</v>
      </c>
      <c r="H14" s="6" t="s">
        <v>315</v>
      </c>
      <c r="I14" s="19">
        <v>2020</v>
      </c>
      <c r="J14" s="73">
        <v>43896</v>
      </c>
      <c r="K14" s="19" t="s">
        <v>166</v>
      </c>
      <c r="L14" s="19" t="s">
        <v>21</v>
      </c>
      <c r="M14" s="73">
        <v>44001</v>
      </c>
      <c r="N14" s="6" t="s">
        <v>430</v>
      </c>
      <c r="O14" s="72" t="s">
        <v>58</v>
      </c>
      <c r="P14" s="6" t="s">
        <v>601</v>
      </c>
      <c r="Q14" s="6" t="s">
        <v>480</v>
      </c>
      <c r="R14" s="13" t="s">
        <v>602</v>
      </c>
      <c r="S14" s="6" t="s">
        <v>603</v>
      </c>
      <c r="T14" s="6" t="s">
        <v>473</v>
      </c>
      <c r="U14" s="75">
        <v>45678</v>
      </c>
      <c r="V14" s="75">
        <v>45982</v>
      </c>
      <c r="W14" s="13">
        <f ca="1">V14-TODAY()</f>
        <v>-103</v>
      </c>
      <c r="X14" s="6" t="str">
        <f ca="1">IF(W14&gt;=20,"Vigente",IF(AND(W14&gt;=1,W14&lt;=20),"Por Vencer","Vencido"))</f>
        <v>Vencido</v>
      </c>
      <c r="Y14" s="6" t="s">
        <v>483</v>
      </c>
    </row>
    <row r="15" spans="1:189" s="37" customFormat="1" ht="65.25" hidden="1" customHeight="1">
      <c r="A15" s="13" t="s">
        <v>184</v>
      </c>
      <c r="B15" s="13" t="s">
        <v>604</v>
      </c>
      <c r="C15" s="51">
        <v>8194957</v>
      </c>
      <c r="D15" s="52">
        <v>3</v>
      </c>
      <c r="E15" s="27" t="e">
        <f ca="1">DATEDIF(#REF!,TODAY(),"Y")</f>
        <v>#REF!</v>
      </c>
      <c r="F15" s="27" t="s">
        <v>18</v>
      </c>
      <c r="G15" s="27" t="s">
        <v>141</v>
      </c>
      <c r="H15" s="13" t="s">
        <v>315</v>
      </c>
      <c r="I15" s="27" t="s">
        <v>174</v>
      </c>
      <c r="J15" s="27" t="s">
        <v>178</v>
      </c>
      <c r="K15" s="27" t="s">
        <v>166</v>
      </c>
      <c r="L15" s="27" t="s">
        <v>21</v>
      </c>
      <c r="M15" s="71">
        <v>43700</v>
      </c>
      <c r="N15" s="13" t="s">
        <v>605</v>
      </c>
      <c r="O15" s="72" t="s">
        <v>58</v>
      </c>
      <c r="P15" s="13" t="s">
        <v>27</v>
      </c>
      <c r="Q15" s="13" t="s">
        <v>597</v>
      </c>
      <c r="R15" s="13" t="s">
        <v>606</v>
      </c>
      <c r="S15" s="13" t="s">
        <v>284</v>
      </c>
      <c r="T15" s="13" t="s">
        <v>473</v>
      </c>
      <c r="U15" s="85" t="s">
        <v>607</v>
      </c>
      <c r="V15" s="85">
        <v>45886</v>
      </c>
      <c r="W15" s="13">
        <f ca="1">V15-TODAY()</f>
        <v>-199</v>
      </c>
      <c r="X15" s="13" t="str">
        <f ca="1">IF(W15&gt;=20,"Vigente",IF(AND(W15&gt;=1,W15&lt;=20),"Por Vencer","Vencido"))</f>
        <v>Vencido</v>
      </c>
      <c r="Y15" s="13" t="s">
        <v>483</v>
      </c>
    </row>
    <row r="16" spans="1:189" ht="65.25" hidden="1" customHeight="1">
      <c r="A16" s="6" t="s">
        <v>184</v>
      </c>
      <c r="B16" s="6" t="s">
        <v>608</v>
      </c>
      <c r="C16" s="53">
        <v>5146193</v>
      </c>
      <c r="D16" s="54">
        <v>2</v>
      </c>
      <c r="E16" s="19" t="e">
        <f ca="1">DATEDIF(#REF!,TODAY(),"Y")</f>
        <v>#REF!</v>
      </c>
      <c r="F16" s="19" t="s">
        <v>26</v>
      </c>
      <c r="G16" s="27" t="s">
        <v>141</v>
      </c>
      <c r="H16" s="6" t="s">
        <v>315</v>
      </c>
      <c r="I16" s="19">
        <v>2023</v>
      </c>
      <c r="J16" s="73">
        <v>45131</v>
      </c>
      <c r="K16" s="19" t="s">
        <v>20</v>
      </c>
      <c r="L16" s="19" t="s">
        <v>21</v>
      </c>
      <c r="M16" s="73">
        <v>45201</v>
      </c>
      <c r="N16" s="6" t="s">
        <v>444</v>
      </c>
      <c r="O16" s="72" t="s">
        <v>58</v>
      </c>
      <c r="P16" s="6" t="s">
        <v>27</v>
      </c>
      <c r="Q16" s="13" t="s">
        <v>609</v>
      </c>
      <c r="R16" s="13" t="s">
        <v>610</v>
      </c>
      <c r="S16" s="6" t="s">
        <v>611</v>
      </c>
      <c r="T16" s="6" t="s">
        <v>294</v>
      </c>
      <c r="U16" s="75">
        <v>45482</v>
      </c>
      <c r="V16" s="75">
        <v>45756</v>
      </c>
      <c r="W16" s="13">
        <f ca="1">V16-TODAY()</f>
        <v>-329</v>
      </c>
      <c r="X16" s="6" t="str">
        <f ca="1">IF(W16&gt;=20,"Vigente",IF(AND(W16&gt;=1,W16&lt;=20),"Por Vencer","Vencido"))</f>
        <v>Vencido</v>
      </c>
      <c r="Y16" s="6" t="s">
        <v>483</v>
      </c>
    </row>
    <row r="17" spans="1:27" s="37" customFormat="1" ht="65.25" hidden="1" customHeight="1">
      <c r="A17" s="13" t="s">
        <v>184</v>
      </c>
      <c r="B17" s="13" t="s">
        <v>612</v>
      </c>
      <c r="C17" s="51">
        <v>12749431</v>
      </c>
      <c r="D17" s="52">
        <v>2</v>
      </c>
      <c r="E17" s="27" t="e">
        <f ca="1">DATEDIF(#REF!,TODAY(),"Y")</f>
        <v>#REF!</v>
      </c>
      <c r="F17" s="27" t="s">
        <v>110</v>
      </c>
      <c r="G17" s="27" t="s">
        <v>141</v>
      </c>
      <c r="H17" s="13" t="s">
        <v>315</v>
      </c>
      <c r="I17" s="27" t="s">
        <v>174</v>
      </c>
      <c r="J17" s="27" t="s">
        <v>178</v>
      </c>
      <c r="K17" s="27" t="s">
        <v>20</v>
      </c>
      <c r="L17" s="27" t="s">
        <v>21</v>
      </c>
      <c r="M17" s="27" t="s">
        <v>180</v>
      </c>
      <c r="N17" s="13" t="s">
        <v>176</v>
      </c>
      <c r="O17" s="72" t="s">
        <v>58</v>
      </c>
      <c r="P17" s="13" t="s">
        <v>152</v>
      </c>
      <c r="Q17" s="185"/>
      <c r="R17" s="185" t="s">
        <v>613</v>
      </c>
      <c r="S17" s="13" t="s">
        <v>433</v>
      </c>
      <c r="T17" s="13" t="s">
        <v>511</v>
      </c>
      <c r="U17" s="85">
        <v>45964</v>
      </c>
      <c r="V17" s="85">
        <v>46237</v>
      </c>
      <c r="W17" s="13">
        <f ca="1">V17-TODAY()</f>
        <v>152</v>
      </c>
      <c r="X17" s="13" t="str">
        <f ca="1">IF(W17&gt;=20,"Vigente",IF(AND(W17&gt;=1,W17&lt;=20),"Por Vencer","Vencido"))</f>
        <v>Vigente</v>
      </c>
      <c r="Y17" s="185"/>
    </row>
    <row r="18" spans="1:27" ht="65.25" hidden="1" customHeight="1">
      <c r="A18" s="6" t="s">
        <v>184</v>
      </c>
      <c r="B18" s="6" t="s">
        <v>614</v>
      </c>
      <c r="C18" s="53">
        <v>13174496</v>
      </c>
      <c r="D18" s="54" t="s">
        <v>129</v>
      </c>
      <c r="E18" s="19" t="e">
        <f ca="1">DATEDIF(#REF!,TODAY(),"Y")</f>
        <v>#REF!</v>
      </c>
      <c r="F18" s="19" t="s">
        <v>18</v>
      </c>
      <c r="G18" s="27" t="s">
        <v>141</v>
      </c>
      <c r="H18" s="6" t="s">
        <v>315</v>
      </c>
      <c r="I18" s="19">
        <v>2023</v>
      </c>
      <c r="J18" s="73">
        <v>45134</v>
      </c>
      <c r="K18" s="19" t="s">
        <v>20</v>
      </c>
      <c r="L18" s="19" t="s">
        <v>32</v>
      </c>
      <c r="M18" s="73">
        <v>45243</v>
      </c>
      <c r="N18" s="13" t="s">
        <v>441</v>
      </c>
      <c r="O18" s="78" t="s">
        <v>169</v>
      </c>
      <c r="P18" s="6" t="s">
        <v>152</v>
      </c>
      <c r="Q18" s="6"/>
      <c r="R18" s="36" t="s">
        <v>615</v>
      </c>
      <c r="S18" s="6" t="s">
        <v>288</v>
      </c>
      <c r="T18" s="6" t="s">
        <v>277</v>
      </c>
      <c r="U18" s="75">
        <v>45855</v>
      </c>
      <c r="V18" s="75">
        <v>45947</v>
      </c>
      <c r="W18" s="13">
        <f ca="1">V18-TODAY()</f>
        <v>-138</v>
      </c>
      <c r="X18" s="6" t="str">
        <f ca="1">IF(W18&gt;=20,"Vigente",IF(AND(W18&gt;=1,W18&lt;=20),"Por Vencer","Vencido"))</f>
        <v>Vencido</v>
      </c>
      <c r="Y18" s="6"/>
    </row>
    <row r="19" spans="1:27" s="37" customFormat="1" ht="65.25" hidden="1" customHeight="1">
      <c r="A19" s="13" t="s">
        <v>184</v>
      </c>
      <c r="B19" s="13" t="s">
        <v>616</v>
      </c>
      <c r="C19" s="51">
        <v>5370732</v>
      </c>
      <c r="D19" s="52">
        <v>7</v>
      </c>
      <c r="E19" s="27" t="e">
        <f ca="1">DATEDIF(#REF!,TODAY(),"Y")</f>
        <v>#REF!</v>
      </c>
      <c r="F19" s="27" t="s">
        <v>18</v>
      </c>
      <c r="G19" s="27" t="s">
        <v>141</v>
      </c>
      <c r="H19" s="13" t="s">
        <v>315</v>
      </c>
      <c r="I19" s="27">
        <v>2020</v>
      </c>
      <c r="J19" s="71">
        <v>44180</v>
      </c>
      <c r="K19" s="27" t="s">
        <v>62</v>
      </c>
      <c r="L19" s="27" t="s">
        <v>21</v>
      </c>
      <c r="M19" s="71">
        <v>44215</v>
      </c>
      <c r="N19" s="13" t="s">
        <v>201</v>
      </c>
      <c r="O19" s="72" t="s">
        <v>58</v>
      </c>
      <c r="P19" s="13" t="s">
        <v>152</v>
      </c>
      <c r="Q19" s="13"/>
      <c r="R19" s="13" t="s">
        <v>383</v>
      </c>
      <c r="S19" s="13" t="s">
        <v>288</v>
      </c>
      <c r="T19" s="13" t="s">
        <v>289</v>
      </c>
      <c r="U19" s="85">
        <v>45995</v>
      </c>
      <c r="V19" s="85">
        <v>46085</v>
      </c>
      <c r="W19" s="13">
        <f ca="1">V19-TODAY()</f>
        <v>0</v>
      </c>
      <c r="X19" s="13" t="str">
        <f ca="1">IF(W19&gt;=20,"Vigente",IF(AND(W19&gt;=1,W19&lt;=20),"Por Vencer","Vencido"))</f>
        <v>Vencido</v>
      </c>
      <c r="Y19" s="13"/>
    </row>
    <row r="20" spans="1:27" ht="65.25" hidden="1" customHeight="1">
      <c r="A20" s="13" t="s">
        <v>184</v>
      </c>
      <c r="B20" s="13" t="s">
        <v>617</v>
      </c>
      <c r="C20" s="58">
        <v>9245578</v>
      </c>
      <c r="D20" s="59">
        <v>5</v>
      </c>
      <c r="E20" s="27" t="e">
        <f ca="1">DATEDIF(#REF!,TODAY(),"Y")</f>
        <v>#REF!</v>
      </c>
      <c r="F20" s="27" t="s">
        <v>64</v>
      </c>
      <c r="G20" s="13" t="s">
        <v>68</v>
      </c>
      <c r="H20" s="6" t="s">
        <v>315</v>
      </c>
      <c r="I20" s="27" t="s">
        <v>174</v>
      </c>
      <c r="J20" s="27" t="s">
        <v>178</v>
      </c>
      <c r="K20" s="27" t="s">
        <v>62</v>
      </c>
      <c r="L20" s="27" t="s">
        <v>241</v>
      </c>
      <c r="M20" s="71">
        <v>46057</v>
      </c>
      <c r="N20" s="13" t="s">
        <v>618</v>
      </c>
      <c r="O20" s="79" t="s">
        <v>34</v>
      </c>
      <c r="P20" s="13" t="s">
        <v>152</v>
      </c>
      <c r="Q20" s="13"/>
      <c r="R20" s="13" t="s">
        <v>619</v>
      </c>
      <c r="S20" s="13" t="s">
        <v>284</v>
      </c>
      <c r="T20" s="13" t="s">
        <v>277</v>
      </c>
      <c r="U20" s="85">
        <v>46065</v>
      </c>
      <c r="V20" s="85">
        <v>46093</v>
      </c>
      <c r="W20" s="13">
        <f ca="1">V20-TODAY()</f>
        <v>8</v>
      </c>
      <c r="X20" s="13" t="str">
        <f ca="1">IF(W20&gt;=20,"Vigente",IF(AND(W20&gt;=1,W20&lt;=20),"Por Vencer","Vencido"))</f>
        <v>Por Vencer</v>
      </c>
      <c r="Y20" s="13"/>
      <c r="Z20" s="46"/>
    </row>
    <row r="21" spans="1:27" ht="65.25" hidden="1" customHeight="1">
      <c r="A21" s="6" t="s">
        <v>184</v>
      </c>
      <c r="B21" s="6" t="s">
        <v>620</v>
      </c>
      <c r="C21" s="53">
        <v>4638779</v>
      </c>
      <c r="D21" s="54">
        <v>1</v>
      </c>
      <c r="E21" s="19" t="e">
        <f ca="1">DATEDIF(#REF!,TODAY(),"Y")</f>
        <v>#REF!</v>
      </c>
      <c r="F21" s="61" t="s">
        <v>18</v>
      </c>
      <c r="G21" s="6" t="s">
        <v>19</v>
      </c>
      <c r="H21" s="6" t="s">
        <v>315</v>
      </c>
      <c r="I21" s="19">
        <v>2024</v>
      </c>
      <c r="J21" s="73">
        <v>45415</v>
      </c>
      <c r="K21" s="19" t="s">
        <v>62</v>
      </c>
      <c r="L21" s="19" t="s">
        <v>21</v>
      </c>
      <c r="M21" s="73">
        <v>45565</v>
      </c>
      <c r="N21" s="6" t="s">
        <v>621</v>
      </c>
      <c r="O21" s="72" t="s">
        <v>58</v>
      </c>
      <c r="P21" s="6" t="s">
        <v>27</v>
      </c>
      <c r="Q21" s="6" t="s">
        <v>597</v>
      </c>
      <c r="R21" s="13" t="s">
        <v>598</v>
      </c>
      <c r="S21" s="6" t="s">
        <v>284</v>
      </c>
      <c r="T21" s="6" t="s">
        <v>473</v>
      </c>
      <c r="U21" s="75">
        <v>45811</v>
      </c>
      <c r="V21" s="75">
        <v>45841</v>
      </c>
      <c r="W21" s="13">
        <f ca="1">V21-TODAY()</f>
        <v>-244</v>
      </c>
      <c r="X21" s="6" t="str">
        <f ca="1">IF(W21&gt;=20,"Vigente",IF(AND(W21&gt;=1,W21&lt;=20),"Por Vencer","Vencido"))</f>
        <v>Vencido</v>
      </c>
      <c r="Y21" s="6" t="s">
        <v>622</v>
      </c>
    </row>
    <row r="22" spans="1:27" s="41" customFormat="1" ht="65.25" hidden="1" customHeight="1">
      <c r="A22" s="6" t="s">
        <v>184</v>
      </c>
      <c r="B22" s="6" t="s">
        <v>623</v>
      </c>
      <c r="C22" s="53">
        <v>12172090</v>
      </c>
      <c r="D22" s="54">
        <v>6</v>
      </c>
      <c r="E22" s="6">
        <v>52</v>
      </c>
      <c r="F22" s="19" t="s">
        <v>18</v>
      </c>
      <c r="G22" s="19" t="s">
        <v>19</v>
      </c>
      <c r="H22" s="19" t="s">
        <v>315</v>
      </c>
      <c r="I22" s="19">
        <v>2019</v>
      </c>
      <c r="J22" s="73">
        <v>43600</v>
      </c>
      <c r="K22" s="19" t="s">
        <v>166</v>
      </c>
      <c r="L22" s="19" t="s">
        <v>156</v>
      </c>
      <c r="M22" s="75">
        <v>43759</v>
      </c>
      <c r="N22" s="19" t="s">
        <v>624</v>
      </c>
      <c r="O22" s="72" t="s">
        <v>58</v>
      </c>
      <c r="P22" s="6" t="s">
        <v>27</v>
      </c>
      <c r="Q22" s="6" t="s">
        <v>597</v>
      </c>
      <c r="R22" s="6" t="s">
        <v>625</v>
      </c>
      <c r="S22" s="6" t="s">
        <v>433</v>
      </c>
      <c r="T22" s="6" t="s">
        <v>285</v>
      </c>
      <c r="U22" s="75">
        <v>45624</v>
      </c>
      <c r="V22" s="75">
        <v>45958</v>
      </c>
      <c r="W22" s="13">
        <f ca="1">V22-TODAY()</f>
        <v>-127</v>
      </c>
      <c r="X22" s="6" t="str">
        <f ca="1">IF(W22&gt;=20,"Vigente",IF(AND(W22&gt;=1,W22&lt;=20),"Por Vencer","Vencido"))</f>
        <v>Vencido</v>
      </c>
      <c r="Y22" s="6" t="s">
        <v>483</v>
      </c>
      <c r="Z22" s="93"/>
      <c r="AA22" s="94"/>
    </row>
    <row r="23" spans="1:27" ht="65.25" hidden="1" customHeight="1">
      <c r="A23" s="6" t="s">
        <v>59</v>
      </c>
      <c r="B23" s="6" t="s">
        <v>626</v>
      </c>
      <c r="C23" s="51">
        <v>9062888</v>
      </c>
      <c r="D23" s="54">
        <v>7</v>
      </c>
      <c r="E23" s="6">
        <v>65</v>
      </c>
      <c r="F23" s="61" t="s">
        <v>18</v>
      </c>
      <c r="G23" s="19" t="s">
        <v>627</v>
      </c>
      <c r="H23" s="19" t="s">
        <v>315</v>
      </c>
      <c r="I23" s="19">
        <v>2024</v>
      </c>
      <c r="J23" s="73">
        <v>45573</v>
      </c>
      <c r="K23" s="19" t="s">
        <v>62</v>
      </c>
      <c r="L23" s="19" t="s">
        <v>269</v>
      </c>
      <c r="M23" s="75">
        <v>45621</v>
      </c>
      <c r="N23" s="19" t="s">
        <v>628</v>
      </c>
      <c r="O23" s="72" t="s">
        <v>58</v>
      </c>
      <c r="P23" s="6" t="s">
        <v>27</v>
      </c>
      <c r="Q23" s="6" t="s">
        <v>480</v>
      </c>
      <c r="R23" s="6" t="s">
        <v>629</v>
      </c>
      <c r="S23" s="6" t="s">
        <v>595</v>
      </c>
      <c r="T23" s="6" t="s">
        <v>285</v>
      </c>
      <c r="U23" s="75">
        <v>45622</v>
      </c>
      <c r="V23" s="75">
        <v>45773</v>
      </c>
      <c r="W23" s="13">
        <f ca="1">V23-TODAY()</f>
        <v>-312</v>
      </c>
      <c r="X23" s="6" t="str">
        <f ca="1">IF(W23&gt;=20,"Vigente",IF(AND(W23&gt;=1,W23&lt;=20),"Por Vencer","Vencido"))</f>
        <v>Vencido</v>
      </c>
      <c r="Y23" s="6" t="s">
        <v>622</v>
      </c>
    </row>
    <row r="24" spans="1:27" ht="65.25" hidden="1" customHeight="1">
      <c r="A24" s="6" t="s">
        <v>184</v>
      </c>
      <c r="B24" s="6" t="s">
        <v>630</v>
      </c>
      <c r="C24" s="53">
        <v>7895829</v>
      </c>
      <c r="D24" s="54">
        <v>4</v>
      </c>
      <c r="E24" s="19" t="e">
        <f ca="1">DATEDIF(#REF!,TODAY(),"Y")</f>
        <v>#REF!</v>
      </c>
      <c r="F24" s="61" t="s">
        <v>18</v>
      </c>
      <c r="G24" s="6" t="s">
        <v>19</v>
      </c>
      <c r="H24" s="6" t="s">
        <v>315</v>
      </c>
      <c r="I24" s="19">
        <v>2022</v>
      </c>
      <c r="J24" s="73">
        <v>44833</v>
      </c>
      <c r="K24" s="19" t="s">
        <v>20</v>
      </c>
      <c r="L24" s="19" t="s">
        <v>21</v>
      </c>
      <c r="M24" s="73">
        <v>44949</v>
      </c>
      <c r="N24" s="6" t="s">
        <v>430</v>
      </c>
      <c r="O24" s="72" t="s">
        <v>58</v>
      </c>
      <c r="P24" s="6" t="s">
        <v>152</v>
      </c>
      <c r="Q24" s="6"/>
      <c r="R24" s="89" t="s">
        <v>631</v>
      </c>
      <c r="S24" s="6" t="s">
        <v>632</v>
      </c>
      <c r="T24" s="6" t="s">
        <v>294</v>
      </c>
      <c r="U24" s="75">
        <v>45506</v>
      </c>
      <c r="V24" s="75">
        <v>46601</v>
      </c>
      <c r="W24" s="13">
        <f ca="1">V24-TODAY()</f>
        <v>516</v>
      </c>
      <c r="X24" s="6" t="str">
        <f ca="1">IF(W24&gt;=20,"Vigente",IF(AND(W24&gt;=1,W24&lt;=20),"Por Vencer","Vencido"))</f>
        <v>Vigente</v>
      </c>
      <c r="Y24" s="6"/>
    </row>
    <row r="25" spans="1:27" ht="65.25" hidden="1" customHeight="1">
      <c r="A25" s="6" t="s">
        <v>184</v>
      </c>
      <c r="B25" s="6" t="s">
        <v>633</v>
      </c>
      <c r="C25" s="53">
        <v>22761179</v>
      </c>
      <c r="D25" s="54">
        <v>0</v>
      </c>
      <c r="E25" s="6">
        <v>45</v>
      </c>
      <c r="F25" s="19" t="s">
        <v>18</v>
      </c>
      <c r="G25" s="19" t="s">
        <v>634</v>
      </c>
      <c r="H25" s="19" t="s">
        <v>315</v>
      </c>
      <c r="I25" s="19">
        <v>2024</v>
      </c>
      <c r="J25" s="73">
        <v>45601</v>
      </c>
      <c r="K25" s="19" t="s">
        <v>62</v>
      </c>
      <c r="L25" s="19" t="s">
        <v>21</v>
      </c>
      <c r="M25" s="75">
        <v>45740</v>
      </c>
      <c r="N25" s="19" t="s">
        <v>635</v>
      </c>
      <c r="O25" s="72" t="s">
        <v>58</v>
      </c>
      <c r="P25" s="6" t="s">
        <v>152</v>
      </c>
      <c r="Q25" s="184"/>
      <c r="R25" s="184" t="s">
        <v>636</v>
      </c>
      <c r="S25" s="184" t="s">
        <v>284</v>
      </c>
      <c r="T25" s="6" t="s">
        <v>473</v>
      </c>
      <c r="U25" s="75">
        <v>45993</v>
      </c>
      <c r="V25" s="75">
        <v>46055</v>
      </c>
      <c r="W25" s="13">
        <f ca="1">V25-TODAY()</f>
        <v>-30</v>
      </c>
      <c r="X25" s="6" t="str">
        <f ca="1">IF(W25&gt;=20,"Vigente",IF(AND(W25&gt;=1,W25&lt;=20),"Por Vencer","Vencido"))</f>
        <v>Vencido</v>
      </c>
      <c r="Y25" s="184"/>
    </row>
    <row r="26" spans="1:27" ht="65.25" hidden="1" customHeight="1">
      <c r="A26" s="6" t="s">
        <v>184</v>
      </c>
      <c r="B26" s="6" t="s">
        <v>637</v>
      </c>
      <c r="C26" s="53">
        <v>5410216</v>
      </c>
      <c r="D26" s="54" t="s">
        <v>129</v>
      </c>
      <c r="E26" s="19" t="e">
        <f ca="1">DATEDIF(#REF!,TODAY(),"Y")</f>
        <v>#REF!</v>
      </c>
      <c r="F26" s="19" t="s">
        <v>18</v>
      </c>
      <c r="G26" s="6" t="s">
        <v>19</v>
      </c>
      <c r="H26" s="6" t="s">
        <v>315</v>
      </c>
      <c r="I26" s="19">
        <v>2021</v>
      </c>
      <c r="J26" s="73">
        <v>44516</v>
      </c>
      <c r="K26" s="19" t="s">
        <v>20</v>
      </c>
      <c r="L26" s="19" t="s">
        <v>156</v>
      </c>
      <c r="M26" s="73">
        <v>44648</v>
      </c>
      <c r="N26" s="6" t="s">
        <v>444</v>
      </c>
      <c r="O26" s="72" t="s">
        <v>58</v>
      </c>
      <c r="P26" s="6" t="s">
        <v>152</v>
      </c>
      <c r="Q26" s="6" t="s">
        <v>597</v>
      </c>
      <c r="R26" s="13" t="s">
        <v>638</v>
      </c>
      <c r="S26" s="6" t="s">
        <v>611</v>
      </c>
      <c r="T26" s="6" t="s">
        <v>473</v>
      </c>
      <c r="U26" s="75">
        <v>45728</v>
      </c>
      <c r="V26" s="75">
        <v>45973</v>
      </c>
      <c r="W26" s="13">
        <f ca="1">V26-TODAY()</f>
        <v>-112</v>
      </c>
      <c r="X26" s="6" t="str">
        <f ca="1">IF(W26&gt;=20,"Vigente",IF(AND(W26&gt;=1,W26&lt;=20),"Por Vencer","Vencido"))</f>
        <v>Vencido</v>
      </c>
      <c r="Y26" s="6" t="s">
        <v>483</v>
      </c>
    </row>
    <row r="27" spans="1:27" ht="65.25" hidden="1" customHeight="1">
      <c r="A27" s="6" t="s">
        <v>184</v>
      </c>
      <c r="B27" s="6" t="s">
        <v>639</v>
      </c>
      <c r="C27" s="53">
        <v>10510674</v>
      </c>
      <c r="D27" s="54">
        <v>2</v>
      </c>
      <c r="E27" s="6">
        <v>59</v>
      </c>
      <c r="F27" s="19" t="s">
        <v>18</v>
      </c>
      <c r="G27" s="19" t="s">
        <v>502</v>
      </c>
      <c r="H27" s="19" t="s">
        <v>315</v>
      </c>
      <c r="I27" s="19">
        <v>2024</v>
      </c>
      <c r="J27" s="73">
        <v>45610</v>
      </c>
      <c r="K27" s="19" t="s">
        <v>62</v>
      </c>
      <c r="L27" s="19" t="s">
        <v>168</v>
      </c>
      <c r="M27" s="75">
        <v>45663</v>
      </c>
      <c r="N27" s="19" t="s">
        <v>640</v>
      </c>
      <c r="O27" s="79" t="s">
        <v>34</v>
      </c>
      <c r="P27" s="6" t="s">
        <v>152</v>
      </c>
      <c r="Q27" s="6"/>
      <c r="R27" s="184" t="s">
        <v>641</v>
      </c>
      <c r="S27" s="6" t="s">
        <v>276</v>
      </c>
      <c r="T27" s="6" t="s">
        <v>277</v>
      </c>
      <c r="U27" s="75">
        <v>45904</v>
      </c>
      <c r="V27" s="75">
        <v>45965</v>
      </c>
      <c r="W27" s="13">
        <f ca="1">V27-TODAY()</f>
        <v>-120</v>
      </c>
      <c r="X27" s="6" t="str">
        <f ca="1">IF(W27&gt;=20,"Vigente",IF(AND(W27&gt;=1,W27&lt;=20),"Por Vencer","Vencido"))</f>
        <v>Vencido</v>
      </c>
      <c r="Y27" s="6"/>
    </row>
    <row r="28" spans="1:27" ht="65.25" hidden="1" customHeight="1">
      <c r="A28" s="6" t="s">
        <v>184</v>
      </c>
      <c r="B28" s="6" t="s">
        <v>642</v>
      </c>
      <c r="C28" s="53">
        <v>9081273</v>
      </c>
      <c r="D28" s="54">
        <v>4</v>
      </c>
      <c r="E28" s="19">
        <v>65</v>
      </c>
      <c r="F28" s="19" t="s">
        <v>64</v>
      </c>
      <c r="G28" s="6" t="s">
        <v>19</v>
      </c>
      <c r="H28" s="6" t="s">
        <v>315</v>
      </c>
      <c r="I28" s="19">
        <v>2024</v>
      </c>
      <c r="J28" s="73">
        <v>45446</v>
      </c>
      <c r="K28" s="19" t="s">
        <v>20</v>
      </c>
      <c r="L28" s="19" t="s">
        <v>21</v>
      </c>
      <c r="M28" s="73">
        <v>45516</v>
      </c>
      <c r="N28" s="6" t="s">
        <v>643</v>
      </c>
      <c r="O28" s="72" t="s">
        <v>58</v>
      </c>
      <c r="P28" s="6" t="s">
        <v>152</v>
      </c>
      <c r="Q28" s="6"/>
      <c r="R28" s="13" t="s">
        <v>644</v>
      </c>
      <c r="S28" s="6" t="s">
        <v>388</v>
      </c>
      <c r="T28" s="6" t="s">
        <v>285</v>
      </c>
      <c r="U28" s="75">
        <v>45883</v>
      </c>
      <c r="V28" s="75">
        <v>46370</v>
      </c>
      <c r="W28" s="13">
        <f ca="1">V28-TODAY()</f>
        <v>285</v>
      </c>
      <c r="X28" s="6" t="str">
        <f ca="1">IF(W28&gt;=20,"Vigente",IF(AND(W28&gt;=1,W28&lt;=20),"Por Vencer","Vencido"))</f>
        <v>Vigente</v>
      </c>
      <c r="Y28" s="6"/>
    </row>
    <row r="29" spans="1:27" ht="65.25" hidden="1" customHeight="1">
      <c r="A29" s="6" t="s">
        <v>184</v>
      </c>
      <c r="B29" s="6" t="s">
        <v>645</v>
      </c>
      <c r="C29" s="62">
        <v>9465186</v>
      </c>
      <c r="D29" s="63">
        <v>7</v>
      </c>
      <c r="E29" s="19" t="e">
        <f ca="1">DATEDIF(#REF!,TODAY(),"Y")</f>
        <v>#REF!</v>
      </c>
      <c r="F29" s="19" t="s">
        <v>18</v>
      </c>
      <c r="G29" s="64" t="s">
        <v>19</v>
      </c>
      <c r="H29" s="6" t="s">
        <v>315</v>
      </c>
      <c r="I29" s="80">
        <v>2022</v>
      </c>
      <c r="J29" s="81">
        <v>44712</v>
      </c>
      <c r="K29" s="80" t="s">
        <v>20</v>
      </c>
      <c r="L29" s="19" t="s">
        <v>21</v>
      </c>
      <c r="M29" s="81">
        <v>44760</v>
      </c>
      <c r="N29" s="6" t="s">
        <v>444</v>
      </c>
      <c r="O29" s="72" t="s">
        <v>58</v>
      </c>
      <c r="P29" s="64" t="s">
        <v>152</v>
      </c>
      <c r="Q29" s="64"/>
      <c r="R29" s="36" t="s">
        <v>646</v>
      </c>
      <c r="S29" s="184" t="s">
        <v>647</v>
      </c>
      <c r="T29" s="6" t="s">
        <v>285</v>
      </c>
      <c r="U29" s="75">
        <v>46055</v>
      </c>
      <c r="V29" s="90">
        <v>46291</v>
      </c>
      <c r="W29" s="13">
        <f ca="1">V29-TODAY()</f>
        <v>206</v>
      </c>
      <c r="X29" s="6" t="str">
        <f ca="1">IF(W29&gt;=20,"Vigente",IF(AND(W29&gt;=1,W29&lt;=20),"Por Vencer","Vencido"))</f>
        <v>Vigente</v>
      </c>
      <c r="Y29" s="6"/>
    </row>
    <row r="30" spans="1:27" s="37" customFormat="1" ht="65.25" hidden="1" customHeight="1">
      <c r="A30" s="13" t="s">
        <v>184</v>
      </c>
      <c r="B30" s="13" t="s">
        <v>648</v>
      </c>
      <c r="C30" s="51">
        <v>10570899</v>
      </c>
      <c r="D30" s="52">
        <v>8</v>
      </c>
      <c r="E30" s="27" t="e">
        <f ca="1">DATEDIF(#REF!,TODAY(),"Y")</f>
        <v>#REF!</v>
      </c>
      <c r="F30" s="27" t="s">
        <v>64</v>
      </c>
      <c r="G30" s="13" t="s">
        <v>68</v>
      </c>
      <c r="H30" s="13" t="s">
        <v>315</v>
      </c>
      <c r="I30" s="27">
        <v>2021</v>
      </c>
      <c r="J30" s="71">
        <v>44379</v>
      </c>
      <c r="K30" s="27" t="s">
        <v>20</v>
      </c>
      <c r="L30" s="27" t="s">
        <v>21</v>
      </c>
      <c r="M30" s="71">
        <v>44431</v>
      </c>
      <c r="N30" s="13" t="s">
        <v>649</v>
      </c>
      <c r="O30" s="79" t="s">
        <v>34</v>
      </c>
      <c r="P30" s="13" t="s">
        <v>152</v>
      </c>
      <c r="Q30" s="13"/>
      <c r="R30" s="185" t="s">
        <v>650</v>
      </c>
      <c r="S30" s="13" t="s">
        <v>288</v>
      </c>
      <c r="T30" s="13" t="s">
        <v>277</v>
      </c>
      <c r="U30" s="85">
        <v>45904</v>
      </c>
      <c r="V30" s="85">
        <v>45995</v>
      </c>
      <c r="W30" s="13">
        <f ca="1">V30-TODAY()</f>
        <v>-90</v>
      </c>
      <c r="X30" s="13" t="str">
        <f ca="1">IF(W30&gt;=20,"Vigente",IF(AND(W30&gt;=1,W30&lt;=20),"Por Vencer","Vencido"))</f>
        <v>Vencido</v>
      </c>
      <c r="Y30" s="185"/>
    </row>
    <row r="31" spans="1:27" s="37" customFormat="1" ht="65.25" hidden="1" customHeight="1">
      <c r="A31" s="13" t="s">
        <v>184</v>
      </c>
      <c r="B31" s="13" t="s">
        <v>651</v>
      </c>
      <c r="C31" s="51">
        <v>10111973</v>
      </c>
      <c r="D31" s="52">
        <v>4</v>
      </c>
      <c r="E31" s="70">
        <v>58.816438356164397</v>
      </c>
      <c r="F31" s="68" t="s">
        <v>18</v>
      </c>
      <c r="G31" s="13" t="s">
        <v>19</v>
      </c>
      <c r="H31" s="13" t="s">
        <v>315</v>
      </c>
      <c r="I31" s="27">
        <v>2022</v>
      </c>
      <c r="J31" s="71">
        <v>44880</v>
      </c>
      <c r="K31" s="27" t="s">
        <v>20</v>
      </c>
      <c r="L31" s="27" t="s">
        <v>21</v>
      </c>
      <c r="M31" s="71">
        <v>44921</v>
      </c>
      <c r="N31" s="13" t="s">
        <v>291</v>
      </c>
      <c r="O31" s="72" t="s">
        <v>58</v>
      </c>
      <c r="P31" s="13" t="s">
        <v>152</v>
      </c>
      <c r="Q31" s="13"/>
      <c r="R31" s="13" t="s">
        <v>652</v>
      </c>
      <c r="S31" s="185" t="s">
        <v>284</v>
      </c>
      <c r="T31" s="13" t="s">
        <v>294</v>
      </c>
      <c r="U31" s="85">
        <v>46027</v>
      </c>
      <c r="V31" s="85">
        <v>46058</v>
      </c>
      <c r="W31" s="13">
        <f ca="1">V31-TODAY()</f>
        <v>-27</v>
      </c>
      <c r="X31" s="13" t="str">
        <f ca="1">IF(W31&gt;=20,"Vigente",IF(AND(W31&gt;=1,W31&lt;=20),"Por Vencer","Vencido"))</f>
        <v>Vencido</v>
      </c>
      <c r="Y31" s="13"/>
    </row>
    <row r="32" spans="1:27" ht="65.25" hidden="1" customHeight="1">
      <c r="A32" s="6" t="s">
        <v>184</v>
      </c>
      <c r="B32" s="6" t="s">
        <v>653</v>
      </c>
      <c r="C32" s="53">
        <v>3965422</v>
      </c>
      <c r="D32" s="54">
        <v>9</v>
      </c>
      <c r="E32" s="19" t="e">
        <f ca="1">DATEDIF(#REF!,TODAY(),"Y")</f>
        <v>#REF!</v>
      </c>
      <c r="F32" s="19" t="s">
        <v>18</v>
      </c>
      <c r="G32" s="6" t="s">
        <v>19</v>
      </c>
      <c r="H32" s="6" t="s">
        <v>315</v>
      </c>
      <c r="I32" s="19">
        <v>2021</v>
      </c>
      <c r="J32" s="73">
        <v>44560</v>
      </c>
      <c r="K32" s="19" t="s">
        <v>20</v>
      </c>
      <c r="L32" s="19" t="s">
        <v>21</v>
      </c>
      <c r="M32" s="73">
        <v>45005</v>
      </c>
      <c r="N32" s="6" t="s">
        <v>450</v>
      </c>
      <c r="O32" s="72" t="s">
        <v>58</v>
      </c>
      <c r="P32" s="6" t="s">
        <v>152</v>
      </c>
      <c r="Q32" s="6" t="s">
        <v>654</v>
      </c>
      <c r="R32" s="13" t="s">
        <v>383</v>
      </c>
      <c r="S32" s="6" t="s">
        <v>388</v>
      </c>
      <c r="T32" s="6" t="s">
        <v>277</v>
      </c>
      <c r="U32" s="75">
        <v>45855</v>
      </c>
      <c r="V32" s="75">
        <v>45947</v>
      </c>
      <c r="W32" s="13">
        <f ca="1">V32-TODAY()</f>
        <v>-138</v>
      </c>
      <c r="X32" s="6" t="str">
        <f ca="1">IF(W32&gt;=20,"Vigente",IF(AND(W32&gt;=1,W32&lt;=20),"Por Vencer","Vencido"))</f>
        <v>Vencido</v>
      </c>
      <c r="Y32" s="6"/>
    </row>
    <row r="33" spans="1:25" ht="65.25" hidden="1" customHeight="1">
      <c r="A33" s="6" t="s">
        <v>184</v>
      </c>
      <c r="B33" s="6" t="s">
        <v>655</v>
      </c>
      <c r="C33" s="53">
        <v>4982276</v>
      </c>
      <c r="D33" s="18">
        <v>6</v>
      </c>
      <c r="E33" s="19" t="e">
        <f ca="1">DATEDIF(#REF!,TODAY(),"Y")</f>
        <v>#REF!</v>
      </c>
      <c r="F33" s="19" t="s">
        <v>18</v>
      </c>
      <c r="G33" s="6" t="s">
        <v>19</v>
      </c>
      <c r="H33" s="6" t="s">
        <v>315</v>
      </c>
      <c r="I33" s="19">
        <v>2024</v>
      </c>
      <c r="J33" s="73">
        <v>45414</v>
      </c>
      <c r="K33" s="19" t="s">
        <v>62</v>
      </c>
      <c r="L33" s="19" t="s">
        <v>269</v>
      </c>
      <c r="M33" s="73">
        <v>45572</v>
      </c>
      <c r="N33" s="6" t="s">
        <v>656</v>
      </c>
      <c r="O33" s="72" t="s">
        <v>58</v>
      </c>
      <c r="P33" s="6" t="s">
        <v>152</v>
      </c>
      <c r="Q33" s="6" t="s">
        <v>521</v>
      </c>
      <c r="R33" s="13" t="s">
        <v>657</v>
      </c>
      <c r="S33" s="6" t="s">
        <v>595</v>
      </c>
      <c r="T33" s="6" t="s">
        <v>482</v>
      </c>
      <c r="U33" s="75">
        <v>45874</v>
      </c>
      <c r="V33" s="75">
        <v>45938</v>
      </c>
      <c r="W33" s="13">
        <f ca="1">V33-TODAY()</f>
        <v>-147</v>
      </c>
      <c r="X33" s="6" t="str">
        <f ca="1">IF(W33&gt;=20,"Vigente",IF(AND(W33&gt;=1,W33&lt;=20),"Por Vencer","Vencido"))</f>
        <v>Vencido</v>
      </c>
      <c r="Y33" s="6"/>
    </row>
    <row r="34" spans="1:25" s="37" customFormat="1" ht="65.25" hidden="1" customHeight="1">
      <c r="A34" s="13" t="s">
        <v>184</v>
      </c>
      <c r="B34" s="13" t="s">
        <v>658</v>
      </c>
      <c r="C34" s="51">
        <v>7300744</v>
      </c>
      <c r="D34" s="52">
        <v>5</v>
      </c>
      <c r="E34" s="13">
        <v>70</v>
      </c>
      <c r="F34" s="68" t="s">
        <v>18</v>
      </c>
      <c r="G34" s="27" t="s">
        <v>141</v>
      </c>
      <c r="H34" s="27" t="s">
        <v>315</v>
      </c>
      <c r="I34" s="27">
        <v>2025</v>
      </c>
      <c r="J34" s="71">
        <v>45677</v>
      </c>
      <c r="K34" s="27" t="s">
        <v>62</v>
      </c>
      <c r="L34" s="27" t="s">
        <v>168</v>
      </c>
      <c r="M34" s="85">
        <v>46015</v>
      </c>
      <c r="N34" s="27" t="s">
        <v>659</v>
      </c>
      <c r="O34" s="79" t="s">
        <v>34</v>
      </c>
      <c r="P34" s="13" t="s">
        <v>152</v>
      </c>
      <c r="Q34" s="13"/>
      <c r="R34" s="185" t="s">
        <v>660</v>
      </c>
      <c r="S34" s="185" t="s">
        <v>276</v>
      </c>
      <c r="T34" s="185" t="s">
        <v>277</v>
      </c>
      <c r="U34" s="85">
        <v>46024</v>
      </c>
      <c r="V34" s="85">
        <v>46083</v>
      </c>
      <c r="W34" s="13">
        <f ca="1">V34-TODAY()</f>
        <v>-2</v>
      </c>
      <c r="X34" s="13" t="str">
        <f ca="1">IF(W34&gt;=20,"Vigente",IF(AND(W34&gt;=1,W34&lt;=20),"Por Vencer","Vencido"))</f>
        <v>Vencido</v>
      </c>
      <c r="Y34" s="13"/>
    </row>
    <row r="35" spans="1:25" ht="65.25" hidden="1" customHeight="1">
      <c r="A35" s="13" t="s">
        <v>184</v>
      </c>
      <c r="B35" s="13" t="s">
        <v>661</v>
      </c>
      <c r="C35" s="51">
        <v>7246699</v>
      </c>
      <c r="D35" s="52">
        <v>3</v>
      </c>
      <c r="E35" s="27" t="e">
        <f ca="1">DATEDIF(#REF!,TODAY(),"Y")</f>
        <v>#REF!</v>
      </c>
      <c r="F35" s="68" t="s">
        <v>18</v>
      </c>
      <c r="G35" s="13" t="s">
        <v>19</v>
      </c>
      <c r="H35" s="6" t="s">
        <v>315</v>
      </c>
      <c r="I35" s="27" t="s">
        <v>174</v>
      </c>
      <c r="J35" s="27" t="s">
        <v>178</v>
      </c>
      <c r="K35" s="27" t="s">
        <v>20</v>
      </c>
      <c r="L35" s="27" t="s">
        <v>21</v>
      </c>
      <c r="M35" s="27" t="s">
        <v>180</v>
      </c>
      <c r="N35" s="6" t="s">
        <v>176</v>
      </c>
      <c r="O35" s="72" t="s">
        <v>58</v>
      </c>
      <c r="P35" s="13" t="s">
        <v>152</v>
      </c>
      <c r="Q35" s="13"/>
      <c r="R35" s="13" t="s">
        <v>662</v>
      </c>
      <c r="S35" s="13" t="s">
        <v>288</v>
      </c>
      <c r="T35" s="13" t="s">
        <v>294</v>
      </c>
      <c r="U35" s="85">
        <v>46058</v>
      </c>
      <c r="V35" s="85">
        <v>46147</v>
      </c>
      <c r="W35" s="13">
        <f ca="1">V35-TODAY()</f>
        <v>62</v>
      </c>
      <c r="X35" s="13" t="str">
        <f ca="1">IF(W35&gt;=20,"Vigente",IF(AND(W35&gt;=1,W35&lt;=20),"Por Vencer","Vencido"))</f>
        <v>Vigente</v>
      </c>
      <c r="Y35" s="13"/>
    </row>
    <row r="36" spans="1:25" s="42" customFormat="1" ht="65.25" hidden="1" customHeight="1">
      <c r="A36" s="6" t="s">
        <v>184</v>
      </c>
      <c r="B36" s="6" t="s">
        <v>663</v>
      </c>
      <c r="C36" s="53">
        <v>10463273</v>
      </c>
      <c r="D36" s="54">
        <v>4</v>
      </c>
      <c r="E36" s="19" t="e">
        <f ca="1">DATEDIF(#REF!,TODAY(),"Y")</f>
        <v>#REF!</v>
      </c>
      <c r="F36" s="19" t="s">
        <v>18</v>
      </c>
      <c r="G36" s="6" t="s">
        <v>19</v>
      </c>
      <c r="H36" s="6" t="s">
        <v>315</v>
      </c>
      <c r="I36" s="19">
        <v>2019</v>
      </c>
      <c r="J36" s="73">
        <v>43528</v>
      </c>
      <c r="K36" s="19" t="s">
        <v>31</v>
      </c>
      <c r="L36" s="19" t="s">
        <v>21</v>
      </c>
      <c r="M36" s="19" t="s">
        <v>180</v>
      </c>
      <c r="N36" s="19" t="s">
        <v>180</v>
      </c>
      <c r="O36" s="72" t="s">
        <v>58</v>
      </c>
      <c r="P36" s="6" t="s">
        <v>152</v>
      </c>
      <c r="Q36" s="6"/>
      <c r="R36" s="13" t="s">
        <v>664</v>
      </c>
      <c r="S36" s="6" t="s">
        <v>433</v>
      </c>
      <c r="T36" s="6" t="s">
        <v>294</v>
      </c>
      <c r="U36" s="75">
        <v>45880</v>
      </c>
      <c r="V36" s="75">
        <v>46245</v>
      </c>
      <c r="W36" s="13">
        <f ca="1">V36-TODAY()</f>
        <v>160</v>
      </c>
      <c r="X36" s="6" t="str">
        <f ca="1">IF(W36&gt;=20,"Vigente",IF(AND(W36&gt;=1,W36&lt;=20),"Por Vencer","Vencido"))</f>
        <v>Vigente</v>
      </c>
      <c r="Y36" s="6"/>
    </row>
    <row r="37" spans="1:25" s="37" customFormat="1" ht="65.25" hidden="1" customHeight="1">
      <c r="A37" s="6" t="s">
        <v>184</v>
      </c>
      <c r="B37" s="6" t="s">
        <v>665</v>
      </c>
      <c r="C37" s="53">
        <v>10666736</v>
      </c>
      <c r="D37" s="54">
        <v>5</v>
      </c>
      <c r="E37" s="6">
        <v>58</v>
      </c>
      <c r="F37" s="19" t="s">
        <v>18</v>
      </c>
      <c r="G37" s="19" t="s">
        <v>19</v>
      </c>
      <c r="H37" s="6" t="s">
        <v>315</v>
      </c>
      <c r="I37" s="19" t="s">
        <v>174</v>
      </c>
      <c r="J37" s="19" t="s">
        <v>178</v>
      </c>
      <c r="K37" s="19" t="s">
        <v>62</v>
      </c>
      <c r="L37" s="19" t="s">
        <v>241</v>
      </c>
      <c r="M37" s="75">
        <v>45580</v>
      </c>
      <c r="N37" s="19" t="s">
        <v>312</v>
      </c>
      <c r="O37" s="72" t="s">
        <v>58</v>
      </c>
      <c r="P37" s="6" t="s">
        <v>152</v>
      </c>
      <c r="Q37" s="6"/>
      <c r="R37" s="13" t="s">
        <v>545</v>
      </c>
      <c r="S37" s="6" t="s">
        <v>298</v>
      </c>
      <c r="T37" s="6" t="s">
        <v>289</v>
      </c>
      <c r="U37" s="75">
        <v>46044</v>
      </c>
      <c r="V37" s="75">
        <v>46134</v>
      </c>
      <c r="W37" s="13">
        <f ca="1">V37-TODAY()</f>
        <v>49</v>
      </c>
      <c r="X37" s="6" t="str">
        <f ca="1">IF(W37&gt;=20,"Vigente",IF(AND(W37&gt;=1,W37&lt;=20),"Por Vencer","Vencido"))</f>
        <v>Vigente</v>
      </c>
      <c r="Y37" s="6"/>
    </row>
    <row r="38" spans="1:25" ht="65.25" hidden="1" customHeight="1">
      <c r="A38" s="6" t="s">
        <v>184</v>
      </c>
      <c r="B38" s="6" t="s">
        <v>666</v>
      </c>
      <c r="C38" s="53">
        <v>7442129</v>
      </c>
      <c r="D38" s="54">
        <v>6</v>
      </c>
      <c r="E38" s="19" t="e">
        <f ca="1">DATEDIF(#REF!,TODAY(),"Y")</f>
        <v>#REF!</v>
      </c>
      <c r="F38" s="19" t="s">
        <v>18</v>
      </c>
      <c r="G38" s="6" t="s">
        <v>19</v>
      </c>
      <c r="H38" s="6" t="s">
        <v>315</v>
      </c>
      <c r="I38" s="19">
        <v>2022</v>
      </c>
      <c r="J38" s="73">
        <v>44831</v>
      </c>
      <c r="K38" s="19" t="s">
        <v>20</v>
      </c>
      <c r="L38" s="19" t="s">
        <v>21</v>
      </c>
      <c r="M38" s="73">
        <v>44949</v>
      </c>
      <c r="N38" s="6" t="s">
        <v>430</v>
      </c>
      <c r="O38" s="72" t="s">
        <v>58</v>
      </c>
      <c r="P38" s="6" t="s">
        <v>152</v>
      </c>
      <c r="Q38" s="6"/>
      <c r="R38" s="13" t="s">
        <v>667</v>
      </c>
      <c r="S38" s="6" t="s">
        <v>574</v>
      </c>
      <c r="T38" s="6" t="s">
        <v>428</v>
      </c>
      <c r="U38" s="75">
        <v>45810</v>
      </c>
      <c r="V38" s="75">
        <v>46083</v>
      </c>
      <c r="W38" s="13">
        <f ca="1">V38-TODAY()</f>
        <v>-2</v>
      </c>
      <c r="X38" s="6" t="str">
        <f ca="1">IF(W38&gt;=20,"Vigente",IF(AND(W38&gt;=1,W38&lt;=20),"Por Vencer","Vencido"))</f>
        <v>Vencido</v>
      </c>
      <c r="Y38" s="6"/>
    </row>
    <row r="39" spans="1:25" s="37" customFormat="1" ht="65.25" hidden="1" customHeight="1">
      <c r="A39" s="6" t="s">
        <v>184</v>
      </c>
      <c r="B39" s="6" t="s">
        <v>668</v>
      </c>
      <c r="C39" s="53">
        <v>9745106</v>
      </c>
      <c r="D39" s="54">
        <v>0</v>
      </c>
      <c r="E39" s="19" t="e">
        <f ca="1">DATEDIF(#REF!,TODAY(),"Y")</f>
        <v>#REF!</v>
      </c>
      <c r="F39" s="19" t="s">
        <v>64</v>
      </c>
      <c r="G39" s="6" t="s">
        <v>19</v>
      </c>
      <c r="H39" s="6" t="s">
        <v>315</v>
      </c>
      <c r="I39" s="19">
        <v>2021</v>
      </c>
      <c r="J39" s="73">
        <v>44314</v>
      </c>
      <c r="K39" s="19" t="s">
        <v>20</v>
      </c>
      <c r="L39" s="19" t="s">
        <v>21</v>
      </c>
      <c r="M39" s="73">
        <v>44326</v>
      </c>
      <c r="N39" s="6" t="s">
        <v>430</v>
      </c>
      <c r="O39" s="72" t="s">
        <v>58</v>
      </c>
      <c r="P39" s="6" t="s">
        <v>152</v>
      </c>
      <c r="Q39" s="6"/>
      <c r="R39" s="13" t="s">
        <v>669</v>
      </c>
      <c r="S39" s="6" t="s">
        <v>670</v>
      </c>
      <c r="T39" s="6" t="s">
        <v>294</v>
      </c>
      <c r="U39" s="75">
        <v>45883</v>
      </c>
      <c r="V39" s="75">
        <v>46126</v>
      </c>
      <c r="W39" s="13">
        <f ca="1">V39-TODAY()</f>
        <v>41</v>
      </c>
      <c r="X39" s="6" t="str">
        <f ca="1">IF(W39&gt;=20,"Vigente",IF(AND(W39&gt;=1,W39&lt;=20),"Por Vencer","Vencido"))</f>
        <v>Vigente</v>
      </c>
      <c r="Y39" s="6"/>
    </row>
    <row r="40" spans="1:25" s="37" customFormat="1" ht="65.25" hidden="1" customHeight="1">
      <c r="A40" s="13" t="s">
        <v>184</v>
      </c>
      <c r="B40" s="13" t="s">
        <v>671</v>
      </c>
      <c r="C40" s="51">
        <v>5181632</v>
      </c>
      <c r="D40" s="52">
        <v>3</v>
      </c>
      <c r="E40" s="27" t="e">
        <f ca="1">DATEDIF(#REF!,TODAY(),"Y")</f>
        <v>#REF!</v>
      </c>
      <c r="F40" s="27" t="s">
        <v>18</v>
      </c>
      <c r="G40" s="185" t="s">
        <v>672</v>
      </c>
      <c r="H40" s="13" t="s">
        <v>315</v>
      </c>
      <c r="I40" s="27">
        <v>2020</v>
      </c>
      <c r="J40" s="71">
        <v>43998</v>
      </c>
      <c r="K40" s="27" t="s">
        <v>31</v>
      </c>
      <c r="L40" s="27" t="s">
        <v>21</v>
      </c>
      <c r="M40" s="27" t="s">
        <v>180</v>
      </c>
      <c r="N40" s="13" t="s">
        <v>176</v>
      </c>
      <c r="O40" s="72" t="s">
        <v>58</v>
      </c>
      <c r="P40" s="13" t="s">
        <v>27</v>
      </c>
      <c r="Q40" s="185" t="s">
        <v>673</v>
      </c>
      <c r="R40" s="180" t="s">
        <v>674</v>
      </c>
      <c r="S40" s="13" t="s">
        <v>288</v>
      </c>
      <c r="T40" s="13" t="s">
        <v>277</v>
      </c>
      <c r="U40" s="85">
        <v>45304</v>
      </c>
      <c r="V40" s="85">
        <v>45395</v>
      </c>
      <c r="W40" s="13">
        <f ca="1">V40-TODAY()</f>
        <v>-690</v>
      </c>
      <c r="X40" s="13" t="str">
        <f ca="1">IF(W40&gt;=20,"Vigente",IF(AND(W40&gt;=1,W40&lt;=20),"Por Vencer","Vencido"))</f>
        <v>Vencido</v>
      </c>
      <c r="Y40" s="13"/>
    </row>
    <row r="41" spans="1:25" s="38" customFormat="1" ht="65.25" hidden="1" customHeight="1">
      <c r="A41" s="6" t="s">
        <v>184</v>
      </c>
      <c r="B41" s="6" t="s">
        <v>675</v>
      </c>
      <c r="C41" s="53">
        <v>12577362</v>
      </c>
      <c r="D41" s="54">
        <v>1</v>
      </c>
      <c r="E41" s="19" t="e">
        <f ca="1">DATEDIF(#REF!,TODAY(),"Y")</f>
        <v>#REF!</v>
      </c>
      <c r="F41" s="19" t="s">
        <v>18</v>
      </c>
      <c r="G41" s="6" t="s">
        <v>19</v>
      </c>
      <c r="H41" s="6" t="s">
        <v>315</v>
      </c>
      <c r="I41" s="19">
        <v>2020</v>
      </c>
      <c r="J41" s="73">
        <v>43893</v>
      </c>
      <c r="K41" s="19" t="s">
        <v>62</v>
      </c>
      <c r="L41" s="19" t="s">
        <v>21</v>
      </c>
      <c r="M41" s="73">
        <v>44015</v>
      </c>
      <c r="N41" s="6" t="s">
        <v>430</v>
      </c>
      <c r="O41" s="72" t="s">
        <v>58</v>
      </c>
      <c r="P41" s="6" t="s">
        <v>152</v>
      </c>
      <c r="Q41" s="184"/>
      <c r="R41" s="13" t="s">
        <v>676</v>
      </c>
      <c r="S41" s="6" t="s">
        <v>647</v>
      </c>
      <c r="T41" s="6" t="s">
        <v>294</v>
      </c>
      <c r="U41" s="75">
        <v>46041</v>
      </c>
      <c r="V41" s="75">
        <v>46284</v>
      </c>
      <c r="W41" s="13">
        <f ca="1">V41-TODAY()</f>
        <v>199</v>
      </c>
      <c r="X41" s="6" t="str">
        <f ca="1">IF(W41&gt;=20,"Vigente",IF(AND(W41&gt;=1,W41&lt;=20),"Por Vencer","Vencido"))</f>
        <v>Vigente</v>
      </c>
      <c r="Y41" s="184"/>
    </row>
    <row r="42" spans="1:25" s="37" customFormat="1" ht="65.25" hidden="1" customHeight="1">
      <c r="A42" s="13" t="s">
        <v>184</v>
      </c>
      <c r="B42" s="185" t="s">
        <v>677</v>
      </c>
      <c r="C42" s="51">
        <v>7247018</v>
      </c>
      <c r="D42" s="52">
        <v>4</v>
      </c>
      <c r="E42" s="27" t="e">
        <f ca="1">DATEDIF(#REF!,TODAY(),"Y")</f>
        <v>#REF!</v>
      </c>
      <c r="F42" s="68" t="s">
        <v>18</v>
      </c>
      <c r="G42" s="13" t="s">
        <v>68</v>
      </c>
      <c r="H42" s="13" t="s">
        <v>315</v>
      </c>
      <c r="I42" s="27">
        <v>2021</v>
      </c>
      <c r="J42" s="71">
        <v>44532</v>
      </c>
      <c r="K42" s="27" t="s">
        <v>20</v>
      </c>
      <c r="L42" s="27" t="s">
        <v>21</v>
      </c>
      <c r="M42" s="71">
        <v>45078</v>
      </c>
      <c r="N42" s="13" t="s">
        <v>678</v>
      </c>
      <c r="O42" s="72" t="s">
        <v>58</v>
      </c>
      <c r="P42" s="13" t="s">
        <v>152</v>
      </c>
      <c r="Q42" s="13"/>
      <c r="R42" s="13" t="s">
        <v>679</v>
      </c>
      <c r="S42" s="13" t="s">
        <v>276</v>
      </c>
      <c r="T42" s="13" t="s">
        <v>289</v>
      </c>
      <c r="U42" s="85">
        <v>46044</v>
      </c>
      <c r="V42" s="85">
        <v>46103</v>
      </c>
      <c r="W42" s="13">
        <f ca="1">V42-TODAY()</f>
        <v>18</v>
      </c>
      <c r="X42" s="13" t="str">
        <f ca="1">IF(W42&gt;=20,"Vigente",IF(AND(W42&gt;=1,W42&lt;=20),"Por Vencer","Vencido"))</f>
        <v>Por Vencer</v>
      </c>
      <c r="Y42" s="13"/>
    </row>
    <row r="43" spans="1:25" ht="77.25" hidden="1" customHeight="1">
      <c r="A43" s="6" t="s">
        <v>184</v>
      </c>
      <c r="B43" s="6" t="s">
        <v>680</v>
      </c>
      <c r="C43" s="53">
        <v>8011210</v>
      </c>
      <c r="D43" s="54">
        <v>6</v>
      </c>
      <c r="E43" s="69">
        <v>63.769863013698597</v>
      </c>
      <c r="F43" s="19" t="s">
        <v>18</v>
      </c>
      <c r="G43" s="6" t="s">
        <v>19</v>
      </c>
      <c r="H43" s="6" t="s">
        <v>315</v>
      </c>
      <c r="I43" s="19">
        <v>2017</v>
      </c>
      <c r="J43" s="73">
        <v>42821</v>
      </c>
      <c r="K43" s="19" t="s">
        <v>20</v>
      </c>
      <c r="L43" s="19" t="s">
        <v>21</v>
      </c>
      <c r="M43" s="73">
        <v>42942</v>
      </c>
      <c r="N43" s="6" t="s">
        <v>316</v>
      </c>
      <c r="O43" s="72" t="s">
        <v>58</v>
      </c>
      <c r="P43" s="6" t="s">
        <v>152</v>
      </c>
      <c r="Q43" s="6" t="s">
        <v>480</v>
      </c>
      <c r="R43" s="6" t="s">
        <v>681</v>
      </c>
      <c r="S43" s="6" t="s">
        <v>574</v>
      </c>
      <c r="T43" s="6" t="s">
        <v>285</v>
      </c>
      <c r="U43" s="75">
        <v>45694</v>
      </c>
      <c r="V43" s="75">
        <v>45997</v>
      </c>
      <c r="W43" s="13">
        <f ca="1">V43-TODAY()</f>
        <v>-88</v>
      </c>
      <c r="X43" s="6" t="str">
        <f ca="1">IF(W43&gt;=20,"Vigente",IF(AND(W43&gt;=1,W43&lt;=20),"Por Vencer","Vencido"))</f>
        <v>Vencido</v>
      </c>
      <c r="Y43" s="6"/>
    </row>
    <row r="44" spans="1:25" ht="65.25" hidden="1" customHeight="1">
      <c r="A44" s="6" t="s">
        <v>184</v>
      </c>
      <c r="B44" s="6" t="s">
        <v>682</v>
      </c>
      <c r="C44" s="53">
        <v>7262375</v>
      </c>
      <c r="D44" s="54">
        <v>4</v>
      </c>
      <c r="E44" s="6">
        <v>70</v>
      </c>
      <c r="F44" s="19" t="s">
        <v>18</v>
      </c>
      <c r="G44" s="19" t="s">
        <v>19</v>
      </c>
      <c r="H44" s="19" t="s">
        <v>315</v>
      </c>
      <c r="I44" s="19">
        <v>2025</v>
      </c>
      <c r="J44" s="73">
        <v>45685</v>
      </c>
      <c r="K44" s="19" t="s">
        <v>62</v>
      </c>
      <c r="L44" s="19" t="s">
        <v>21</v>
      </c>
      <c r="M44" s="75">
        <v>45996</v>
      </c>
      <c r="N44" s="19" t="s">
        <v>683</v>
      </c>
      <c r="O44" s="72" t="s">
        <v>58</v>
      </c>
      <c r="P44" s="6" t="s">
        <v>149</v>
      </c>
      <c r="Q44" s="6"/>
      <c r="R44" s="6" t="s">
        <v>684</v>
      </c>
      <c r="S44" s="6" t="s">
        <v>591</v>
      </c>
      <c r="T44" s="6" t="s">
        <v>428</v>
      </c>
      <c r="U44" s="75">
        <v>45992</v>
      </c>
      <c r="V44" s="75">
        <v>46266</v>
      </c>
      <c r="W44" s="13">
        <f ca="1">V44-TODAY()</f>
        <v>181</v>
      </c>
      <c r="X44" s="6" t="str">
        <f ca="1">IF(W44&gt;=20,"Vigente",IF(AND(W44&gt;=1,W44&lt;=20),"Por Vencer","Vencido"))</f>
        <v>Vigente</v>
      </c>
      <c r="Y44" s="6"/>
    </row>
    <row r="45" spans="1:25" s="40" customFormat="1" ht="65.25" hidden="1" customHeight="1">
      <c r="A45" s="6" t="s">
        <v>184</v>
      </c>
      <c r="B45" s="6" t="s">
        <v>685</v>
      </c>
      <c r="C45" s="53">
        <v>6099180</v>
      </c>
      <c r="D45" s="54">
        <v>4</v>
      </c>
      <c r="E45" s="19" t="e">
        <f ca="1">DATEDIF(#REF!,TODAY(),"Y")</f>
        <v>#REF!</v>
      </c>
      <c r="F45" s="19" t="s">
        <v>18</v>
      </c>
      <c r="G45" s="6" t="s">
        <v>141</v>
      </c>
      <c r="H45" s="6" t="s">
        <v>315</v>
      </c>
      <c r="I45" s="19">
        <v>2024</v>
      </c>
      <c r="J45" s="73">
        <v>45376</v>
      </c>
      <c r="K45" s="19" t="s">
        <v>161</v>
      </c>
      <c r="L45" s="19" t="s">
        <v>21</v>
      </c>
      <c r="M45" s="73">
        <v>45474</v>
      </c>
      <c r="N45" s="6" t="s">
        <v>686</v>
      </c>
      <c r="O45" s="72" t="s">
        <v>58</v>
      </c>
      <c r="P45" s="6" t="s">
        <v>149</v>
      </c>
      <c r="Q45" s="6"/>
      <c r="R45" s="13" t="s">
        <v>383</v>
      </c>
      <c r="S45" s="6" t="s">
        <v>388</v>
      </c>
      <c r="T45" s="6" t="s">
        <v>277</v>
      </c>
      <c r="U45" s="75">
        <v>46044</v>
      </c>
      <c r="V45" s="75">
        <v>46164</v>
      </c>
      <c r="W45" s="13">
        <f ca="1">V45-TODAY()</f>
        <v>79</v>
      </c>
      <c r="X45" s="6" t="str">
        <f ca="1">IF(W45&gt;=20,"Vigente",IF(AND(W45&gt;=1,W45&lt;=20),"Por Vencer","Vencido"))</f>
        <v>Vigente</v>
      </c>
      <c r="Y45" s="6"/>
    </row>
    <row r="46" spans="1:25" ht="65.25" hidden="1" customHeight="1">
      <c r="A46" s="6" t="s">
        <v>184</v>
      </c>
      <c r="B46" s="6" t="s">
        <v>687</v>
      </c>
      <c r="C46" s="62">
        <v>12572868</v>
      </c>
      <c r="D46" s="63">
        <v>5</v>
      </c>
      <c r="E46" s="19" t="e">
        <f ca="1">DATEDIF(#REF!,TODAY(),"Y")</f>
        <v>#REF!</v>
      </c>
      <c r="F46" s="19" t="s">
        <v>18</v>
      </c>
      <c r="G46" s="6" t="s">
        <v>19</v>
      </c>
      <c r="H46" s="6" t="s">
        <v>315</v>
      </c>
      <c r="I46" s="19">
        <v>2021</v>
      </c>
      <c r="J46" s="81">
        <v>44441</v>
      </c>
      <c r="K46" s="80" t="s">
        <v>62</v>
      </c>
      <c r="L46" s="19" t="s">
        <v>32</v>
      </c>
      <c r="M46" s="81">
        <v>45698</v>
      </c>
      <c r="N46" s="6" t="s">
        <v>688</v>
      </c>
      <c r="O46" s="79" t="s">
        <v>34</v>
      </c>
      <c r="P46" s="6" t="s">
        <v>149</v>
      </c>
      <c r="Q46" s="6"/>
      <c r="R46" s="184" t="s">
        <v>689</v>
      </c>
      <c r="S46" s="184" t="s">
        <v>288</v>
      </c>
      <c r="T46" s="6" t="s">
        <v>289</v>
      </c>
      <c r="U46" s="75">
        <v>45904</v>
      </c>
      <c r="V46" s="75">
        <v>45995</v>
      </c>
      <c r="W46" s="13">
        <f ca="1">V46-TODAY()</f>
        <v>-90</v>
      </c>
      <c r="X46" s="6" t="str">
        <f ca="1">IF(W46&gt;=20,"Vigente",IF(AND(W46&gt;=1,W46&lt;=20),"Por Vencer","Vencido"))</f>
        <v>Vencido</v>
      </c>
      <c r="Y46" s="6"/>
    </row>
    <row r="47" spans="1:25" s="37" customFormat="1" ht="77.25" hidden="1" customHeight="1">
      <c r="A47" s="6" t="s">
        <v>184</v>
      </c>
      <c r="B47" s="6" t="s">
        <v>690</v>
      </c>
      <c r="C47" s="53">
        <v>9146455</v>
      </c>
      <c r="D47" s="54">
        <v>1</v>
      </c>
      <c r="E47" s="19" t="e">
        <f ca="1">DATEDIF(#REF!,TODAY(),"Y")</f>
        <v>#REF!</v>
      </c>
      <c r="F47" s="19" t="s">
        <v>26</v>
      </c>
      <c r="G47" s="6" t="s">
        <v>141</v>
      </c>
      <c r="H47" s="6" t="s">
        <v>315</v>
      </c>
      <c r="I47" s="19">
        <v>2020</v>
      </c>
      <c r="J47" s="73">
        <v>44035</v>
      </c>
      <c r="K47" s="19" t="s">
        <v>161</v>
      </c>
      <c r="L47" s="19" t="s">
        <v>32</v>
      </c>
      <c r="M47" s="73">
        <v>45656</v>
      </c>
      <c r="N47" s="6" t="s">
        <v>691</v>
      </c>
      <c r="O47" s="79" t="s">
        <v>34</v>
      </c>
      <c r="P47" s="6" t="s">
        <v>152</v>
      </c>
      <c r="Q47" s="6"/>
      <c r="R47" s="185" t="s">
        <v>692</v>
      </c>
      <c r="S47" s="184" t="s">
        <v>288</v>
      </c>
      <c r="T47" s="6" t="s">
        <v>289</v>
      </c>
      <c r="U47" s="75">
        <v>45904</v>
      </c>
      <c r="V47" s="75">
        <v>45995</v>
      </c>
      <c r="W47" s="13">
        <f ca="1">V47-TODAY()</f>
        <v>-90</v>
      </c>
      <c r="X47" s="6" t="str">
        <f ca="1">IF(W47&gt;=20,"Vigente",IF(AND(W47&gt;=1,W47&lt;=20),"Por Vencer","Vencido"))</f>
        <v>Vencido</v>
      </c>
      <c r="Y47" s="6"/>
    </row>
    <row r="48" spans="1:25" s="38" customFormat="1" ht="65.25" hidden="1" customHeight="1">
      <c r="A48" s="6" t="s">
        <v>184</v>
      </c>
      <c r="B48" s="6" t="s">
        <v>693</v>
      </c>
      <c r="C48" s="53">
        <v>4682670</v>
      </c>
      <c r="D48" s="54">
        <v>1</v>
      </c>
      <c r="E48" s="19" t="e">
        <f ca="1">DATEDIF(#REF!,TODAY(),"Y")</f>
        <v>#REF!</v>
      </c>
      <c r="F48" s="61" t="s">
        <v>324</v>
      </c>
      <c r="G48" s="6" t="s">
        <v>19</v>
      </c>
      <c r="H48" s="6" t="s">
        <v>315</v>
      </c>
      <c r="I48" s="19">
        <v>2024</v>
      </c>
      <c r="J48" s="73">
        <v>45442</v>
      </c>
      <c r="K48" s="19" t="s">
        <v>694</v>
      </c>
      <c r="L48" s="19" t="s">
        <v>21</v>
      </c>
      <c r="M48" s="73">
        <v>45502</v>
      </c>
      <c r="N48" s="26" t="s">
        <v>695</v>
      </c>
      <c r="O48" s="72" t="s">
        <v>58</v>
      </c>
      <c r="P48" s="6" t="s">
        <v>152</v>
      </c>
      <c r="Q48" s="6"/>
      <c r="R48" s="13" t="s">
        <v>696</v>
      </c>
      <c r="S48" s="6" t="s">
        <v>574</v>
      </c>
      <c r="T48" s="6" t="s">
        <v>285</v>
      </c>
      <c r="U48" s="75">
        <v>45934</v>
      </c>
      <c r="V48" s="75">
        <v>46297</v>
      </c>
      <c r="W48" s="13">
        <f ca="1">V48-TODAY()</f>
        <v>212</v>
      </c>
      <c r="X48" s="6" t="str">
        <f ca="1">IF(W48&gt;=20,"Vigente",IF(AND(W48&gt;=1,W48&lt;=20),"Por Vencer","Vencido"))</f>
        <v>Vigente</v>
      </c>
      <c r="Y48" s="6"/>
    </row>
    <row r="49" spans="1:25" s="37" customFormat="1" ht="65.25" hidden="1" customHeight="1">
      <c r="A49" s="13" t="s">
        <v>184</v>
      </c>
      <c r="B49" s="13" t="s">
        <v>697</v>
      </c>
      <c r="C49" s="51">
        <v>9028985</v>
      </c>
      <c r="D49" s="52">
        <v>3</v>
      </c>
      <c r="E49" s="70">
        <v>64</v>
      </c>
      <c r="F49" s="27" t="s">
        <v>18</v>
      </c>
      <c r="G49" s="13" t="s">
        <v>19</v>
      </c>
      <c r="H49" s="13" t="s">
        <v>315</v>
      </c>
      <c r="I49" s="27">
        <v>2023</v>
      </c>
      <c r="J49" s="71">
        <v>45274</v>
      </c>
      <c r="K49" s="27" t="s">
        <v>49</v>
      </c>
      <c r="L49" s="27" t="s">
        <v>32</v>
      </c>
      <c r="M49" s="71">
        <v>45411</v>
      </c>
      <c r="N49" s="13" t="s">
        <v>444</v>
      </c>
      <c r="O49" s="72" t="s">
        <v>58</v>
      </c>
      <c r="P49" s="13" t="s">
        <v>27</v>
      </c>
      <c r="Q49" s="185" t="s">
        <v>521</v>
      </c>
      <c r="R49" s="13" t="s">
        <v>698</v>
      </c>
      <c r="S49" s="13" t="s">
        <v>288</v>
      </c>
      <c r="T49" s="13" t="s">
        <v>289</v>
      </c>
      <c r="U49" s="85">
        <v>45418</v>
      </c>
      <c r="V49" s="85">
        <v>45510</v>
      </c>
      <c r="W49" s="13">
        <f ca="1">V49-TODAY()</f>
        <v>-575</v>
      </c>
      <c r="X49" s="13" t="str">
        <f ca="1">IF(W49&gt;=20,"Vigente",IF(AND(W49&gt;=1,W49&lt;=20),"Por Vencer","Vencido"))</f>
        <v>Vencido</v>
      </c>
      <c r="Y49" s="185" t="s">
        <v>521</v>
      </c>
    </row>
    <row r="50" spans="1:25" s="37" customFormat="1" ht="65.25" hidden="1" customHeight="1">
      <c r="A50" s="6" t="s">
        <v>184</v>
      </c>
      <c r="B50" s="6" t="s">
        <v>699</v>
      </c>
      <c r="C50" s="53">
        <v>8086118</v>
      </c>
      <c r="D50" s="54">
        <v>4</v>
      </c>
      <c r="E50" s="19" t="e">
        <f ca="1">DATEDIF(#REF!,TODAY(),"Y")</f>
        <v>#REF!</v>
      </c>
      <c r="F50" s="61" t="s">
        <v>18</v>
      </c>
      <c r="G50" s="6" t="s">
        <v>19</v>
      </c>
      <c r="H50" s="6" t="s">
        <v>315</v>
      </c>
      <c r="I50" s="19">
        <v>2023</v>
      </c>
      <c r="J50" s="73">
        <v>45274</v>
      </c>
      <c r="K50" s="19" t="s">
        <v>62</v>
      </c>
      <c r="L50" s="19" t="s">
        <v>21</v>
      </c>
      <c r="M50" s="73">
        <v>45425</v>
      </c>
      <c r="N50" s="6" t="s">
        <v>700</v>
      </c>
      <c r="O50" s="72" t="s">
        <v>58</v>
      </c>
      <c r="P50" s="6" t="s">
        <v>152</v>
      </c>
      <c r="Q50" s="6"/>
      <c r="R50" s="13" t="s">
        <v>701</v>
      </c>
      <c r="S50" s="75" t="s">
        <v>557</v>
      </c>
      <c r="T50" s="6" t="s">
        <v>511</v>
      </c>
      <c r="U50" s="75">
        <v>46013</v>
      </c>
      <c r="V50" s="75">
        <v>46195</v>
      </c>
      <c r="W50" s="13">
        <f ca="1">V50-TODAY()</f>
        <v>110</v>
      </c>
      <c r="X50" s="6" t="str">
        <f ca="1">IF(W50&gt;=20,"Vigente",IF(AND(W50&gt;=1,W50&lt;=20),"Por Vencer","Vencido"))</f>
        <v>Vigente</v>
      </c>
      <c r="Y50" s="6"/>
    </row>
    <row r="51" spans="1:25" s="38" customFormat="1" ht="30" hidden="1">
      <c r="A51" s="6" t="s">
        <v>184</v>
      </c>
      <c r="B51" s="6" t="s">
        <v>702</v>
      </c>
      <c r="C51" s="53">
        <v>4315935</v>
      </c>
      <c r="D51" s="54">
        <v>6</v>
      </c>
      <c r="E51" s="19" t="e">
        <f ca="1">DATEDIF(#REF!,TODAY(),"Y")</f>
        <v>#REF!</v>
      </c>
      <c r="F51" s="19" t="s">
        <v>18</v>
      </c>
      <c r="G51" s="6" t="s">
        <v>141</v>
      </c>
      <c r="H51" s="6" t="s">
        <v>315</v>
      </c>
      <c r="I51" s="19" t="s">
        <v>174</v>
      </c>
      <c r="J51" s="19" t="s">
        <v>178</v>
      </c>
      <c r="K51" s="19" t="s">
        <v>20</v>
      </c>
      <c r="L51" s="19" t="s">
        <v>21</v>
      </c>
      <c r="M51" s="19" t="s">
        <v>180</v>
      </c>
      <c r="N51" s="6" t="s">
        <v>176</v>
      </c>
      <c r="O51" s="72" t="s">
        <v>58</v>
      </c>
      <c r="P51" s="6" t="s">
        <v>152</v>
      </c>
      <c r="Q51" s="184"/>
      <c r="R51" s="6" t="s">
        <v>703</v>
      </c>
      <c r="S51" s="6" t="s">
        <v>574</v>
      </c>
      <c r="T51" s="6" t="s">
        <v>294</v>
      </c>
      <c r="U51" s="75">
        <v>45967</v>
      </c>
      <c r="V51" s="75">
        <v>46271</v>
      </c>
      <c r="W51" s="13">
        <f ca="1">V51-TODAY()</f>
        <v>186</v>
      </c>
      <c r="X51" s="6" t="str">
        <f ca="1">IF(W51&gt;=20,"Vigente",IF(AND(W51&gt;=1,W51&lt;=20),"Por Vencer","Vencido"))</f>
        <v>Vigente</v>
      </c>
      <c r="Y51" s="184"/>
    </row>
    <row r="52" spans="1:25" ht="65.25" hidden="1" customHeight="1">
      <c r="A52" s="6" t="s">
        <v>184</v>
      </c>
      <c r="B52" s="6" t="s">
        <v>704</v>
      </c>
      <c r="C52" s="53">
        <v>10713636</v>
      </c>
      <c r="D52" s="54">
        <v>3</v>
      </c>
      <c r="E52" s="69">
        <v>55.257534246575297</v>
      </c>
      <c r="F52" s="19" t="s">
        <v>18</v>
      </c>
      <c r="G52" s="6" t="s">
        <v>19</v>
      </c>
      <c r="H52" s="6" t="s">
        <v>315</v>
      </c>
      <c r="I52" s="19">
        <v>2022</v>
      </c>
      <c r="J52" s="73">
        <v>44742</v>
      </c>
      <c r="K52" s="19" t="s">
        <v>20</v>
      </c>
      <c r="L52" s="19" t="s">
        <v>21</v>
      </c>
      <c r="M52" s="73">
        <v>45644</v>
      </c>
      <c r="N52" s="6" t="s">
        <v>430</v>
      </c>
      <c r="O52" s="72" t="s">
        <v>58</v>
      </c>
      <c r="P52" s="6" t="s">
        <v>152</v>
      </c>
      <c r="Q52" s="6"/>
      <c r="R52" s="6" t="s">
        <v>705</v>
      </c>
      <c r="S52" s="6" t="s">
        <v>595</v>
      </c>
      <c r="T52" s="6" t="s">
        <v>294</v>
      </c>
      <c r="U52" s="75">
        <v>46058</v>
      </c>
      <c r="V52" s="75">
        <v>46208</v>
      </c>
      <c r="W52" s="13">
        <f ca="1">V52-TODAY()</f>
        <v>123</v>
      </c>
      <c r="X52" s="6" t="str">
        <f ca="1">IF(W52&gt;=20,"Vigente",IF(AND(W52&gt;=1,W52&lt;=20),"Por Vencer","Vencido"))</f>
        <v>Vigente</v>
      </c>
      <c r="Y52" s="6"/>
    </row>
    <row r="53" spans="1:25" ht="65.25" hidden="1" customHeight="1">
      <c r="A53" s="6" t="s">
        <v>184</v>
      </c>
      <c r="B53" s="6" t="s">
        <v>706</v>
      </c>
      <c r="C53" s="53">
        <v>7703262</v>
      </c>
      <c r="D53" s="54">
        <v>2</v>
      </c>
      <c r="E53" s="19" t="e">
        <f ca="1">DATEDIF(#REF!,TODAY(),"Y")</f>
        <v>#REF!</v>
      </c>
      <c r="F53" s="19" t="s">
        <v>18</v>
      </c>
      <c r="G53" s="6" t="s">
        <v>141</v>
      </c>
      <c r="H53" s="6" t="s">
        <v>315</v>
      </c>
      <c r="I53" s="19">
        <v>2024</v>
      </c>
      <c r="J53" s="73">
        <v>45296</v>
      </c>
      <c r="K53" s="19" t="s">
        <v>62</v>
      </c>
      <c r="L53" s="19" t="s">
        <v>21</v>
      </c>
      <c r="M53" s="73">
        <v>45327</v>
      </c>
      <c r="N53" s="6" t="s">
        <v>430</v>
      </c>
      <c r="O53" s="72" t="s">
        <v>58</v>
      </c>
      <c r="P53" s="6" t="s">
        <v>152</v>
      </c>
      <c r="Q53" s="6"/>
      <c r="R53" s="13" t="s">
        <v>707</v>
      </c>
      <c r="S53" s="6" t="s">
        <v>595</v>
      </c>
      <c r="T53" s="6" t="s">
        <v>428</v>
      </c>
      <c r="U53" s="75">
        <v>45894</v>
      </c>
      <c r="V53" s="75">
        <v>46047</v>
      </c>
      <c r="W53" s="13">
        <f ca="1">V53-TODAY()</f>
        <v>-38</v>
      </c>
      <c r="X53" s="6" t="str">
        <f ca="1">IF(W53&gt;=20,"Vigente",IF(AND(W53&gt;=1,W53&lt;=20),"Por Vencer","Vencido"))</f>
        <v>Vencido</v>
      </c>
      <c r="Y53" s="6"/>
    </row>
    <row r="54" spans="1:25" s="40" customFormat="1" ht="65.25" hidden="1" customHeight="1">
      <c r="A54" s="6" t="s">
        <v>184</v>
      </c>
      <c r="B54" s="6" t="s">
        <v>708</v>
      </c>
      <c r="C54" s="53">
        <v>4194241</v>
      </c>
      <c r="D54" s="54" t="s">
        <v>87</v>
      </c>
      <c r="E54" s="6">
        <v>85</v>
      </c>
      <c r="F54" s="19" t="s">
        <v>18</v>
      </c>
      <c r="G54" s="19" t="s">
        <v>141</v>
      </c>
      <c r="H54" s="19" t="s">
        <v>335</v>
      </c>
      <c r="I54" s="19">
        <v>2025</v>
      </c>
      <c r="J54" s="73">
        <v>45664</v>
      </c>
      <c r="K54" s="19" t="s">
        <v>62</v>
      </c>
      <c r="L54" s="19" t="s">
        <v>21</v>
      </c>
      <c r="M54" s="75" t="s">
        <v>709</v>
      </c>
      <c r="N54" s="19" t="s">
        <v>710</v>
      </c>
      <c r="O54" s="72" t="s">
        <v>58</v>
      </c>
      <c r="P54" s="6" t="s">
        <v>152</v>
      </c>
      <c r="Q54" s="184"/>
      <c r="R54" s="6" t="s">
        <v>711</v>
      </c>
      <c r="S54" s="6" t="s">
        <v>595</v>
      </c>
      <c r="T54" s="6" t="s">
        <v>285</v>
      </c>
      <c r="U54" s="75">
        <v>46062</v>
      </c>
      <c r="V54" s="75">
        <v>46212</v>
      </c>
      <c r="W54" s="13">
        <f ca="1">V54-TODAY()</f>
        <v>127</v>
      </c>
      <c r="X54" s="6" t="str">
        <f ca="1">IF(W54&gt;=20,"Vigente",IF(AND(W54&gt;=1,W54&lt;=20),"Por Vencer","Vencido"))</f>
        <v>Vigente</v>
      </c>
      <c r="Y54" s="184"/>
    </row>
    <row r="55" spans="1:25" ht="65.25" hidden="1" customHeight="1">
      <c r="A55" s="6" t="s">
        <v>184</v>
      </c>
      <c r="B55" s="6" t="s">
        <v>712</v>
      </c>
      <c r="C55" s="53">
        <v>6916999</v>
      </c>
      <c r="D55" s="54">
        <v>6</v>
      </c>
      <c r="E55" s="19" t="e">
        <f ca="1">DATEDIF(#REF!,TODAY(),"Y")</f>
        <v>#REF!</v>
      </c>
      <c r="F55" s="19" t="s">
        <v>18</v>
      </c>
      <c r="G55" s="6" t="s">
        <v>19</v>
      </c>
      <c r="H55" s="19" t="s">
        <v>335</v>
      </c>
      <c r="I55" s="19">
        <v>2023</v>
      </c>
      <c r="J55" s="73">
        <v>45279</v>
      </c>
      <c r="K55" s="19" t="s">
        <v>31</v>
      </c>
      <c r="L55" s="19" t="s">
        <v>21</v>
      </c>
      <c r="M55" s="73">
        <v>43920</v>
      </c>
      <c r="N55" s="6" t="s">
        <v>713</v>
      </c>
      <c r="O55" s="72" t="s">
        <v>58</v>
      </c>
      <c r="P55" s="6" t="s">
        <v>152</v>
      </c>
      <c r="Q55" s="184"/>
      <c r="R55" s="13" t="s">
        <v>714</v>
      </c>
      <c r="S55" s="6" t="s">
        <v>647</v>
      </c>
      <c r="T55" s="6" t="s">
        <v>294</v>
      </c>
      <c r="U55" s="75">
        <v>45908</v>
      </c>
      <c r="V55" s="75">
        <v>46120</v>
      </c>
      <c r="W55" s="13">
        <f ca="1">V55-TODAY()</f>
        <v>35</v>
      </c>
      <c r="X55" s="6" t="str">
        <f ca="1">IF(W55&gt;=20,"Vigente",IF(AND(W55&gt;=1,W55&lt;=20),"Por Vencer","Vencido"))</f>
        <v>Vigente</v>
      </c>
      <c r="Y55" s="184"/>
    </row>
    <row r="56" spans="1:25" ht="65.25" hidden="1" customHeight="1">
      <c r="A56" s="6" t="s">
        <v>59</v>
      </c>
      <c r="B56" s="6" t="s">
        <v>715</v>
      </c>
      <c r="C56" s="53">
        <v>7227014</v>
      </c>
      <c r="D56" s="54">
        <v>2</v>
      </c>
      <c r="E56" s="6">
        <v>73</v>
      </c>
      <c r="F56" s="19" t="s">
        <v>18</v>
      </c>
      <c r="G56" s="19" t="s">
        <v>716</v>
      </c>
      <c r="H56" s="19" t="s">
        <v>315</v>
      </c>
      <c r="I56" s="19">
        <v>2024</v>
      </c>
      <c r="J56" s="73">
        <v>45547</v>
      </c>
      <c r="K56" s="19" t="s">
        <v>166</v>
      </c>
      <c r="L56" s="19" t="s">
        <v>168</v>
      </c>
      <c r="M56" s="75" t="s">
        <v>717</v>
      </c>
      <c r="N56" s="19" t="s">
        <v>718</v>
      </c>
      <c r="O56" s="72" t="s">
        <v>58</v>
      </c>
      <c r="P56" s="6" t="s">
        <v>27</v>
      </c>
      <c r="Q56" s="6" t="s">
        <v>719</v>
      </c>
      <c r="R56" s="184" t="s">
        <v>720</v>
      </c>
      <c r="S56" s="6" t="s">
        <v>284</v>
      </c>
      <c r="T56" s="6" t="s">
        <v>428</v>
      </c>
      <c r="U56" s="75">
        <v>45860</v>
      </c>
      <c r="V56" s="75" t="s">
        <v>721</v>
      </c>
      <c r="W56" s="13">
        <f ca="1">V56-TODAY()</f>
        <v>-291</v>
      </c>
      <c r="X56" s="6" t="str">
        <f ca="1">IF(W56&gt;=20,"Vigente",IF(AND(W56&gt;=1,W56&lt;=20),"Por Vencer","Vencido"))</f>
        <v>Vencido</v>
      </c>
      <c r="Y56" s="184" t="s">
        <v>722</v>
      </c>
    </row>
    <row r="57" spans="1:25" ht="65.25" hidden="1" customHeight="1">
      <c r="A57" s="6" t="s">
        <v>184</v>
      </c>
      <c r="B57" s="6" t="s">
        <v>723</v>
      </c>
      <c r="C57" s="53">
        <v>7456982</v>
      </c>
      <c r="D57" s="54" t="s">
        <v>87</v>
      </c>
      <c r="E57" s="6">
        <v>68</v>
      </c>
      <c r="F57" s="19" t="s">
        <v>18</v>
      </c>
      <c r="G57" s="19" t="s">
        <v>19</v>
      </c>
      <c r="H57" s="19" t="s">
        <v>315</v>
      </c>
      <c r="I57" s="19">
        <v>2023</v>
      </c>
      <c r="J57" s="73">
        <v>45005</v>
      </c>
      <c r="K57" s="19" t="s">
        <v>62</v>
      </c>
      <c r="L57" s="19" t="s">
        <v>269</v>
      </c>
      <c r="M57" s="6" t="s">
        <v>180</v>
      </c>
      <c r="N57" s="19" t="s">
        <v>176</v>
      </c>
      <c r="O57" s="72" t="s">
        <v>58</v>
      </c>
      <c r="P57" s="184" t="s">
        <v>27</v>
      </c>
      <c r="Q57" s="6" t="s">
        <v>724</v>
      </c>
      <c r="R57" s="34" t="s">
        <v>725</v>
      </c>
      <c r="S57" s="6" t="s">
        <v>647</v>
      </c>
      <c r="T57" s="6" t="s">
        <v>428</v>
      </c>
      <c r="U57" s="75">
        <v>45643</v>
      </c>
      <c r="V57" s="75">
        <v>45855</v>
      </c>
      <c r="W57" s="13">
        <f ca="1">V57-TODAY()</f>
        <v>-230</v>
      </c>
      <c r="X57" s="6" t="str">
        <f ca="1">IF(W57&gt;=20,"Vigente",IF(AND(W57&gt;=1,W57&lt;=20),"Por Vencer","Vencido"))</f>
        <v>Vencido</v>
      </c>
      <c r="Y57" s="6" t="s">
        <v>483</v>
      </c>
    </row>
    <row r="58" spans="1:25" s="37" customFormat="1" ht="65.25" hidden="1" customHeight="1">
      <c r="A58" s="6" t="s">
        <v>184</v>
      </c>
      <c r="B58" s="6" t="s">
        <v>726</v>
      </c>
      <c r="C58" s="53">
        <v>12427909</v>
      </c>
      <c r="D58" s="54">
        <v>7</v>
      </c>
      <c r="E58" s="6">
        <v>50</v>
      </c>
      <c r="F58" s="19" t="s">
        <v>26</v>
      </c>
      <c r="G58" s="19" t="s">
        <v>141</v>
      </c>
      <c r="H58" s="19" t="s">
        <v>335</v>
      </c>
      <c r="I58" s="19">
        <v>2024</v>
      </c>
      <c r="J58" s="73">
        <v>45406</v>
      </c>
      <c r="K58" s="19" t="s">
        <v>62</v>
      </c>
      <c r="L58" s="19" t="s">
        <v>21</v>
      </c>
      <c r="M58" s="75">
        <v>45866</v>
      </c>
      <c r="N58" s="27" t="s">
        <v>727</v>
      </c>
      <c r="O58" s="72" t="s">
        <v>58</v>
      </c>
      <c r="P58" s="6" t="s">
        <v>149</v>
      </c>
      <c r="Q58" s="6"/>
      <c r="R58" s="13" t="s">
        <v>728</v>
      </c>
      <c r="S58" s="6" t="s">
        <v>647</v>
      </c>
      <c r="T58" s="6" t="s">
        <v>428</v>
      </c>
      <c r="U58" s="75">
        <v>46020</v>
      </c>
      <c r="V58" s="75">
        <v>46232</v>
      </c>
      <c r="W58" s="13">
        <f ca="1">V58-TODAY()</f>
        <v>147</v>
      </c>
      <c r="X58" s="6" t="str">
        <f ca="1">IF(W58&gt;=20,"Vigente",IF(AND(W58&gt;=1,W58&lt;=20),"Por Vencer","Vencido"))</f>
        <v>Vigente</v>
      </c>
      <c r="Y58" s="6"/>
    </row>
    <row r="59" spans="1:25" s="37" customFormat="1" ht="65.25" hidden="1" customHeight="1">
      <c r="A59" s="6" t="s">
        <v>184</v>
      </c>
      <c r="B59" s="6" t="s">
        <v>729</v>
      </c>
      <c r="C59" s="53">
        <v>11381388</v>
      </c>
      <c r="D59" s="54">
        <v>1</v>
      </c>
      <c r="E59" s="6">
        <v>55</v>
      </c>
      <c r="F59" s="19" t="s">
        <v>18</v>
      </c>
      <c r="G59" s="19" t="s">
        <v>19</v>
      </c>
      <c r="H59" s="19" t="s">
        <v>335</v>
      </c>
      <c r="I59" s="19">
        <v>2024</v>
      </c>
      <c r="J59" s="73">
        <v>45495</v>
      </c>
      <c r="K59" s="19" t="s">
        <v>62</v>
      </c>
      <c r="L59" s="19" t="s">
        <v>269</v>
      </c>
      <c r="M59" s="75">
        <v>45621</v>
      </c>
      <c r="N59" s="27" t="s">
        <v>730</v>
      </c>
      <c r="O59" s="72" t="s">
        <v>58</v>
      </c>
      <c r="P59" s="6" t="s">
        <v>152</v>
      </c>
      <c r="Q59" s="184"/>
      <c r="R59" s="13" t="s">
        <v>731</v>
      </c>
      <c r="S59" s="6" t="s">
        <v>595</v>
      </c>
      <c r="T59" s="6" t="s">
        <v>285</v>
      </c>
      <c r="U59" s="75">
        <v>45908</v>
      </c>
      <c r="V59" s="75">
        <v>46061</v>
      </c>
      <c r="W59" s="13">
        <f ca="1">V59-TODAY()</f>
        <v>-24</v>
      </c>
      <c r="X59" s="6" t="str">
        <f ca="1">IF(W59&gt;=20,"Vigente",IF(AND(W59&gt;=1,W59&lt;=20),"Por Vencer","Vencido"))</f>
        <v>Vencido</v>
      </c>
      <c r="Y59" s="184"/>
    </row>
    <row r="60" spans="1:25" ht="65.25" hidden="1" customHeight="1">
      <c r="A60" s="6" t="s">
        <v>184</v>
      </c>
      <c r="B60" s="6" t="s">
        <v>732</v>
      </c>
      <c r="C60" s="53">
        <v>16595373</v>
      </c>
      <c r="D60" s="54">
        <v>8</v>
      </c>
      <c r="E60" s="19" t="e">
        <f ca="1">DATEDIF(#REF!,TODAY(),"Y")</f>
        <v>#REF!</v>
      </c>
      <c r="F60" s="19" t="s">
        <v>64</v>
      </c>
      <c r="G60" s="6" t="s">
        <v>68</v>
      </c>
      <c r="H60" s="19" t="s">
        <v>335</v>
      </c>
      <c r="I60" s="19" t="s">
        <v>174</v>
      </c>
      <c r="J60" s="19" t="s">
        <v>178</v>
      </c>
      <c r="K60" s="19" t="s">
        <v>62</v>
      </c>
      <c r="L60" s="19" t="s">
        <v>21</v>
      </c>
      <c r="M60" s="73">
        <v>42917</v>
      </c>
      <c r="N60" s="6" t="s">
        <v>733</v>
      </c>
      <c r="O60" s="72" t="s">
        <v>58</v>
      </c>
      <c r="P60" s="6" t="s">
        <v>152</v>
      </c>
      <c r="Q60" s="6" t="s">
        <v>734</v>
      </c>
      <c r="R60" s="184" t="s">
        <v>735</v>
      </c>
      <c r="S60" s="6" t="s">
        <v>276</v>
      </c>
      <c r="T60" s="6" t="s">
        <v>285</v>
      </c>
      <c r="U60" s="75">
        <v>45978</v>
      </c>
      <c r="V60" s="75">
        <v>46008</v>
      </c>
      <c r="W60" s="13">
        <f ca="1">V60-TODAY()</f>
        <v>-77</v>
      </c>
      <c r="X60" s="6" t="str">
        <f ca="1">IF(W60&gt;=20,"Vigente",IF(AND(W60&gt;=1,W60&lt;=20),"Por Vencer","Vencido"))</f>
        <v>Vencido</v>
      </c>
      <c r="Y60" s="184" t="s">
        <v>736</v>
      </c>
    </row>
    <row r="61" spans="1:25" s="40" customFormat="1" ht="65.25" hidden="1" customHeight="1">
      <c r="A61" s="6" t="s">
        <v>184</v>
      </c>
      <c r="B61" s="6" t="s">
        <v>737</v>
      </c>
      <c r="C61" s="53">
        <v>6895864</v>
      </c>
      <c r="D61" s="54">
        <v>4</v>
      </c>
      <c r="E61" s="6">
        <v>70</v>
      </c>
      <c r="F61" s="61" t="s">
        <v>738</v>
      </c>
      <c r="G61" s="19" t="s">
        <v>502</v>
      </c>
      <c r="H61" s="19" t="s">
        <v>335</v>
      </c>
      <c r="I61" s="19">
        <v>2025</v>
      </c>
      <c r="J61" s="73">
        <v>45735</v>
      </c>
      <c r="K61" s="19" t="s">
        <v>161</v>
      </c>
      <c r="L61" s="19" t="s">
        <v>21</v>
      </c>
      <c r="M61" s="75">
        <v>45859</v>
      </c>
      <c r="N61" s="19" t="s">
        <v>739</v>
      </c>
      <c r="O61" s="72" t="s">
        <v>58</v>
      </c>
      <c r="P61" s="6" t="s">
        <v>152</v>
      </c>
      <c r="Q61" s="6"/>
      <c r="R61" s="6" t="s">
        <v>312</v>
      </c>
      <c r="S61" s="6" t="s">
        <v>288</v>
      </c>
      <c r="T61" s="6" t="s">
        <v>277</v>
      </c>
      <c r="U61" s="75">
        <v>46044</v>
      </c>
      <c r="V61" s="75">
        <v>46134</v>
      </c>
      <c r="W61" s="13">
        <f ca="1">V61-TODAY()</f>
        <v>49</v>
      </c>
      <c r="X61" s="6" t="str">
        <f ca="1">IF(W61&gt;=20,"Vigente",IF(AND(W61&gt;=1,W61&lt;=20),"Por Vencer","Vencido"))</f>
        <v>Vigente</v>
      </c>
      <c r="Y61" s="6"/>
    </row>
    <row r="62" spans="1:25" s="37" customFormat="1" ht="65.25" hidden="1" customHeight="1">
      <c r="A62" s="13" t="s">
        <v>184</v>
      </c>
      <c r="B62" s="13" t="s">
        <v>740</v>
      </c>
      <c r="C62" s="51">
        <v>8091248</v>
      </c>
      <c r="D62" s="52" t="s">
        <v>87</v>
      </c>
      <c r="E62" s="13">
        <v>65</v>
      </c>
      <c r="F62" s="27" t="s">
        <v>18</v>
      </c>
      <c r="G62" s="27" t="s">
        <v>68</v>
      </c>
      <c r="H62" s="27" t="s">
        <v>335</v>
      </c>
      <c r="I62" s="27">
        <v>2024</v>
      </c>
      <c r="J62" s="71">
        <v>45390</v>
      </c>
      <c r="K62" s="27" t="s">
        <v>62</v>
      </c>
      <c r="L62" s="27" t="s">
        <v>241</v>
      </c>
      <c r="M62" s="85">
        <v>45512</v>
      </c>
      <c r="N62" s="27" t="s">
        <v>741</v>
      </c>
      <c r="O62" s="79" t="s">
        <v>34</v>
      </c>
      <c r="P62" s="13" t="s">
        <v>152</v>
      </c>
      <c r="Q62" s="13"/>
      <c r="R62" s="185" t="s">
        <v>742</v>
      </c>
      <c r="S62" s="185" t="s">
        <v>288</v>
      </c>
      <c r="T62" s="13" t="s">
        <v>277</v>
      </c>
      <c r="U62" s="85">
        <v>46044</v>
      </c>
      <c r="V62" s="85">
        <v>46134</v>
      </c>
      <c r="W62" s="13">
        <f ca="1">V62-TODAY()</f>
        <v>49</v>
      </c>
      <c r="X62" s="13" t="str">
        <f ca="1">IF(W62&gt;=20,"Vigente",IF(AND(W62&gt;=1,W62&lt;=20),"Por Vencer","Vencido"))</f>
        <v>Vigente</v>
      </c>
      <c r="Y62" s="13"/>
    </row>
    <row r="63" spans="1:25" ht="80.25" hidden="1" customHeight="1">
      <c r="A63" s="6" t="s">
        <v>59</v>
      </c>
      <c r="B63" s="6" t="s">
        <v>743</v>
      </c>
      <c r="C63" s="53">
        <v>10954072</v>
      </c>
      <c r="D63" s="54">
        <v>2</v>
      </c>
      <c r="E63" s="19" t="e">
        <f ca="1">DATEDIF(#REF!,TODAY(),"Y")</f>
        <v>#REF!</v>
      </c>
      <c r="F63" s="19" t="s">
        <v>64</v>
      </c>
      <c r="G63" s="6" t="s">
        <v>744</v>
      </c>
      <c r="H63" s="6" t="s">
        <v>315</v>
      </c>
      <c r="I63" s="19">
        <v>2023</v>
      </c>
      <c r="J63" s="73">
        <v>45036</v>
      </c>
      <c r="K63" s="19" t="s">
        <v>148</v>
      </c>
      <c r="L63" s="19" t="s">
        <v>21</v>
      </c>
      <c r="M63" s="73">
        <v>45369</v>
      </c>
      <c r="N63" s="6" t="s">
        <v>430</v>
      </c>
      <c r="O63" s="72" t="s">
        <v>58</v>
      </c>
      <c r="P63" s="6" t="s">
        <v>152</v>
      </c>
      <c r="Q63" s="6"/>
      <c r="R63" s="6" t="s">
        <v>745</v>
      </c>
      <c r="S63" s="6" t="s">
        <v>557</v>
      </c>
      <c r="T63" s="6" t="s">
        <v>294</v>
      </c>
      <c r="U63" s="75">
        <v>45965</v>
      </c>
      <c r="V63" s="75">
        <v>46146</v>
      </c>
      <c r="W63" s="13">
        <f ca="1">V63-TODAY()</f>
        <v>61</v>
      </c>
      <c r="X63" s="6" t="str">
        <f ca="1">IF(W63&gt;=20,"Vigente",IF(AND(W63&gt;=1,W63&lt;=20),"Por Vencer","Vencido"))</f>
        <v>Vigente</v>
      </c>
      <c r="Y63" s="6"/>
    </row>
    <row r="64" spans="1:25" ht="65.25" hidden="1" customHeight="1">
      <c r="A64" s="6" t="s">
        <v>184</v>
      </c>
      <c r="B64" s="6" t="s">
        <v>746</v>
      </c>
      <c r="C64" s="53">
        <v>6576337</v>
      </c>
      <c r="D64" s="54">
        <v>0</v>
      </c>
      <c r="E64" s="19" t="e">
        <f ca="1">DATEDIF(#REF!,TODAY(),"Y")</f>
        <v>#REF!</v>
      </c>
      <c r="F64" s="19" t="s">
        <v>18</v>
      </c>
      <c r="G64" s="6" t="s">
        <v>19</v>
      </c>
      <c r="H64" s="6" t="s">
        <v>315</v>
      </c>
      <c r="I64" s="19">
        <v>2022</v>
      </c>
      <c r="J64" s="73">
        <v>44621</v>
      </c>
      <c r="K64" s="19" t="s">
        <v>20</v>
      </c>
      <c r="L64" s="19" t="s">
        <v>21</v>
      </c>
      <c r="M64" s="73">
        <v>44725</v>
      </c>
      <c r="N64" s="6" t="s">
        <v>291</v>
      </c>
      <c r="O64" s="72" t="s">
        <v>58</v>
      </c>
      <c r="P64" s="6" t="s">
        <v>149</v>
      </c>
      <c r="Q64" s="6"/>
      <c r="R64" s="184" t="s">
        <v>747</v>
      </c>
      <c r="S64" s="6" t="s">
        <v>284</v>
      </c>
      <c r="T64" s="6" t="s">
        <v>294</v>
      </c>
      <c r="U64" s="75">
        <v>46076</v>
      </c>
      <c r="V64" s="75">
        <v>46104</v>
      </c>
      <c r="W64" s="13">
        <f ca="1">V64-TODAY()</f>
        <v>19</v>
      </c>
      <c r="X64" s="6" t="str">
        <f ca="1">IF(W64&gt;=20,"Vigente",IF(AND(W64&gt;=1,W64&lt;=20),"Por Vencer","Vencido"))</f>
        <v>Por Vencer</v>
      </c>
      <c r="Y64" s="6"/>
    </row>
    <row r="65" spans="1:25" s="37" customFormat="1" ht="65.25" hidden="1" customHeight="1">
      <c r="A65" s="6" t="s">
        <v>184</v>
      </c>
      <c r="B65" s="6" t="s">
        <v>748</v>
      </c>
      <c r="C65" s="53">
        <v>9531463</v>
      </c>
      <c r="D65" s="54">
        <v>5</v>
      </c>
      <c r="E65" s="6">
        <v>62</v>
      </c>
      <c r="F65" s="19" t="s">
        <v>749</v>
      </c>
      <c r="G65" s="19" t="s">
        <v>502</v>
      </c>
      <c r="H65" s="19" t="s">
        <v>335</v>
      </c>
      <c r="I65" s="19" t="s">
        <v>174</v>
      </c>
      <c r="J65" s="19" t="s">
        <v>178</v>
      </c>
      <c r="K65" s="19" t="s">
        <v>62</v>
      </c>
      <c r="L65" s="19" t="s">
        <v>156</v>
      </c>
      <c r="M65" s="75">
        <v>46006</v>
      </c>
      <c r="N65" s="19" t="s">
        <v>750</v>
      </c>
      <c r="O65" s="182" t="s">
        <v>169</v>
      </c>
      <c r="P65" s="6" t="s">
        <v>152</v>
      </c>
      <c r="Q65" s="6"/>
      <c r="R65" s="6" t="s">
        <v>751</v>
      </c>
      <c r="S65" s="6" t="s">
        <v>276</v>
      </c>
      <c r="T65" s="6" t="s">
        <v>277</v>
      </c>
      <c r="U65" s="75">
        <v>46024</v>
      </c>
      <c r="V65" s="75">
        <v>46083</v>
      </c>
      <c r="W65" s="13">
        <f ca="1">V65-TODAY()</f>
        <v>-2</v>
      </c>
      <c r="X65" s="6" t="str">
        <f ca="1">IF(W65&gt;=20,"Vigente",IF(AND(W65&gt;=1,W65&lt;=20),"Por Vencer","Vencido"))</f>
        <v>Vencido</v>
      </c>
      <c r="Y65" s="6"/>
    </row>
    <row r="66" spans="1:25" s="41" customFormat="1" ht="77.25" hidden="1" customHeight="1">
      <c r="A66" s="6" t="s">
        <v>184</v>
      </c>
      <c r="B66" s="6" t="s">
        <v>752</v>
      </c>
      <c r="C66" s="53">
        <v>10223883</v>
      </c>
      <c r="D66" s="54">
        <v>4</v>
      </c>
      <c r="E66" s="6">
        <v>56</v>
      </c>
      <c r="F66" s="19" t="s">
        <v>738</v>
      </c>
      <c r="G66" s="19" t="s">
        <v>753</v>
      </c>
      <c r="H66" s="19" t="s">
        <v>315</v>
      </c>
      <c r="I66" s="19">
        <v>2024</v>
      </c>
      <c r="J66" s="102">
        <v>45576</v>
      </c>
      <c r="K66" s="19" t="s">
        <v>62</v>
      </c>
      <c r="L66" s="19" t="s">
        <v>241</v>
      </c>
      <c r="M66" s="75">
        <v>45888</v>
      </c>
      <c r="N66" s="19" t="s">
        <v>754</v>
      </c>
      <c r="O66" s="79" t="s">
        <v>34</v>
      </c>
      <c r="P66" s="6" t="s">
        <v>152</v>
      </c>
      <c r="Q66" s="6"/>
      <c r="R66" s="13" t="s">
        <v>755</v>
      </c>
      <c r="S66" s="6" t="s">
        <v>276</v>
      </c>
      <c r="T66" s="6" t="s">
        <v>277</v>
      </c>
      <c r="U66" s="75">
        <v>46044</v>
      </c>
      <c r="V66" s="75">
        <v>46103</v>
      </c>
      <c r="W66" s="13">
        <f ca="1">V66-TODAY()</f>
        <v>18</v>
      </c>
      <c r="X66" s="6" t="str">
        <f ca="1">IF(W66&gt;=20,"Vigente",IF(AND(W66&gt;=1,W66&lt;=20),"Por Vencer","Vencido"))</f>
        <v>Por Vencer</v>
      </c>
      <c r="Y66" s="6"/>
    </row>
    <row r="67" spans="1:25" ht="65.25" hidden="1" customHeight="1">
      <c r="A67" s="6" t="s">
        <v>184</v>
      </c>
      <c r="B67" s="6" t="s">
        <v>756</v>
      </c>
      <c r="C67" s="53">
        <v>9810252</v>
      </c>
      <c r="D67" s="54">
        <v>3</v>
      </c>
      <c r="E67" s="19" t="e">
        <f ca="1">DATEDIF(#REF!,TODAY(),"Y")</f>
        <v>#REF!</v>
      </c>
      <c r="F67" s="19" t="s">
        <v>18</v>
      </c>
      <c r="G67" s="6" t="s">
        <v>19</v>
      </c>
      <c r="H67" s="6" t="s">
        <v>315</v>
      </c>
      <c r="I67" s="19">
        <v>2023</v>
      </c>
      <c r="J67" s="102">
        <v>45020</v>
      </c>
      <c r="K67" s="19" t="s">
        <v>20</v>
      </c>
      <c r="L67" s="19" t="s">
        <v>21</v>
      </c>
      <c r="M67" s="73">
        <v>45068</v>
      </c>
      <c r="N67" s="6" t="s">
        <v>430</v>
      </c>
      <c r="O67" s="72" t="s">
        <v>58</v>
      </c>
      <c r="P67" s="184" t="s">
        <v>152</v>
      </c>
      <c r="Q67" s="6"/>
      <c r="R67" s="184" t="s">
        <v>757</v>
      </c>
      <c r="S67" s="184" t="s">
        <v>611</v>
      </c>
      <c r="T67" s="6" t="s">
        <v>285</v>
      </c>
      <c r="U67" s="75">
        <v>46062</v>
      </c>
      <c r="V67" s="75">
        <v>46304</v>
      </c>
      <c r="W67" s="13">
        <f ca="1">V67-TODAY()</f>
        <v>219</v>
      </c>
      <c r="X67" s="6" t="str">
        <f ca="1">IF(W67&gt;=20,"Vigente",IF(AND(W67&gt;=1,W67&lt;=20),"Por Vencer","Vencido"))</f>
        <v>Vigente</v>
      </c>
      <c r="Y67" s="6"/>
    </row>
    <row r="68" spans="1:25" ht="65.25" hidden="1" customHeight="1">
      <c r="A68" s="13" t="s">
        <v>184</v>
      </c>
      <c r="B68" s="13" t="s">
        <v>758</v>
      </c>
      <c r="C68" s="51">
        <v>11260456</v>
      </c>
      <c r="D68" s="52">
        <v>1</v>
      </c>
      <c r="E68" s="13">
        <v>56</v>
      </c>
      <c r="F68" s="27" t="s">
        <v>18</v>
      </c>
      <c r="G68" s="27" t="s">
        <v>19</v>
      </c>
      <c r="H68" s="27" t="s">
        <v>315</v>
      </c>
      <c r="I68" s="27">
        <v>2024</v>
      </c>
      <c r="J68" s="71">
        <v>45491</v>
      </c>
      <c r="K68" s="27" t="s">
        <v>62</v>
      </c>
      <c r="L68" s="27" t="s">
        <v>241</v>
      </c>
      <c r="M68" s="85">
        <v>45855</v>
      </c>
      <c r="N68" s="187" t="s">
        <v>759</v>
      </c>
      <c r="O68" s="79" t="s">
        <v>34</v>
      </c>
      <c r="P68" s="13" t="s">
        <v>152</v>
      </c>
      <c r="Q68" s="13"/>
      <c r="R68" s="185" t="s">
        <v>760</v>
      </c>
      <c r="S68" s="185" t="s">
        <v>288</v>
      </c>
      <c r="T68" s="13" t="s">
        <v>277</v>
      </c>
      <c r="U68" s="85">
        <v>46044</v>
      </c>
      <c r="V68" s="85">
        <v>46134</v>
      </c>
      <c r="W68" s="13">
        <f ca="1">V68-TODAY()</f>
        <v>49</v>
      </c>
      <c r="X68" s="13" t="str">
        <f ca="1">IF(W68&gt;=20,"Vigente",IF(AND(W68&gt;=1,W68&lt;=20),"Por Vencer","Vencido"))</f>
        <v>Vigente</v>
      </c>
      <c r="Y68" s="13"/>
    </row>
    <row r="69" spans="1:25" s="37" customFormat="1" ht="65.25" hidden="1" customHeight="1">
      <c r="A69" s="13" t="s">
        <v>184</v>
      </c>
      <c r="B69" s="13" t="s">
        <v>761</v>
      </c>
      <c r="C69" s="51">
        <v>7174703</v>
      </c>
      <c r="D69" s="52">
        <v>4</v>
      </c>
      <c r="E69" s="27" t="e">
        <f ca="1">DATEDIF(#REF!,TODAY(),"Y")</f>
        <v>#REF!</v>
      </c>
      <c r="F69" s="27" t="s">
        <v>18</v>
      </c>
      <c r="G69" s="13" t="s">
        <v>68</v>
      </c>
      <c r="H69" s="27" t="s">
        <v>315</v>
      </c>
      <c r="I69" s="27">
        <v>2022</v>
      </c>
      <c r="J69" s="71">
        <v>44621</v>
      </c>
      <c r="K69" s="27" t="s">
        <v>20</v>
      </c>
      <c r="L69" s="27" t="s">
        <v>21</v>
      </c>
      <c r="M69" s="71">
        <v>45404</v>
      </c>
      <c r="N69" s="185" t="s">
        <v>762</v>
      </c>
      <c r="O69" s="79" t="s">
        <v>34</v>
      </c>
      <c r="P69" s="13" t="s">
        <v>152</v>
      </c>
      <c r="Q69" s="13"/>
      <c r="R69" s="185" t="s">
        <v>763</v>
      </c>
      <c r="S69" s="185" t="s">
        <v>288</v>
      </c>
      <c r="T69" s="185" t="s">
        <v>277</v>
      </c>
      <c r="U69" s="85">
        <v>46044</v>
      </c>
      <c r="V69" s="85">
        <v>46134</v>
      </c>
      <c r="W69" s="13">
        <f ca="1">V69-TODAY()</f>
        <v>49</v>
      </c>
      <c r="X69" s="13" t="str">
        <f ca="1">IF(W69&gt;=20,"Vigente",IF(AND(W69&gt;=1,W69&lt;=20),"Por Vencer","Vencido"))</f>
        <v>Vigente</v>
      </c>
      <c r="Y69" s="13"/>
    </row>
    <row r="70" spans="1:25" ht="65.25" hidden="1" customHeight="1">
      <c r="A70" s="6" t="s">
        <v>184</v>
      </c>
      <c r="B70" s="6" t="s">
        <v>764</v>
      </c>
      <c r="C70" s="53">
        <v>12815209</v>
      </c>
      <c r="D70" s="54">
        <v>1</v>
      </c>
      <c r="E70" s="6">
        <v>49</v>
      </c>
      <c r="F70" s="61" t="s">
        <v>18</v>
      </c>
      <c r="G70" s="19" t="s">
        <v>502</v>
      </c>
      <c r="H70" s="19" t="s">
        <v>335</v>
      </c>
      <c r="I70" s="19">
        <v>2025</v>
      </c>
      <c r="J70" s="102">
        <v>45733</v>
      </c>
      <c r="K70" s="19" t="s">
        <v>20</v>
      </c>
      <c r="L70" s="19" t="s">
        <v>32</v>
      </c>
      <c r="M70" s="75">
        <v>45952</v>
      </c>
      <c r="N70" s="19" t="s">
        <v>765</v>
      </c>
      <c r="O70" s="79" t="s">
        <v>34</v>
      </c>
      <c r="P70" s="6" t="s">
        <v>152</v>
      </c>
      <c r="Q70" s="6"/>
      <c r="R70" s="6" t="s">
        <v>766</v>
      </c>
      <c r="S70" s="6" t="s">
        <v>284</v>
      </c>
      <c r="T70" s="6" t="s">
        <v>277</v>
      </c>
      <c r="U70" s="75">
        <v>46044</v>
      </c>
      <c r="V70" s="75">
        <v>46075</v>
      </c>
      <c r="W70" s="13">
        <f ca="1">V70-TODAY()</f>
        <v>-10</v>
      </c>
      <c r="X70" s="6" t="str">
        <f ca="1">IF(W70&gt;=20,"Vigente",IF(AND(W70&gt;=1,W70&lt;=20),"Por Vencer","Vencido"))</f>
        <v>Vencido</v>
      </c>
      <c r="Y70" s="6"/>
    </row>
    <row r="71" spans="1:25" ht="65.25" hidden="1" customHeight="1">
      <c r="A71" s="6" t="s">
        <v>184</v>
      </c>
      <c r="B71" s="6" t="s">
        <v>767</v>
      </c>
      <c r="C71" s="53">
        <v>6653924</v>
      </c>
      <c r="D71" s="54">
        <v>5</v>
      </c>
      <c r="E71" s="19" t="e">
        <f ca="1">DATEDIF(#REF!,TODAY(),"Y")</f>
        <v>#REF!</v>
      </c>
      <c r="F71" s="19" t="s">
        <v>18</v>
      </c>
      <c r="G71" s="6" t="s">
        <v>19</v>
      </c>
      <c r="H71" s="19" t="s">
        <v>315</v>
      </c>
      <c r="I71" s="19">
        <v>2020</v>
      </c>
      <c r="J71" s="102">
        <v>44060</v>
      </c>
      <c r="K71" s="19" t="s">
        <v>31</v>
      </c>
      <c r="L71" s="19" t="s">
        <v>21</v>
      </c>
      <c r="M71" s="73">
        <v>44123</v>
      </c>
      <c r="N71" s="19" t="s">
        <v>430</v>
      </c>
      <c r="O71" s="72" t="s">
        <v>58</v>
      </c>
      <c r="P71" s="6" t="s">
        <v>152</v>
      </c>
      <c r="Q71" s="6" t="s">
        <v>768</v>
      </c>
      <c r="R71" s="13" t="s">
        <v>769</v>
      </c>
      <c r="S71" s="6" t="s">
        <v>647</v>
      </c>
      <c r="T71" s="6" t="s">
        <v>294</v>
      </c>
      <c r="U71" s="75">
        <v>45792</v>
      </c>
      <c r="V71" s="75">
        <v>46037</v>
      </c>
      <c r="W71" s="13">
        <f ca="1">V71-TODAY()</f>
        <v>-48</v>
      </c>
      <c r="X71" s="6" t="str">
        <f ca="1">IF(W71&gt;=20,"Vigente",IF(AND(W71&gt;=1,W71&lt;=20),"Por Vencer","Vencido"))</f>
        <v>Vencido</v>
      </c>
      <c r="Y71" s="6" t="s">
        <v>768</v>
      </c>
    </row>
    <row r="72" spans="1:25" ht="65.25" hidden="1" customHeight="1">
      <c r="A72" s="6" t="s">
        <v>59</v>
      </c>
      <c r="B72" s="6" t="s">
        <v>770</v>
      </c>
      <c r="C72" s="53">
        <v>8241494</v>
      </c>
      <c r="D72" s="54">
        <v>0</v>
      </c>
      <c r="E72" s="6">
        <v>66</v>
      </c>
      <c r="F72" s="61" t="s">
        <v>324</v>
      </c>
      <c r="G72" s="19" t="s">
        <v>583</v>
      </c>
      <c r="H72" s="19" t="s">
        <v>315</v>
      </c>
      <c r="I72" s="19">
        <v>2024</v>
      </c>
      <c r="J72" s="73">
        <v>45569</v>
      </c>
      <c r="K72" s="19" t="s">
        <v>166</v>
      </c>
      <c r="L72" s="19" t="s">
        <v>156</v>
      </c>
      <c r="M72" s="6" t="s">
        <v>180</v>
      </c>
      <c r="N72" s="19" t="s">
        <v>180</v>
      </c>
      <c r="O72" s="72" t="s">
        <v>58</v>
      </c>
      <c r="P72" s="6" t="s">
        <v>152</v>
      </c>
      <c r="Q72" s="6"/>
      <c r="R72" s="6" t="s">
        <v>771</v>
      </c>
      <c r="S72" s="6" t="s">
        <v>574</v>
      </c>
      <c r="T72" s="6" t="s">
        <v>285</v>
      </c>
      <c r="U72" s="75">
        <v>45792</v>
      </c>
      <c r="V72" s="75">
        <v>46096</v>
      </c>
      <c r="W72" s="13">
        <f ca="1">V72-TODAY()</f>
        <v>11</v>
      </c>
      <c r="X72" s="6" t="str">
        <f ca="1">IF(W72&gt;=20,"Vigente",IF(AND(W72&gt;=1,W72&lt;=20),"Por Vencer","Vencido"))</f>
        <v>Por Vencer</v>
      </c>
      <c r="Y72" s="6"/>
    </row>
    <row r="73" spans="1:25" ht="65.25" hidden="1" customHeight="1">
      <c r="A73" s="6" t="s">
        <v>184</v>
      </c>
      <c r="B73" s="6" t="s">
        <v>772</v>
      </c>
      <c r="C73" s="53">
        <v>9248376</v>
      </c>
      <c r="D73" s="54">
        <v>2</v>
      </c>
      <c r="E73" s="19" t="e">
        <f ca="1">DATEDIF(#REF!,TODAY(),"Y")</f>
        <v>#REF!</v>
      </c>
      <c r="F73" s="19" t="s">
        <v>18</v>
      </c>
      <c r="G73" s="6" t="s">
        <v>19</v>
      </c>
      <c r="H73" s="6" t="s">
        <v>315</v>
      </c>
      <c r="I73" s="19">
        <v>2020</v>
      </c>
      <c r="J73" s="73">
        <v>44137</v>
      </c>
      <c r="K73" s="19" t="s">
        <v>31</v>
      </c>
      <c r="L73" s="19" t="s">
        <v>21</v>
      </c>
      <c r="M73" s="73">
        <v>44518</v>
      </c>
      <c r="N73" s="19" t="s">
        <v>430</v>
      </c>
      <c r="O73" s="72" t="s">
        <v>58</v>
      </c>
      <c r="P73" s="6" t="s">
        <v>149</v>
      </c>
      <c r="Q73" s="6" t="s">
        <v>597</v>
      </c>
      <c r="R73" s="6" t="s">
        <v>773</v>
      </c>
      <c r="S73" s="6" t="s">
        <v>574</v>
      </c>
      <c r="T73" s="6" t="s">
        <v>473</v>
      </c>
      <c r="U73" s="75">
        <v>45995</v>
      </c>
      <c r="V73" s="75">
        <v>45934</v>
      </c>
      <c r="W73" s="13">
        <f ca="1">V73-TODAY()</f>
        <v>-151</v>
      </c>
      <c r="X73" s="6" t="str">
        <f ca="1">IF(W73&gt;=20,"Vigente",IF(AND(W73&gt;=1,W73&lt;=20),"Por Vencer","Vencido"))</f>
        <v>Vencido</v>
      </c>
      <c r="Y73" s="6" t="s">
        <v>483</v>
      </c>
    </row>
    <row r="74" spans="1:25" ht="65.25" hidden="1" customHeight="1">
      <c r="A74" s="6" t="s">
        <v>184</v>
      </c>
      <c r="B74" s="6" t="s">
        <v>774</v>
      </c>
      <c r="C74" s="53">
        <v>11180530</v>
      </c>
      <c r="D74" s="54" t="s">
        <v>129</v>
      </c>
      <c r="E74" s="19" t="e">
        <f ca="1">DATEDIF(#REF!,TODAY(),"Y")</f>
        <v>#REF!</v>
      </c>
      <c r="F74" s="61" t="s">
        <v>18</v>
      </c>
      <c r="G74" s="6" t="s">
        <v>19</v>
      </c>
      <c r="H74" s="6" t="s">
        <v>315</v>
      </c>
      <c r="I74" s="19">
        <v>2022</v>
      </c>
      <c r="J74" s="73">
        <v>44882</v>
      </c>
      <c r="K74" s="19" t="s">
        <v>31</v>
      </c>
      <c r="L74" s="19" t="s">
        <v>21</v>
      </c>
      <c r="M74" s="73">
        <v>44956</v>
      </c>
      <c r="N74" s="6" t="s">
        <v>430</v>
      </c>
      <c r="O74" s="72" t="s">
        <v>58</v>
      </c>
      <c r="P74" s="184" t="s">
        <v>152</v>
      </c>
      <c r="Q74" s="184"/>
      <c r="R74" s="13" t="s">
        <v>775</v>
      </c>
      <c r="S74" s="6" t="s">
        <v>591</v>
      </c>
      <c r="T74" s="6" t="s">
        <v>294</v>
      </c>
      <c r="U74" s="75">
        <v>45967</v>
      </c>
      <c r="V74" s="75">
        <v>46240</v>
      </c>
      <c r="W74" s="13">
        <f ca="1">V74-TODAY()</f>
        <v>155</v>
      </c>
      <c r="X74" s="6" t="str">
        <f ca="1">IF(W74&gt;=20,"Vigente",IF(AND(W74&gt;=1,W74&lt;=20),"Por Vencer","Vencido"))</f>
        <v>Vigente</v>
      </c>
      <c r="Y74" s="184"/>
    </row>
    <row r="75" spans="1:25" ht="65.25" hidden="1" customHeight="1">
      <c r="A75" s="6" t="s">
        <v>184</v>
      </c>
      <c r="B75" s="6" t="s">
        <v>776</v>
      </c>
      <c r="C75" s="53">
        <v>7482417</v>
      </c>
      <c r="D75" s="54" t="s">
        <v>87</v>
      </c>
      <c r="E75" s="6">
        <v>73</v>
      </c>
      <c r="F75" s="19" t="s">
        <v>18</v>
      </c>
      <c r="G75" s="19" t="s">
        <v>141</v>
      </c>
      <c r="H75" s="19" t="s">
        <v>777</v>
      </c>
      <c r="I75" s="19">
        <v>2024</v>
      </c>
      <c r="J75" s="73">
        <v>45497</v>
      </c>
      <c r="K75" s="19" t="s">
        <v>62</v>
      </c>
      <c r="L75" s="19" t="s">
        <v>32</v>
      </c>
      <c r="M75" s="75">
        <v>45727</v>
      </c>
      <c r="N75" s="19" t="s">
        <v>778</v>
      </c>
      <c r="O75" s="72" t="s">
        <v>58</v>
      </c>
      <c r="P75" s="6" t="s">
        <v>152</v>
      </c>
      <c r="Q75" s="6"/>
      <c r="R75" s="185" t="s">
        <v>779</v>
      </c>
      <c r="S75" s="6" t="s">
        <v>595</v>
      </c>
      <c r="T75" s="6" t="s">
        <v>285</v>
      </c>
      <c r="U75" s="75">
        <v>46041</v>
      </c>
      <c r="V75" s="75">
        <v>46192</v>
      </c>
      <c r="W75" s="13">
        <f ca="1">V75-TODAY()</f>
        <v>107</v>
      </c>
      <c r="X75" s="6" t="str">
        <f ca="1">IF(W75&gt;=20,"Vigente",IF(AND(W75&gt;=1,W75&lt;=20),"Por Vencer","Vencido"))</f>
        <v>Vigente</v>
      </c>
      <c r="Y75" s="184"/>
    </row>
    <row r="76" spans="1:25" ht="65.25" hidden="1" customHeight="1">
      <c r="A76" s="6" t="s">
        <v>184</v>
      </c>
      <c r="B76" s="6" t="s">
        <v>780</v>
      </c>
      <c r="C76" s="53">
        <v>6235460</v>
      </c>
      <c r="D76" s="54">
        <v>7</v>
      </c>
      <c r="E76" s="6">
        <v>76</v>
      </c>
      <c r="F76" s="19" t="s">
        <v>26</v>
      </c>
      <c r="G76" s="19" t="s">
        <v>19</v>
      </c>
      <c r="H76" s="6" t="s">
        <v>315</v>
      </c>
      <c r="I76" s="19">
        <v>2024</v>
      </c>
      <c r="J76" s="73">
        <v>45476</v>
      </c>
      <c r="K76" s="19" t="s">
        <v>62</v>
      </c>
      <c r="L76" s="19" t="s">
        <v>241</v>
      </c>
      <c r="M76" s="75">
        <v>45663</v>
      </c>
      <c r="N76" s="19" t="s">
        <v>781</v>
      </c>
      <c r="O76" s="181" t="s">
        <v>58</v>
      </c>
      <c r="P76" s="6" t="s">
        <v>152</v>
      </c>
      <c r="Q76" s="6" t="s">
        <v>570</v>
      </c>
      <c r="R76" s="13" t="s">
        <v>782</v>
      </c>
      <c r="S76" s="6" t="s">
        <v>284</v>
      </c>
      <c r="T76" s="6" t="s">
        <v>473</v>
      </c>
      <c r="U76" s="75">
        <v>45993</v>
      </c>
      <c r="V76" s="75">
        <v>46024</v>
      </c>
      <c r="W76" s="13">
        <f ca="1">V76-TODAY()</f>
        <v>-61</v>
      </c>
      <c r="X76" s="6" t="str">
        <f ca="1">IF(W76&gt;=20,"Vigente",IF(AND(W76&gt;=1,W76&lt;=20),"Por Vencer","Vencido"))</f>
        <v>Vencido</v>
      </c>
      <c r="Y76" s="6"/>
    </row>
    <row r="77" spans="1:25" ht="65.25" hidden="1" customHeight="1">
      <c r="A77" s="6" t="s">
        <v>184</v>
      </c>
      <c r="B77" s="6" t="s">
        <v>783</v>
      </c>
      <c r="C77" s="53">
        <v>13329399</v>
      </c>
      <c r="D77" s="54" t="s">
        <v>129</v>
      </c>
      <c r="E77" s="19" t="e">
        <f ca="1">DATEDIF(#REF!,TODAY(),"Y")</f>
        <v>#REF!</v>
      </c>
      <c r="F77" s="19" t="s">
        <v>18</v>
      </c>
      <c r="G77" s="6" t="s">
        <v>19</v>
      </c>
      <c r="H77" s="6" t="s">
        <v>315</v>
      </c>
      <c r="I77" s="19">
        <v>2023</v>
      </c>
      <c r="J77" s="73">
        <v>45083</v>
      </c>
      <c r="K77" s="19" t="s">
        <v>20</v>
      </c>
      <c r="L77" s="19" t="s">
        <v>21</v>
      </c>
      <c r="M77" s="73">
        <v>45138</v>
      </c>
      <c r="N77" s="6" t="s">
        <v>784</v>
      </c>
      <c r="O77" s="72" t="s">
        <v>58</v>
      </c>
      <c r="P77" s="6" t="s">
        <v>152</v>
      </c>
      <c r="Q77" s="6"/>
      <c r="R77" s="13" t="s">
        <v>785</v>
      </c>
      <c r="S77" s="6" t="s">
        <v>574</v>
      </c>
      <c r="T77" s="6" t="s">
        <v>482</v>
      </c>
      <c r="U77" s="75">
        <v>45992</v>
      </c>
      <c r="V77" s="75">
        <v>46296</v>
      </c>
      <c r="W77" s="13">
        <f ca="1">V77-TODAY()</f>
        <v>211</v>
      </c>
      <c r="X77" s="6" t="str">
        <f ca="1">IF(W77&gt;=20,"Vigente",IF(AND(W77&gt;=1,W77&lt;=20),"Por Vencer","Vencido"))</f>
        <v>Vigente</v>
      </c>
      <c r="Y77" s="6"/>
    </row>
    <row r="78" spans="1:25" s="40" customFormat="1" ht="65.25" hidden="1" customHeight="1">
      <c r="A78" s="6" t="s">
        <v>184</v>
      </c>
      <c r="B78" s="6" t="s">
        <v>786</v>
      </c>
      <c r="C78" s="53">
        <v>5944755</v>
      </c>
      <c r="D78" s="54">
        <v>6</v>
      </c>
      <c r="E78" s="19" t="e">
        <f ca="1">DATEDIF(#REF!,TODAY(),"Y")</f>
        <v>#REF!</v>
      </c>
      <c r="F78" s="19" t="s">
        <v>18</v>
      </c>
      <c r="G78" s="6" t="s">
        <v>68</v>
      </c>
      <c r="H78" s="6" t="s">
        <v>315</v>
      </c>
      <c r="I78" s="19">
        <v>2022</v>
      </c>
      <c r="J78" s="73">
        <v>44643</v>
      </c>
      <c r="K78" s="19" t="s">
        <v>20</v>
      </c>
      <c r="L78" s="19" t="s">
        <v>32</v>
      </c>
      <c r="M78" s="73" t="s">
        <v>787</v>
      </c>
      <c r="N78" s="6" t="s">
        <v>788</v>
      </c>
      <c r="O78" s="72" t="s">
        <v>58</v>
      </c>
      <c r="P78" s="6" t="s">
        <v>152</v>
      </c>
      <c r="Q78" s="6" t="s">
        <v>480</v>
      </c>
      <c r="R78" s="13" t="s">
        <v>789</v>
      </c>
      <c r="S78" s="6" t="s">
        <v>557</v>
      </c>
      <c r="T78" s="6" t="s">
        <v>294</v>
      </c>
      <c r="U78" s="75">
        <v>45934</v>
      </c>
      <c r="V78" s="75">
        <v>45940</v>
      </c>
      <c r="W78" s="13">
        <f ca="1">V78-TODAY()</f>
        <v>-145</v>
      </c>
      <c r="X78" s="6" t="str">
        <f ca="1">IF(W78&gt;=20,"Vigente",IF(AND(W78&gt;=1,W78&lt;=20),"Por Vencer","Vencido"))</f>
        <v>Vencido</v>
      </c>
      <c r="Y78" s="6" t="s">
        <v>483</v>
      </c>
    </row>
    <row r="79" spans="1:25" s="40" customFormat="1" ht="65.25" hidden="1" customHeight="1">
      <c r="A79" s="6" t="s">
        <v>59</v>
      </c>
      <c r="B79" s="6" t="s">
        <v>790</v>
      </c>
      <c r="C79" s="53">
        <v>10812447</v>
      </c>
      <c r="D79" s="54">
        <v>4</v>
      </c>
      <c r="E79" s="6">
        <v>57</v>
      </c>
      <c r="F79" s="61" t="s">
        <v>18</v>
      </c>
      <c r="G79" s="19" t="s">
        <v>791</v>
      </c>
      <c r="H79" s="19" t="s">
        <v>315</v>
      </c>
      <c r="I79" s="186" t="s">
        <v>174</v>
      </c>
      <c r="J79" s="186" t="s">
        <v>178</v>
      </c>
      <c r="K79" s="19" t="s">
        <v>166</v>
      </c>
      <c r="L79" s="19" t="s">
        <v>21</v>
      </c>
      <c r="M79" s="75">
        <v>45887</v>
      </c>
      <c r="N79" s="19" t="s">
        <v>792</v>
      </c>
      <c r="O79" s="79" t="s">
        <v>34</v>
      </c>
      <c r="P79" s="6" t="s">
        <v>152</v>
      </c>
      <c r="Q79" s="184"/>
      <c r="R79" s="6" t="s">
        <v>793</v>
      </c>
      <c r="S79" s="6" t="s">
        <v>288</v>
      </c>
      <c r="T79" s="6" t="s">
        <v>289</v>
      </c>
      <c r="U79" s="75">
        <v>46044</v>
      </c>
      <c r="V79" s="75">
        <v>46103</v>
      </c>
      <c r="W79" s="13">
        <f ca="1">V79-TODAY()</f>
        <v>18</v>
      </c>
      <c r="X79" s="6" t="str">
        <f ca="1">IF(W79&gt;=20,"Vigente",IF(AND(W79&gt;=1,W79&lt;=20),"Por Vencer","Vencido"))</f>
        <v>Por Vencer</v>
      </c>
      <c r="Y79" s="6"/>
    </row>
    <row r="80" spans="1:25" s="37" customFormat="1" ht="65.25" hidden="1" customHeight="1">
      <c r="A80" s="6" t="s">
        <v>184</v>
      </c>
      <c r="B80" s="6" t="s">
        <v>794</v>
      </c>
      <c r="C80" s="12">
        <v>6045176</v>
      </c>
      <c r="D80" s="57">
        <v>1</v>
      </c>
      <c r="E80" s="19" t="e">
        <f ca="1">DATEDIF(#REF!,TODAY(),"Y")</f>
        <v>#REF!</v>
      </c>
      <c r="F80" s="61" t="s">
        <v>18</v>
      </c>
      <c r="G80" s="6" t="s">
        <v>19</v>
      </c>
      <c r="H80" s="13" t="s">
        <v>315</v>
      </c>
      <c r="I80" s="19">
        <v>2024</v>
      </c>
      <c r="J80" s="73">
        <v>45308</v>
      </c>
      <c r="K80" s="19" t="s">
        <v>62</v>
      </c>
      <c r="L80" s="19" t="s">
        <v>269</v>
      </c>
      <c r="M80" s="73">
        <v>45446</v>
      </c>
      <c r="N80" s="6" t="s">
        <v>643</v>
      </c>
      <c r="O80" s="72" t="s">
        <v>58</v>
      </c>
      <c r="P80" s="6" t="s">
        <v>27</v>
      </c>
      <c r="Q80" s="184" t="s">
        <v>795</v>
      </c>
      <c r="R80" s="37" t="s">
        <v>796</v>
      </c>
      <c r="S80" s="6" t="s">
        <v>797</v>
      </c>
      <c r="T80" s="6" t="s">
        <v>285</v>
      </c>
      <c r="U80" s="75">
        <v>46030</v>
      </c>
      <c r="V80" s="75">
        <v>46061</v>
      </c>
      <c r="W80" s="13">
        <f ca="1">V80-TODAY()</f>
        <v>-24</v>
      </c>
      <c r="X80" s="6" t="str">
        <f ca="1">IF(W80&gt;=20,"Vigente",IF(AND(W80&gt;=1,W80&lt;=20),"Por Vencer","Vencido"))</f>
        <v>Vencido</v>
      </c>
      <c r="Y80" s="184"/>
    </row>
    <row r="81" spans="1:25" s="40" customFormat="1" ht="65.25" hidden="1" customHeight="1">
      <c r="A81" s="6" t="s">
        <v>184</v>
      </c>
      <c r="B81" s="6" t="s">
        <v>798</v>
      </c>
      <c r="C81" s="53">
        <v>5628477</v>
      </c>
      <c r="D81" s="54" t="s">
        <v>87</v>
      </c>
      <c r="E81" s="6">
        <v>78</v>
      </c>
      <c r="F81" s="19" t="s">
        <v>18</v>
      </c>
      <c r="G81" s="19" t="s">
        <v>68</v>
      </c>
      <c r="H81" s="13" t="s">
        <v>315</v>
      </c>
      <c r="I81" s="19">
        <v>2024</v>
      </c>
      <c r="J81" s="73">
        <v>45484</v>
      </c>
      <c r="K81" s="19" t="s">
        <v>62</v>
      </c>
      <c r="L81" s="19" t="s">
        <v>32</v>
      </c>
      <c r="M81" s="73">
        <v>45908</v>
      </c>
      <c r="N81" s="6" t="s">
        <v>799</v>
      </c>
      <c r="O81" s="79" t="s">
        <v>34</v>
      </c>
      <c r="P81" s="6" t="s">
        <v>152</v>
      </c>
      <c r="Q81" s="6"/>
      <c r="R81" s="185" t="s">
        <v>800</v>
      </c>
      <c r="S81" s="6" t="s">
        <v>797</v>
      </c>
      <c r="T81" s="6" t="s">
        <v>277</v>
      </c>
      <c r="U81" s="75">
        <v>46044</v>
      </c>
      <c r="V81" s="75">
        <v>46075</v>
      </c>
      <c r="W81" s="13">
        <f ca="1">V81-TODAY()</f>
        <v>-10</v>
      </c>
      <c r="X81" s="6" t="str">
        <f ca="1">IF(W81&gt;=20,"Vigente",IF(AND(W81&gt;=1,W81&lt;=20),"Por Vencer","Vencido"))</f>
        <v>Vencido</v>
      </c>
      <c r="Y81" s="6"/>
    </row>
    <row r="82" spans="1:25" ht="65.25" hidden="1" customHeight="1">
      <c r="A82" s="6" t="s">
        <v>184</v>
      </c>
      <c r="B82" s="6" t="s">
        <v>801</v>
      </c>
      <c r="C82" s="53">
        <v>6746746</v>
      </c>
      <c r="D82" s="54">
        <v>9</v>
      </c>
      <c r="E82" s="69">
        <v>75.624657534246595</v>
      </c>
      <c r="F82" s="19" t="s">
        <v>18</v>
      </c>
      <c r="G82" s="6" t="s">
        <v>68</v>
      </c>
      <c r="H82" s="13" t="s">
        <v>315</v>
      </c>
      <c r="I82" s="19">
        <v>2017</v>
      </c>
      <c r="J82" s="73">
        <v>42902</v>
      </c>
      <c r="K82" s="19" t="s">
        <v>20</v>
      </c>
      <c r="L82" s="19" t="s">
        <v>21</v>
      </c>
      <c r="M82" s="73">
        <v>42954</v>
      </c>
      <c r="N82" s="6" t="s">
        <v>802</v>
      </c>
      <c r="O82" s="72" t="s">
        <v>58</v>
      </c>
      <c r="P82" s="6" t="s">
        <v>152</v>
      </c>
      <c r="Q82" s="184"/>
      <c r="R82" s="13" t="s">
        <v>803</v>
      </c>
      <c r="S82" s="6" t="s">
        <v>288</v>
      </c>
      <c r="T82" s="6" t="s">
        <v>294</v>
      </c>
      <c r="U82" s="75">
        <v>46013</v>
      </c>
      <c r="V82" s="75">
        <v>46134</v>
      </c>
      <c r="W82" s="13">
        <f ca="1">V82-TODAY()</f>
        <v>49</v>
      </c>
      <c r="X82" s="6" t="str">
        <f ca="1">IF(W82&gt;=20,"Vigente",IF(AND(W82&gt;=1,W82&lt;=20),"Por Vencer","Vencido"))</f>
        <v>Vigente</v>
      </c>
      <c r="Y82" s="184"/>
    </row>
    <row r="83" spans="1:25" s="37" customFormat="1" ht="65.25" hidden="1" customHeight="1">
      <c r="A83" s="13" t="s">
        <v>184</v>
      </c>
      <c r="B83" s="13" t="s">
        <v>804</v>
      </c>
      <c r="C83" s="58">
        <v>9025601</v>
      </c>
      <c r="D83" s="52">
        <v>7</v>
      </c>
      <c r="E83" s="27" t="e">
        <f ca="1">DATEDIF(#REF!,TODAY(),"Y")</f>
        <v>#REF!</v>
      </c>
      <c r="F83" s="27" t="s">
        <v>18</v>
      </c>
      <c r="G83" s="13" t="s">
        <v>68</v>
      </c>
      <c r="H83" s="13" t="s">
        <v>315</v>
      </c>
      <c r="I83" s="27">
        <v>2023</v>
      </c>
      <c r="J83" s="71">
        <v>45260</v>
      </c>
      <c r="K83" s="27" t="s">
        <v>62</v>
      </c>
      <c r="L83" s="27" t="s">
        <v>21</v>
      </c>
      <c r="M83" s="71">
        <v>45908</v>
      </c>
      <c r="N83" s="13" t="s">
        <v>805</v>
      </c>
      <c r="O83" s="79" t="s">
        <v>34</v>
      </c>
      <c r="P83" s="13" t="s">
        <v>152</v>
      </c>
      <c r="Q83" s="13"/>
      <c r="R83" s="185" t="s">
        <v>806</v>
      </c>
      <c r="S83" s="13" t="s">
        <v>276</v>
      </c>
      <c r="T83" s="13" t="s">
        <v>277</v>
      </c>
      <c r="U83" s="85">
        <v>46044</v>
      </c>
      <c r="V83" s="85">
        <v>46075</v>
      </c>
      <c r="W83" s="13">
        <f ca="1">V83-TODAY()</f>
        <v>-10</v>
      </c>
      <c r="X83" s="13" t="str">
        <f ca="1">IF(W83&gt;=20,"Vigente",IF(AND(W83&gt;=1,W83&lt;=20),"Por Vencer","Vencido"))</f>
        <v>Vencido</v>
      </c>
      <c r="Y83" s="13"/>
    </row>
    <row r="84" spans="1:25" s="37" customFormat="1" ht="65.25" hidden="1" customHeight="1">
      <c r="A84" s="13" t="s">
        <v>184</v>
      </c>
      <c r="B84" s="13" t="s">
        <v>807</v>
      </c>
      <c r="C84" s="51">
        <v>7674211</v>
      </c>
      <c r="D84" s="52">
        <v>1</v>
      </c>
      <c r="E84" s="13">
        <v>68</v>
      </c>
      <c r="F84" s="27" t="s">
        <v>18</v>
      </c>
      <c r="G84" s="27" t="s">
        <v>141</v>
      </c>
      <c r="H84" s="27" t="s">
        <v>315</v>
      </c>
      <c r="I84" s="27">
        <v>2024</v>
      </c>
      <c r="J84" s="71">
        <v>45623</v>
      </c>
      <c r="K84" s="27" t="s">
        <v>62</v>
      </c>
      <c r="L84" s="27" t="s">
        <v>168</v>
      </c>
      <c r="M84" s="85">
        <v>45635</v>
      </c>
      <c r="N84" s="27" t="s">
        <v>808</v>
      </c>
      <c r="O84" s="72" t="s">
        <v>58</v>
      </c>
      <c r="P84" s="13" t="s">
        <v>152</v>
      </c>
      <c r="Q84" s="13" t="s">
        <v>654</v>
      </c>
      <c r="R84" s="185" t="s">
        <v>809</v>
      </c>
      <c r="S84" s="13" t="s">
        <v>284</v>
      </c>
      <c r="T84" s="13" t="s">
        <v>289</v>
      </c>
      <c r="U84" s="85">
        <v>45904</v>
      </c>
      <c r="V84" s="85">
        <v>45934</v>
      </c>
      <c r="W84" s="13">
        <f ca="1">V84-TODAY()</f>
        <v>-151</v>
      </c>
      <c r="X84" s="13" t="str">
        <f ca="1">IF(W84&gt;=20,"Vigente",IF(AND(W84&gt;=1,W84&lt;=20),"Por Vencer","Vencido"))</f>
        <v>Vencido</v>
      </c>
      <c r="Y84" s="13"/>
    </row>
    <row r="85" spans="1:25" s="40" customFormat="1" ht="65.25" hidden="1" customHeight="1">
      <c r="A85" s="13" t="s">
        <v>184</v>
      </c>
      <c r="B85" s="13" t="s">
        <v>810</v>
      </c>
      <c r="C85" s="51">
        <v>4880731</v>
      </c>
      <c r="D85" s="52">
        <v>3</v>
      </c>
      <c r="E85" s="27" t="e">
        <f ca="1">DATEDIF(#REF!,TODAY(),"Y")</f>
        <v>#REF!</v>
      </c>
      <c r="F85" s="27" t="s">
        <v>64</v>
      </c>
      <c r="G85" s="13" t="s">
        <v>19</v>
      </c>
      <c r="H85" s="13" t="s">
        <v>315</v>
      </c>
      <c r="I85" s="27">
        <v>2024</v>
      </c>
      <c r="J85" s="71">
        <v>45436</v>
      </c>
      <c r="K85" s="27" t="s">
        <v>62</v>
      </c>
      <c r="L85" s="27" t="s">
        <v>21</v>
      </c>
      <c r="M85" s="71">
        <v>45467</v>
      </c>
      <c r="N85" s="13" t="s">
        <v>156</v>
      </c>
      <c r="O85" s="72" t="s">
        <v>58</v>
      </c>
      <c r="P85" s="13" t="s">
        <v>152</v>
      </c>
      <c r="Q85" s="13"/>
      <c r="R85" s="13" t="s">
        <v>811</v>
      </c>
      <c r="S85" s="13" t="s">
        <v>284</v>
      </c>
      <c r="T85" s="13" t="s">
        <v>511</v>
      </c>
      <c r="U85" s="85">
        <v>46020</v>
      </c>
      <c r="V85" s="85">
        <v>46051</v>
      </c>
      <c r="W85" s="13">
        <f ca="1">V85-TODAY()</f>
        <v>-34</v>
      </c>
      <c r="X85" s="13" t="str">
        <f ca="1">IF(W85&gt;=20,"Vigente",IF(AND(W85&gt;=1,W85&lt;=20),"Por Vencer","Vencido"))</f>
        <v>Vencido</v>
      </c>
      <c r="Y85" s="13" t="s">
        <v>812</v>
      </c>
    </row>
    <row r="86" spans="1:25" s="37" customFormat="1" ht="65.25" hidden="1" customHeight="1">
      <c r="A86" s="13" t="s">
        <v>184</v>
      </c>
      <c r="B86" s="13" t="s">
        <v>813</v>
      </c>
      <c r="C86" s="51">
        <v>3840670</v>
      </c>
      <c r="D86" s="52">
        <v>1</v>
      </c>
      <c r="E86" s="27">
        <v>88</v>
      </c>
      <c r="F86" s="27" t="s">
        <v>18</v>
      </c>
      <c r="G86" s="13" t="s">
        <v>502</v>
      </c>
      <c r="H86" s="13" t="s">
        <v>315</v>
      </c>
      <c r="I86" s="27">
        <v>2024</v>
      </c>
      <c r="J86" s="71">
        <v>45331</v>
      </c>
      <c r="K86" s="27" t="s">
        <v>20</v>
      </c>
      <c r="L86" s="27" t="s">
        <v>32</v>
      </c>
      <c r="M86" s="71" t="s">
        <v>814</v>
      </c>
      <c r="N86" s="13" t="s">
        <v>815</v>
      </c>
      <c r="O86" s="79" t="s">
        <v>34</v>
      </c>
      <c r="P86" s="13" t="s">
        <v>152</v>
      </c>
      <c r="Q86" s="185"/>
      <c r="R86" s="13" t="s">
        <v>816</v>
      </c>
      <c r="S86" s="13" t="s">
        <v>276</v>
      </c>
      <c r="T86" s="13" t="s">
        <v>277</v>
      </c>
      <c r="U86" s="85">
        <v>46044</v>
      </c>
      <c r="V86" s="85">
        <v>46103</v>
      </c>
      <c r="W86" s="13">
        <f ca="1">V86-TODAY()</f>
        <v>18</v>
      </c>
      <c r="X86" s="13" t="str">
        <f ca="1">IF(W86&gt;=20,"Vigente",IF(AND(W86&gt;=1,W86&lt;=20),"Por Vencer","Vencido"))</f>
        <v>Por Vencer</v>
      </c>
      <c r="Y86" s="13"/>
    </row>
    <row r="87" spans="1:25" ht="65.25" hidden="1" customHeight="1">
      <c r="A87" s="6" t="s">
        <v>184</v>
      </c>
      <c r="B87" s="6" t="s">
        <v>817</v>
      </c>
      <c r="C87" s="62">
        <v>6884062</v>
      </c>
      <c r="D87" s="63">
        <v>7</v>
      </c>
      <c r="E87" s="19" t="e">
        <f ca="1">DATEDIF(#REF!,TODAY(),"Y")</f>
        <v>#REF!</v>
      </c>
      <c r="F87" s="19" t="s">
        <v>26</v>
      </c>
      <c r="G87" s="6" t="s">
        <v>19</v>
      </c>
      <c r="H87" s="6" t="s">
        <v>315</v>
      </c>
      <c r="I87" s="19">
        <v>2021</v>
      </c>
      <c r="J87" s="81">
        <v>44344</v>
      </c>
      <c r="K87" s="80" t="s">
        <v>20</v>
      </c>
      <c r="L87" s="19" t="s">
        <v>32</v>
      </c>
      <c r="M87" s="81">
        <v>46043</v>
      </c>
      <c r="N87" s="6" t="s">
        <v>818</v>
      </c>
      <c r="O87" s="79" t="s">
        <v>34</v>
      </c>
      <c r="P87" s="6" t="s">
        <v>152</v>
      </c>
      <c r="Q87" s="6"/>
      <c r="R87" s="34" t="s">
        <v>819</v>
      </c>
      <c r="S87" s="6" t="s">
        <v>284</v>
      </c>
      <c r="T87" s="6" t="s">
        <v>289</v>
      </c>
      <c r="U87" s="75">
        <v>46044</v>
      </c>
      <c r="V87" s="75">
        <v>46075</v>
      </c>
      <c r="W87" s="13">
        <f ca="1">V87-TODAY()</f>
        <v>-10</v>
      </c>
      <c r="X87" s="6" t="str">
        <f ca="1">IF(W87&gt;=20,"Vigente",IF(AND(W87&gt;=1,W87&lt;=20),"Por Vencer","Vencido"))</f>
        <v>Vencido</v>
      </c>
      <c r="Y87" s="6"/>
    </row>
    <row r="88" spans="1:25" ht="65.25" hidden="1" customHeight="1">
      <c r="A88" s="6" t="s">
        <v>184</v>
      </c>
      <c r="B88" s="6" t="s">
        <v>820</v>
      </c>
      <c r="C88" s="53">
        <v>6768096</v>
      </c>
      <c r="D88" s="54">
        <v>0</v>
      </c>
      <c r="E88" s="19">
        <v>72</v>
      </c>
      <c r="F88" s="19" t="s">
        <v>26</v>
      </c>
      <c r="G88" s="6" t="s">
        <v>141</v>
      </c>
      <c r="H88" s="19" t="s">
        <v>315</v>
      </c>
      <c r="I88" s="19">
        <v>2024</v>
      </c>
      <c r="J88" s="73">
        <v>45468</v>
      </c>
      <c r="K88" s="19" t="s">
        <v>62</v>
      </c>
      <c r="L88" s="19" t="s">
        <v>32</v>
      </c>
      <c r="M88" s="73">
        <v>45474</v>
      </c>
      <c r="N88" s="6" t="s">
        <v>589</v>
      </c>
      <c r="O88" s="72" t="s">
        <v>58</v>
      </c>
      <c r="P88" s="6" t="s">
        <v>152</v>
      </c>
      <c r="Q88" s="6"/>
      <c r="R88" s="6" t="s">
        <v>821</v>
      </c>
      <c r="S88" s="6" t="s">
        <v>276</v>
      </c>
      <c r="T88" s="6" t="s">
        <v>473</v>
      </c>
      <c r="U88" s="75">
        <v>45960</v>
      </c>
      <c r="V88" s="75">
        <v>46052</v>
      </c>
      <c r="W88" s="13">
        <f ca="1">V88-TODAY()</f>
        <v>-33</v>
      </c>
      <c r="X88" s="6" t="str">
        <f ca="1">IF(W88&gt;=20,"Vigente",IF(AND(W88&gt;=1,W88&lt;=20),"Por Vencer","Vencido"))</f>
        <v>Vencido</v>
      </c>
      <c r="Y88" s="6"/>
    </row>
    <row r="89" spans="1:25" ht="65.25" hidden="1" customHeight="1">
      <c r="A89" s="6" t="s">
        <v>184</v>
      </c>
      <c r="B89" s="6" t="s">
        <v>822</v>
      </c>
      <c r="C89" s="53">
        <v>4255657</v>
      </c>
      <c r="D89" s="54">
        <v>2</v>
      </c>
      <c r="E89" s="19" t="e">
        <f ca="1">DATEDIF(#REF!,TODAY(),"Y")</f>
        <v>#REF!</v>
      </c>
      <c r="F89" s="19" t="s">
        <v>18</v>
      </c>
      <c r="G89" s="6" t="s">
        <v>19</v>
      </c>
      <c r="H89" s="6" t="s">
        <v>315</v>
      </c>
      <c r="I89" s="19">
        <v>2023</v>
      </c>
      <c r="J89" s="73">
        <v>45243</v>
      </c>
      <c r="K89" s="19" t="s">
        <v>20</v>
      </c>
      <c r="L89" s="19" t="s">
        <v>21</v>
      </c>
      <c r="M89" s="73">
        <v>45250</v>
      </c>
      <c r="N89" s="19" t="s">
        <v>201</v>
      </c>
      <c r="O89" s="72" t="s">
        <v>58</v>
      </c>
      <c r="P89" s="6" t="s">
        <v>152</v>
      </c>
      <c r="Q89" s="6"/>
      <c r="R89" s="13" t="s">
        <v>383</v>
      </c>
      <c r="S89" s="6" t="s">
        <v>288</v>
      </c>
      <c r="T89" s="6" t="s">
        <v>277</v>
      </c>
      <c r="U89" s="75">
        <v>46044</v>
      </c>
      <c r="V89" s="75">
        <v>46134</v>
      </c>
      <c r="W89" s="13">
        <f ca="1">V89-TODAY()</f>
        <v>49</v>
      </c>
      <c r="X89" s="6" t="str">
        <f ca="1">IF(W89&gt;=20,"Vigente",IF(AND(W89&gt;=1,W89&lt;=20),"Por Vencer","Vencido"))</f>
        <v>Vigente</v>
      </c>
      <c r="Y89" s="6"/>
    </row>
    <row r="90" spans="1:25" s="37" customFormat="1" ht="65.25" hidden="1" customHeight="1">
      <c r="A90" s="6" t="s">
        <v>184</v>
      </c>
      <c r="B90" s="6" t="s">
        <v>823</v>
      </c>
      <c r="C90" s="98">
        <v>3894825</v>
      </c>
      <c r="D90" s="54">
        <v>3</v>
      </c>
      <c r="E90" s="19" t="e">
        <f ca="1">DATEDIF(#REF!,TODAY(),"Y")</f>
        <v>#REF!</v>
      </c>
      <c r="F90" s="61" t="s">
        <v>18</v>
      </c>
      <c r="G90" s="6" t="s">
        <v>19</v>
      </c>
      <c r="H90" s="6" t="s">
        <v>315</v>
      </c>
      <c r="I90" s="19">
        <v>2023</v>
      </c>
      <c r="J90" s="73">
        <v>44958</v>
      </c>
      <c r="K90" s="19" t="s">
        <v>20</v>
      </c>
      <c r="L90" s="19" t="s">
        <v>21</v>
      </c>
      <c r="M90" s="73">
        <v>45271</v>
      </c>
      <c r="N90" s="6" t="s">
        <v>824</v>
      </c>
      <c r="O90" s="72" t="s">
        <v>58</v>
      </c>
      <c r="P90" s="6" t="s">
        <v>152</v>
      </c>
      <c r="Q90" s="6"/>
      <c r="R90" s="6" t="s">
        <v>825</v>
      </c>
      <c r="S90" s="6" t="s">
        <v>591</v>
      </c>
      <c r="T90" s="6" t="s">
        <v>285</v>
      </c>
      <c r="U90" s="75">
        <v>45965</v>
      </c>
      <c r="V90" s="75">
        <v>46238</v>
      </c>
      <c r="W90" s="13">
        <f ca="1">V90-TODAY()</f>
        <v>153</v>
      </c>
      <c r="X90" s="6" t="str">
        <f ca="1">IF(W90&gt;=20,"Vigente",IF(AND(W90&gt;=1,W90&lt;=20),"Por Vencer","Vencido"))</f>
        <v>Vigente</v>
      </c>
      <c r="Y90" s="6"/>
    </row>
    <row r="91" spans="1:25" s="37" customFormat="1" ht="65.25" hidden="1" customHeight="1">
      <c r="A91" s="13" t="s">
        <v>184</v>
      </c>
      <c r="B91" s="13" t="s">
        <v>826</v>
      </c>
      <c r="C91" s="51">
        <v>10546102</v>
      </c>
      <c r="D91" s="52" t="s">
        <v>129</v>
      </c>
      <c r="E91" s="27" t="e">
        <f ca="1">DATEDIF(#REF!,TODAY(),"Y")</f>
        <v>#REF!</v>
      </c>
      <c r="F91" s="27" t="s">
        <v>18</v>
      </c>
      <c r="G91" s="13" t="s">
        <v>68</v>
      </c>
      <c r="H91" s="13" t="s">
        <v>315</v>
      </c>
      <c r="I91" s="27">
        <v>2021</v>
      </c>
      <c r="J91" s="71">
        <v>44214</v>
      </c>
      <c r="K91" s="27" t="s">
        <v>20</v>
      </c>
      <c r="L91" s="27" t="s">
        <v>21</v>
      </c>
      <c r="M91" s="71">
        <v>45495</v>
      </c>
      <c r="N91" s="13" t="s">
        <v>827</v>
      </c>
      <c r="O91" s="79" t="s">
        <v>34</v>
      </c>
      <c r="P91" s="13" t="s">
        <v>152</v>
      </c>
      <c r="Q91" s="185" t="s">
        <v>654</v>
      </c>
      <c r="R91" s="185" t="s">
        <v>828</v>
      </c>
      <c r="S91" s="185" t="s">
        <v>288</v>
      </c>
      <c r="T91" s="13" t="s">
        <v>277</v>
      </c>
      <c r="U91" s="85">
        <v>45904</v>
      </c>
      <c r="V91" s="85">
        <v>45995</v>
      </c>
      <c r="W91" s="13">
        <f ca="1">V91-TODAY()</f>
        <v>-90</v>
      </c>
      <c r="X91" s="13" t="str">
        <f ca="1">IF(W91&gt;=20,"Vigente",IF(AND(W91&gt;=1,W91&lt;=20),"Por Vencer","Vencido"))</f>
        <v>Vencido</v>
      </c>
      <c r="Y91" s="13"/>
    </row>
    <row r="92" spans="1:25" s="37" customFormat="1" ht="65.25" hidden="1" customHeight="1">
      <c r="A92" s="6" t="s">
        <v>184</v>
      </c>
      <c r="B92" s="6" t="s">
        <v>829</v>
      </c>
      <c r="C92" s="53">
        <v>13534482</v>
      </c>
      <c r="D92" s="54">
        <v>6</v>
      </c>
      <c r="E92" s="19" t="e">
        <f ca="1">DATEDIF(#REF!,TODAY(),"Y")</f>
        <v>#REF!</v>
      </c>
      <c r="F92" s="19" t="s">
        <v>18</v>
      </c>
      <c r="G92" s="6" t="s">
        <v>19</v>
      </c>
      <c r="H92" s="6" t="s">
        <v>315</v>
      </c>
      <c r="I92" s="19">
        <v>2016</v>
      </c>
      <c r="J92" s="73">
        <v>42569</v>
      </c>
      <c r="K92" s="19" t="s">
        <v>20</v>
      </c>
      <c r="L92" s="19" t="s">
        <v>21</v>
      </c>
      <c r="M92" s="73">
        <v>44382</v>
      </c>
      <c r="N92" s="6" t="s">
        <v>444</v>
      </c>
      <c r="O92" s="72" t="s">
        <v>58</v>
      </c>
      <c r="P92" s="6" t="s">
        <v>152</v>
      </c>
      <c r="Q92" s="6"/>
      <c r="R92" s="13" t="s">
        <v>830</v>
      </c>
      <c r="S92" s="6" t="s">
        <v>670</v>
      </c>
      <c r="T92" s="6" t="s">
        <v>511</v>
      </c>
      <c r="U92" s="75">
        <v>45883</v>
      </c>
      <c r="V92" s="75">
        <v>46126</v>
      </c>
      <c r="W92" s="13">
        <f ca="1">V92-TODAY()</f>
        <v>41</v>
      </c>
      <c r="X92" s="6" t="str">
        <f ca="1">IF(W92&gt;=20,"Vigente",IF(AND(W92&gt;=1,W92&lt;=20),"Por Vencer","Vencido"))</f>
        <v>Vigente</v>
      </c>
      <c r="Y92" s="6"/>
    </row>
    <row r="93" spans="1:25" s="37" customFormat="1" ht="65.25" hidden="1" customHeight="1">
      <c r="A93" s="13" t="s">
        <v>184</v>
      </c>
      <c r="B93" s="13" t="s">
        <v>831</v>
      </c>
      <c r="C93" s="51">
        <v>6078257</v>
      </c>
      <c r="D93" s="52">
        <v>1</v>
      </c>
      <c r="E93" s="13">
        <v>74</v>
      </c>
      <c r="F93" s="27" t="s">
        <v>18</v>
      </c>
      <c r="G93" s="27" t="s">
        <v>502</v>
      </c>
      <c r="H93" s="27" t="s">
        <v>335</v>
      </c>
      <c r="I93" s="27">
        <v>2025</v>
      </c>
      <c r="J93" s="71">
        <v>45723</v>
      </c>
      <c r="K93" s="27" t="s">
        <v>62</v>
      </c>
      <c r="L93" s="27" t="s">
        <v>32</v>
      </c>
      <c r="M93" s="85">
        <v>45978</v>
      </c>
      <c r="N93" s="27" t="s">
        <v>832</v>
      </c>
      <c r="O93" s="183" t="s">
        <v>58</v>
      </c>
      <c r="P93" s="13" t="s">
        <v>152</v>
      </c>
      <c r="Q93" s="13"/>
      <c r="R93" s="187" t="s">
        <v>833</v>
      </c>
      <c r="S93" s="13" t="s">
        <v>595</v>
      </c>
      <c r="T93" s="13" t="s">
        <v>511</v>
      </c>
      <c r="U93" s="85">
        <v>46063</v>
      </c>
      <c r="V93" s="85">
        <v>46213</v>
      </c>
      <c r="W93" s="13">
        <f ca="1">V93-TODAY()</f>
        <v>128</v>
      </c>
      <c r="X93" s="13" t="str">
        <f ca="1">IF(W93&gt;=20,"Vigente",IF(AND(W93&gt;=1,W93&lt;=20),"Por Vencer","Vencido"))</f>
        <v>Vigente</v>
      </c>
      <c r="Y93" s="13"/>
    </row>
    <row r="94" spans="1:25" ht="65.25" hidden="1" customHeight="1">
      <c r="A94" s="6" t="s">
        <v>184</v>
      </c>
      <c r="B94" s="6" t="s">
        <v>834</v>
      </c>
      <c r="C94" s="98">
        <v>7111871</v>
      </c>
      <c r="D94" s="54">
        <v>1</v>
      </c>
      <c r="E94" s="19" t="e">
        <f ca="1">DATEDIF(#REF!,TODAY(),"Y")</f>
        <v>#REF!</v>
      </c>
      <c r="F94" s="19" t="s">
        <v>18</v>
      </c>
      <c r="G94" s="6" t="s">
        <v>19</v>
      </c>
      <c r="H94" s="6" t="s">
        <v>315</v>
      </c>
      <c r="I94" s="19">
        <v>2023</v>
      </c>
      <c r="J94" s="73">
        <v>44956</v>
      </c>
      <c r="K94" s="19" t="s">
        <v>20</v>
      </c>
      <c r="L94" s="19" t="s">
        <v>21</v>
      </c>
      <c r="M94" s="73">
        <v>45124</v>
      </c>
      <c r="N94" s="6" t="s">
        <v>835</v>
      </c>
      <c r="O94" s="72" t="s">
        <v>58</v>
      </c>
      <c r="P94" s="6" t="s">
        <v>152</v>
      </c>
      <c r="Q94" s="6"/>
      <c r="R94" s="106" t="s">
        <v>836</v>
      </c>
      <c r="S94" s="6" t="s">
        <v>284</v>
      </c>
      <c r="T94" s="6" t="s">
        <v>473</v>
      </c>
      <c r="U94" s="75">
        <v>46062</v>
      </c>
      <c r="V94" s="75">
        <v>46090</v>
      </c>
      <c r="W94" s="13">
        <f ca="1">V94-TODAY()</f>
        <v>5</v>
      </c>
      <c r="X94" s="6" t="str">
        <f ca="1">IF(W94&gt;=20,"Vigente",IF(AND(W94&gt;=1,W94&lt;=20),"Por Vencer","Vencido"))</f>
        <v>Por Vencer</v>
      </c>
    </row>
    <row r="95" spans="1:25" s="40" customFormat="1" ht="65.25" hidden="1" customHeight="1">
      <c r="A95" s="6" t="s">
        <v>184</v>
      </c>
      <c r="B95" s="6" t="s">
        <v>837</v>
      </c>
      <c r="C95" s="53">
        <v>5354561</v>
      </c>
      <c r="D95" s="54">
        <v>0</v>
      </c>
      <c r="E95" s="19" t="e">
        <f ca="1">DATEDIF(#REF!,TODAY(),"Y")</f>
        <v>#REF!</v>
      </c>
      <c r="F95" s="19" t="s">
        <v>18</v>
      </c>
      <c r="G95" s="6" t="s">
        <v>19</v>
      </c>
      <c r="H95" s="6" t="s">
        <v>315</v>
      </c>
      <c r="I95" s="19">
        <v>2022</v>
      </c>
      <c r="J95" s="73">
        <v>44748</v>
      </c>
      <c r="K95" s="19" t="s">
        <v>20</v>
      </c>
      <c r="L95" s="19" t="s">
        <v>21</v>
      </c>
      <c r="M95" s="73">
        <v>45476</v>
      </c>
      <c r="N95" s="6" t="s">
        <v>838</v>
      </c>
      <c r="O95" s="72" t="s">
        <v>58</v>
      </c>
      <c r="P95" s="6" t="s">
        <v>152</v>
      </c>
      <c r="Q95" s="6"/>
      <c r="R95" s="13" t="s">
        <v>839</v>
      </c>
      <c r="S95" s="6" t="s">
        <v>647</v>
      </c>
      <c r="T95" s="6" t="s">
        <v>285</v>
      </c>
      <c r="U95" s="75">
        <v>45965</v>
      </c>
      <c r="V95" s="75">
        <v>46177</v>
      </c>
      <c r="W95" s="13">
        <f ca="1">V95-TODAY()</f>
        <v>92</v>
      </c>
      <c r="X95" s="6" t="str">
        <f ca="1">IF(W95&gt;=20,"Vigente",IF(AND(W95&gt;=1,W95&lt;=20),"Por Vencer","Vencido"))</f>
        <v>Vigente</v>
      </c>
      <c r="Y95" s="6"/>
    </row>
    <row r="96" spans="1:25" ht="65.25" hidden="1" customHeight="1">
      <c r="A96" s="6" t="s">
        <v>184</v>
      </c>
      <c r="B96" s="6" t="s">
        <v>840</v>
      </c>
      <c r="C96" s="53">
        <v>11260604</v>
      </c>
      <c r="D96" s="54">
        <v>1</v>
      </c>
      <c r="E96" s="6">
        <v>56</v>
      </c>
      <c r="F96" s="19" t="s">
        <v>18</v>
      </c>
      <c r="G96" s="19" t="s">
        <v>19</v>
      </c>
      <c r="H96" s="6" t="s">
        <v>315</v>
      </c>
      <c r="I96" s="19">
        <v>2021</v>
      </c>
      <c r="J96" s="73">
        <v>44221</v>
      </c>
      <c r="K96" s="19" t="s">
        <v>62</v>
      </c>
      <c r="L96" s="19" t="s">
        <v>269</v>
      </c>
      <c r="M96" s="75">
        <v>44277</v>
      </c>
      <c r="N96" s="19" t="s">
        <v>430</v>
      </c>
      <c r="O96" s="72" t="s">
        <v>58</v>
      </c>
      <c r="P96" s="6" t="s">
        <v>152</v>
      </c>
      <c r="Q96" s="6"/>
      <c r="R96" s="13" t="s">
        <v>830</v>
      </c>
      <c r="S96" s="6" t="s">
        <v>532</v>
      </c>
      <c r="T96" s="6" t="s">
        <v>473</v>
      </c>
      <c r="U96" s="75">
        <v>45883</v>
      </c>
      <c r="V96" s="75">
        <v>46067</v>
      </c>
      <c r="W96" s="13">
        <f ca="1">V96-TODAY()</f>
        <v>-18</v>
      </c>
      <c r="X96" s="6" t="str">
        <f ca="1">IF(W96&gt;=20,"Vigente",IF(AND(W96&gt;=1,W96&lt;=20),"Por Vencer","Vencido"))</f>
        <v>Vencido</v>
      </c>
      <c r="Y96" s="6"/>
    </row>
    <row r="97" spans="1:25" ht="65.25" hidden="1" customHeight="1">
      <c r="A97" s="6" t="s">
        <v>184</v>
      </c>
      <c r="B97" s="6" t="s">
        <v>841</v>
      </c>
      <c r="C97" s="53">
        <v>6605382</v>
      </c>
      <c r="D97" s="54">
        <v>2</v>
      </c>
      <c r="E97" s="19">
        <v>68</v>
      </c>
      <c r="F97" s="19" t="s">
        <v>18</v>
      </c>
      <c r="G97" s="6" t="s">
        <v>19</v>
      </c>
      <c r="H97" s="6" t="s">
        <v>315</v>
      </c>
      <c r="I97" s="19">
        <v>2023</v>
      </c>
      <c r="J97" s="73">
        <v>45240</v>
      </c>
      <c r="K97" s="19" t="s">
        <v>62</v>
      </c>
      <c r="L97" s="19" t="s">
        <v>32</v>
      </c>
      <c r="M97" s="73">
        <v>45789</v>
      </c>
      <c r="N97" s="6" t="s">
        <v>842</v>
      </c>
      <c r="O97" s="79" t="s">
        <v>34</v>
      </c>
      <c r="P97" s="6" t="s">
        <v>152</v>
      </c>
      <c r="Q97" s="6"/>
      <c r="R97" s="6" t="s">
        <v>843</v>
      </c>
      <c r="S97" s="6" t="s">
        <v>276</v>
      </c>
      <c r="T97" s="6" t="s">
        <v>289</v>
      </c>
      <c r="U97" s="75">
        <v>46044</v>
      </c>
      <c r="V97" s="75">
        <v>46075</v>
      </c>
      <c r="W97" s="13">
        <f ca="1">V97-TODAY()</f>
        <v>-10</v>
      </c>
      <c r="X97" s="6" t="str">
        <f ca="1">IF(W97&gt;=20,"Vigente",IF(AND(W97&gt;=1,W97&lt;=20),"Por Vencer","Vencido"))</f>
        <v>Vencido</v>
      </c>
      <c r="Y97" s="6"/>
    </row>
    <row r="98" spans="1:25" s="40" customFormat="1" ht="65.25" hidden="1" customHeight="1">
      <c r="A98" s="6" t="s">
        <v>59</v>
      </c>
      <c r="B98" s="6" t="s">
        <v>844</v>
      </c>
      <c r="C98" s="53">
        <v>11723324</v>
      </c>
      <c r="D98" s="54">
        <v>3</v>
      </c>
      <c r="E98" s="19" t="e">
        <f ca="1">DATEDIF(#REF!,TODAY(),"Y")</f>
        <v>#REF!</v>
      </c>
      <c r="F98" s="19" t="s">
        <v>18</v>
      </c>
      <c r="G98" s="6" t="s">
        <v>845</v>
      </c>
      <c r="H98" s="6" t="s">
        <v>315</v>
      </c>
      <c r="I98" s="19">
        <v>2024</v>
      </c>
      <c r="J98" s="73">
        <v>45296</v>
      </c>
      <c r="K98" s="19" t="s">
        <v>148</v>
      </c>
      <c r="L98" s="19" t="s">
        <v>21</v>
      </c>
      <c r="M98" s="73">
        <v>45558</v>
      </c>
      <c r="N98" s="26" t="s">
        <v>846</v>
      </c>
      <c r="O98" s="72" t="s">
        <v>58</v>
      </c>
      <c r="P98" s="6" t="s">
        <v>152</v>
      </c>
      <c r="Q98" s="6"/>
      <c r="R98" s="13" t="s">
        <v>847</v>
      </c>
      <c r="S98" s="6" t="s">
        <v>574</v>
      </c>
      <c r="T98" s="6" t="s">
        <v>511</v>
      </c>
      <c r="U98" s="75">
        <v>45904</v>
      </c>
      <c r="V98" s="75">
        <v>46267</v>
      </c>
      <c r="W98" s="13">
        <f ca="1">V98-TODAY()</f>
        <v>182</v>
      </c>
      <c r="X98" s="6" t="str">
        <f ca="1">IF(W98&gt;=20,"Vigente",IF(AND(W98&gt;=1,W98&lt;=20),"Por Vencer","Vencido"))</f>
        <v>Vigente</v>
      </c>
      <c r="Y98" s="6"/>
    </row>
    <row r="99" spans="1:25" s="37" customFormat="1" ht="65.25" hidden="1" customHeight="1">
      <c r="A99" s="6" t="s">
        <v>184</v>
      </c>
      <c r="B99" s="6" t="s">
        <v>848</v>
      </c>
      <c r="C99" s="53">
        <v>10150274</v>
      </c>
      <c r="D99" s="54">
        <v>0</v>
      </c>
      <c r="E99" s="19">
        <v>61</v>
      </c>
      <c r="F99" s="19" t="s">
        <v>18</v>
      </c>
      <c r="G99" s="6" t="s">
        <v>141</v>
      </c>
      <c r="H99" s="6" t="s">
        <v>315</v>
      </c>
      <c r="I99" s="19">
        <v>2024</v>
      </c>
      <c r="J99" s="73">
        <v>45342</v>
      </c>
      <c r="K99" s="19" t="s">
        <v>62</v>
      </c>
      <c r="L99" s="19" t="s">
        <v>32</v>
      </c>
      <c r="M99" s="73">
        <v>45516</v>
      </c>
      <c r="N99" s="6" t="s">
        <v>849</v>
      </c>
      <c r="O99" s="72" t="s">
        <v>58</v>
      </c>
      <c r="P99" s="6" t="s">
        <v>152</v>
      </c>
      <c r="Q99" s="6"/>
      <c r="R99" s="13" t="s">
        <v>850</v>
      </c>
      <c r="S99" s="6" t="s">
        <v>433</v>
      </c>
      <c r="T99" s="6" t="s">
        <v>428</v>
      </c>
      <c r="U99" s="75">
        <v>45880</v>
      </c>
      <c r="V99" s="75">
        <v>46245</v>
      </c>
      <c r="W99" s="13">
        <f ca="1">V99-TODAY()</f>
        <v>160</v>
      </c>
      <c r="X99" s="6" t="str">
        <f ca="1">IF(W99&gt;=20,"Vigente",IF(AND(W99&gt;=1,W99&lt;=20),"Por Vencer","Vencido"))</f>
        <v>Vigente</v>
      </c>
      <c r="Y99" s="6"/>
    </row>
    <row r="100" spans="1:25" ht="65.25" hidden="1" customHeight="1">
      <c r="A100" s="6" t="s">
        <v>184</v>
      </c>
      <c r="B100" s="6" t="s">
        <v>851</v>
      </c>
      <c r="C100" s="53">
        <v>7334661</v>
      </c>
      <c r="D100" s="54">
        <v>4</v>
      </c>
      <c r="E100" s="19">
        <v>68</v>
      </c>
      <c r="F100" s="19" t="s">
        <v>37</v>
      </c>
      <c r="G100" s="6" t="s">
        <v>19</v>
      </c>
      <c r="H100" s="6" t="s">
        <v>315</v>
      </c>
      <c r="I100" s="19">
        <v>2023</v>
      </c>
      <c r="J100" s="73">
        <v>45223</v>
      </c>
      <c r="K100" s="19" t="s">
        <v>20</v>
      </c>
      <c r="L100" s="19" t="s">
        <v>21</v>
      </c>
      <c r="M100" s="73">
        <v>45253</v>
      </c>
      <c r="N100" s="6" t="s">
        <v>430</v>
      </c>
      <c r="O100" s="72" t="s">
        <v>58</v>
      </c>
      <c r="P100" s="6" t="s">
        <v>152</v>
      </c>
      <c r="Q100" s="6" t="s">
        <v>521</v>
      </c>
      <c r="R100" s="13" t="s">
        <v>852</v>
      </c>
      <c r="S100" s="6" t="s">
        <v>532</v>
      </c>
      <c r="T100" s="6" t="s">
        <v>294</v>
      </c>
      <c r="U100" s="75">
        <v>45601</v>
      </c>
      <c r="V100" s="75">
        <v>45935</v>
      </c>
      <c r="W100" s="13">
        <f ca="1">V100-TODAY()</f>
        <v>-150</v>
      </c>
      <c r="X100" s="6" t="str">
        <f ca="1">IF(W100&gt;=20,"Vigente",IF(AND(W100&gt;=1,W100&lt;=20),"Por Vencer","Vencido"))</f>
        <v>Vencido</v>
      </c>
      <c r="Y100" s="6" t="s">
        <v>853</v>
      </c>
    </row>
    <row r="101" spans="1:25" s="40" customFormat="1" ht="65.25" hidden="1" customHeight="1">
      <c r="A101" s="6" t="s">
        <v>184</v>
      </c>
      <c r="B101" s="6" t="s">
        <v>854</v>
      </c>
      <c r="C101" s="53">
        <v>17364675</v>
      </c>
      <c r="D101" s="54">
        <v>5</v>
      </c>
      <c r="E101" s="6">
        <v>34</v>
      </c>
      <c r="F101" s="19" t="s">
        <v>64</v>
      </c>
      <c r="G101" s="19" t="s">
        <v>19</v>
      </c>
      <c r="H101" s="6" t="s">
        <v>315</v>
      </c>
      <c r="I101" s="19">
        <v>2024</v>
      </c>
      <c r="J101" s="73">
        <v>45411</v>
      </c>
      <c r="K101" s="19" t="s">
        <v>62</v>
      </c>
      <c r="L101" s="19" t="s">
        <v>241</v>
      </c>
      <c r="M101" s="75">
        <v>45446</v>
      </c>
      <c r="N101" s="27" t="s">
        <v>855</v>
      </c>
      <c r="O101" s="72" t="s">
        <v>58</v>
      </c>
      <c r="P101" s="6" t="s">
        <v>152</v>
      </c>
      <c r="Q101" s="6" t="s">
        <v>480</v>
      </c>
      <c r="R101" s="13" t="s">
        <v>856</v>
      </c>
      <c r="S101" s="6" t="s">
        <v>284</v>
      </c>
      <c r="T101" s="6" t="s">
        <v>428</v>
      </c>
      <c r="U101" s="75">
        <v>46002</v>
      </c>
      <c r="V101" s="75">
        <v>46033</v>
      </c>
      <c r="W101" s="13">
        <f ca="1">V101-TODAY()</f>
        <v>-52</v>
      </c>
      <c r="X101" s="6" t="str">
        <f ca="1">IF(W101&gt;=20,"Vigente",IF(AND(W101&gt;=1,W101&lt;=20),"Por Vencer","Vencido"))</f>
        <v>Vencido</v>
      </c>
      <c r="Y101" s="6"/>
    </row>
    <row r="102" spans="1:25" ht="65.25" hidden="1" customHeight="1">
      <c r="A102" s="6" t="s">
        <v>184</v>
      </c>
      <c r="B102" s="6" t="s">
        <v>857</v>
      </c>
      <c r="C102" s="53">
        <v>10172005</v>
      </c>
      <c r="D102" s="54">
        <v>5</v>
      </c>
      <c r="E102" s="19" t="e">
        <f ca="1">DATEDIF(#REF!,TODAY(),"Y")</f>
        <v>#REF!</v>
      </c>
      <c r="F102" s="19" t="s">
        <v>18</v>
      </c>
      <c r="G102" s="19" t="s">
        <v>19</v>
      </c>
      <c r="H102" s="6" t="s">
        <v>315</v>
      </c>
      <c r="I102" s="19">
        <v>2021</v>
      </c>
      <c r="J102" s="73">
        <v>44200</v>
      </c>
      <c r="K102" s="19" t="s">
        <v>20</v>
      </c>
      <c r="L102" s="19" t="s">
        <v>21</v>
      </c>
      <c r="M102" s="73">
        <v>43891</v>
      </c>
      <c r="N102" s="6" t="s">
        <v>858</v>
      </c>
      <c r="O102" s="72" t="s">
        <v>58</v>
      </c>
      <c r="P102" s="184" t="s">
        <v>152</v>
      </c>
      <c r="Q102" s="6"/>
      <c r="R102" s="6" t="s">
        <v>859</v>
      </c>
      <c r="S102" s="6" t="s">
        <v>557</v>
      </c>
      <c r="T102" s="6" t="s">
        <v>294</v>
      </c>
      <c r="U102" s="75">
        <v>45908</v>
      </c>
      <c r="V102" s="75">
        <v>46089</v>
      </c>
      <c r="W102" s="13">
        <f ca="1">V102-TODAY()</f>
        <v>4</v>
      </c>
      <c r="X102" s="6" t="str">
        <f ca="1">IF(W102&gt;=20,"Vigente",IF(AND(W102&gt;=1,W102&lt;=20),"Por Vencer","Vencido"))</f>
        <v>Por Vencer</v>
      </c>
      <c r="Y102" s="13"/>
    </row>
    <row r="103" spans="1:25" s="40" customFormat="1" ht="65.25" hidden="1" customHeight="1">
      <c r="A103" s="6" t="s">
        <v>184</v>
      </c>
      <c r="B103" s="26" t="s">
        <v>860</v>
      </c>
      <c r="C103" s="24">
        <v>4799728</v>
      </c>
      <c r="D103" s="57">
        <v>3</v>
      </c>
      <c r="E103" s="6">
        <v>81</v>
      </c>
      <c r="F103" s="27" t="s">
        <v>250</v>
      </c>
      <c r="G103" s="13" t="s">
        <v>19</v>
      </c>
      <c r="H103" s="27" t="s">
        <v>315</v>
      </c>
      <c r="I103" s="19">
        <v>2024</v>
      </c>
      <c r="J103" s="73">
        <v>45534</v>
      </c>
      <c r="K103" s="19" t="s">
        <v>62</v>
      </c>
      <c r="L103" s="19" t="s">
        <v>156</v>
      </c>
      <c r="M103" s="6" t="s">
        <v>180</v>
      </c>
      <c r="N103" s="19" t="s">
        <v>176</v>
      </c>
      <c r="O103" s="72" t="s">
        <v>58</v>
      </c>
      <c r="P103" s="6" t="s">
        <v>152</v>
      </c>
      <c r="Q103" s="6"/>
      <c r="R103" s="13" t="s">
        <v>861</v>
      </c>
      <c r="S103" s="6" t="s">
        <v>288</v>
      </c>
      <c r="T103" s="6" t="s">
        <v>428</v>
      </c>
      <c r="U103" s="75">
        <v>46006</v>
      </c>
      <c r="V103" s="75">
        <v>46096</v>
      </c>
      <c r="W103" s="13">
        <f ca="1">V103-TODAY()</f>
        <v>11</v>
      </c>
      <c r="X103" s="6" t="str">
        <f ca="1">IF(W103&gt;=20,"Vigente",IF(AND(W103&gt;=1,W103&lt;=20),"Por Vencer","Vencido"))</f>
        <v>Por Vencer</v>
      </c>
      <c r="Y103" s="6"/>
    </row>
    <row r="104" spans="1:25" ht="65.25" hidden="1" customHeight="1">
      <c r="A104" s="6" t="s">
        <v>184</v>
      </c>
      <c r="B104" s="6" t="s">
        <v>862</v>
      </c>
      <c r="C104" s="53">
        <v>6405823</v>
      </c>
      <c r="D104" s="54">
        <v>1</v>
      </c>
      <c r="E104" s="19" t="e">
        <f ca="1">DATEDIF(#REF!,TODAY(),"Y")</f>
        <v>#REF!</v>
      </c>
      <c r="F104" s="19" t="s">
        <v>18</v>
      </c>
      <c r="G104" s="6" t="s">
        <v>141</v>
      </c>
      <c r="H104" s="6" t="s">
        <v>315</v>
      </c>
      <c r="I104" s="19" t="s">
        <v>174</v>
      </c>
      <c r="J104" s="19" t="s">
        <v>178</v>
      </c>
      <c r="K104" s="19" t="s">
        <v>62</v>
      </c>
      <c r="L104" s="19" t="s">
        <v>21</v>
      </c>
      <c r="M104" s="73">
        <v>45467</v>
      </c>
      <c r="N104" s="6" t="s">
        <v>296</v>
      </c>
      <c r="O104" s="72" t="s">
        <v>58</v>
      </c>
      <c r="P104" s="6" t="s">
        <v>152</v>
      </c>
      <c r="Q104" s="6"/>
      <c r="R104" s="6" t="s">
        <v>863</v>
      </c>
      <c r="S104" s="6" t="s">
        <v>557</v>
      </c>
      <c r="T104" s="6" t="s">
        <v>285</v>
      </c>
      <c r="U104" s="75">
        <v>45971</v>
      </c>
      <c r="V104" s="75">
        <v>46152</v>
      </c>
      <c r="W104" s="13">
        <f ca="1">V104-TODAY()</f>
        <v>67</v>
      </c>
      <c r="X104" s="6" t="str">
        <f ca="1">IF(W104&gt;=20,"Vigente",IF(AND(W104&gt;=1,W104&lt;=20),"Por Vencer","Vencido"))</f>
        <v>Vigente</v>
      </c>
      <c r="Y104" s="6"/>
    </row>
    <row r="105" spans="1:25" s="37" customFormat="1" ht="65.25" hidden="1" customHeight="1">
      <c r="A105" s="13" t="s">
        <v>184</v>
      </c>
      <c r="B105" s="13" t="s">
        <v>864</v>
      </c>
      <c r="C105" s="51">
        <v>10963368</v>
      </c>
      <c r="D105" s="52">
        <v>2</v>
      </c>
      <c r="E105" s="27" t="e">
        <f ca="1">DATEDIF(#REF!,TODAY(),"Y")</f>
        <v>#REF!</v>
      </c>
      <c r="F105" s="27" t="s">
        <v>18</v>
      </c>
      <c r="G105" s="27" t="s">
        <v>19</v>
      </c>
      <c r="H105" s="13" t="s">
        <v>315</v>
      </c>
      <c r="I105" s="27" t="s">
        <v>174</v>
      </c>
      <c r="J105" s="27" t="s">
        <v>178</v>
      </c>
      <c r="K105" s="27" t="s">
        <v>20</v>
      </c>
      <c r="L105" s="27" t="s">
        <v>21</v>
      </c>
      <c r="M105" s="27" t="s">
        <v>180</v>
      </c>
      <c r="N105" s="13" t="s">
        <v>176</v>
      </c>
      <c r="O105" s="104" t="s">
        <v>865</v>
      </c>
      <c r="P105" s="13" t="s">
        <v>152</v>
      </c>
      <c r="Q105" s="13"/>
      <c r="R105" s="13" t="s">
        <v>866</v>
      </c>
      <c r="S105" s="13" t="s">
        <v>288</v>
      </c>
      <c r="T105" s="13" t="s">
        <v>277</v>
      </c>
      <c r="U105" s="85">
        <v>46044</v>
      </c>
      <c r="V105" s="85">
        <v>46134</v>
      </c>
      <c r="W105" s="13">
        <f ca="1">V105-TODAY()</f>
        <v>49</v>
      </c>
      <c r="X105" s="13" t="str">
        <f ca="1">IF(W105&gt;=20,"Vigente",IF(AND(W105&gt;=1,W105&lt;=20),"Por Vencer","Vencido"))</f>
        <v>Vigente</v>
      </c>
      <c r="Y105" s="13"/>
    </row>
    <row r="106" spans="1:25" ht="65.25" hidden="1" customHeight="1">
      <c r="A106" s="6" t="s">
        <v>184</v>
      </c>
      <c r="B106" s="6" t="s">
        <v>867</v>
      </c>
      <c r="C106" s="53">
        <v>11260375</v>
      </c>
      <c r="D106" s="54">
        <v>1</v>
      </c>
      <c r="E106" s="19" t="e">
        <f ca="1">DATEDIF(#REF!,TODAY(),"Y")</f>
        <v>#REF!</v>
      </c>
      <c r="F106" s="19" t="s">
        <v>18</v>
      </c>
      <c r="G106" s="19" t="s">
        <v>68</v>
      </c>
      <c r="H106" s="6" t="s">
        <v>315</v>
      </c>
      <c r="I106" s="19">
        <v>2022</v>
      </c>
      <c r="J106" s="73">
        <v>44652</v>
      </c>
      <c r="K106" s="19" t="s">
        <v>20</v>
      </c>
      <c r="L106" s="19" t="s">
        <v>21</v>
      </c>
      <c r="M106" s="73">
        <v>45523</v>
      </c>
      <c r="N106" s="19" t="s">
        <v>868</v>
      </c>
      <c r="O106" s="72" t="s">
        <v>58</v>
      </c>
      <c r="P106" s="6" t="s">
        <v>152</v>
      </c>
      <c r="Q106" s="184"/>
      <c r="R106" s="13" t="s">
        <v>869</v>
      </c>
      <c r="S106" s="6" t="s">
        <v>595</v>
      </c>
      <c r="T106" s="6" t="s">
        <v>511</v>
      </c>
      <c r="U106" s="75">
        <v>45993</v>
      </c>
      <c r="V106" s="75">
        <v>46144</v>
      </c>
      <c r="W106" s="13">
        <f ca="1">V106-TODAY()</f>
        <v>59</v>
      </c>
      <c r="X106" s="6" t="str">
        <f ca="1">IF(W106&gt;=20,"Vigente",IF(AND(W106&gt;=1,W106&lt;=20),"Por Vencer","Vencido"))</f>
        <v>Vigente</v>
      </c>
      <c r="Y106" s="184"/>
    </row>
    <row r="107" spans="1:25" s="37" customFormat="1" ht="65.25" hidden="1" customHeight="1">
      <c r="A107" s="6" t="s">
        <v>184</v>
      </c>
      <c r="B107" s="6" t="s">
        <v>870</v>
      </c>
      <c r="C107" s="53">
        <v>10199538</v>
      </c>
      <c r="D107" s="54">
        <v>0</v>
      </c>
      <c r="E107" s="6">
        <v>58</v>
      </c>
      <c r="F107" s="61" t="s">
        <v>26</v>
      </c>
      <c r="G107" s="19" t="s">
        <v>19</v>
      </c>
      <c r="H107" s="19" t="s">
        <v>315</v>
      </c>
      <c r="I107" s="19">
        <v>2024</v>
      </c>
      <c r="J107" s="73">
        <v>45671</v>
      </c>
      <c r="K107" s="19" t="s">
        <v>62</v>
      </c>
      <c r="L107" s="19" t="s">
        <v>269</v>
      </c>
      <c r="M107" s="75" t="s">
        <v>871</v>
      </c>
      <c r="N107" s="19" t="s">
        <v>872</v>
      </c>
      <c r="O107" s="72" t="s">
        <v>58</v>
      </c>
      <c r="P107" s="6" t="s">
        <v>152</v>
      </c>
      <c r="Q107" s="6" t="s">
        <v>597</v>
      </c>
      <c r="R107" s="6" t="s">
        <v>873</v>
      </c>
      <c r="S107" s="6" t="s">
        <v>284</v>
      </c>
      <c r="T107" s="6" t="s">
        <v>428</v>
      </c>
      <c r="U107" s="75">
        <v>46002</v>
      </c>
      <c r="V107" s="75">
        <v>46033</v>
      </c>
      <c r="W107" s="13">
        <f ca="1">V107-TODAY()</f>
        <v>-52</v>
      </c>
      <c r="X107" s="6" t="str">
        <f ca="1">IF(W107&gt;=20,"Vigente",IF(AND(W107&gt;=1,W107&lt;=20),"Por Vencer","Vencido"))</f>
        <v>Vencido</v>
      </c>
      <c r="Y107" s="6" t="s">
        <v>483</v>
      </c>
    </row>
    <row r="108" spans="1:25" ht="65.25" hidden="1" customHeight="1">
      <c r="A108" s="6" t="s">
        <v>59</v>
      </c>
      <c r="B108" s="6" t="s">
        <v>874</v>
      </c>
      <c r="C108" s="53">
        <v>9869437</v>
      </c>
      <c r="D108" s="54">
        <v>4</v>
      </c>
      <c r="E108" s="19">
        <v>60</v>
      </c>
      <c r="F108" s="61" t="s">
        <v>64</v>
      </c>
      <c r="G108" s="6" t="s">
        <v>875</v>
      </c>
      <c r="H108" s="6" t="s">
        <v>315</v>
      </c>
      <c r="I108" s="19">
        <v>2023</v>
      </c>
      <c r="J108" s="73">
        <v>45146</v>
      </c>
      <c r="K108" s="19" t="s">
        <v>31</v>
      </c>
      <c r="L108" s="19" t="s">
        <v>21</v>
      </c>
      <c r="M108" s="73">
        <v>45180</v>
      </c>
      <c r="N108" s="6" t="s">
        <v>430</v>
      </c>
      <c r="O108" s="72" t="s">
        <v>58</v>
      </c>
      <c r="P108" s="6" t="s">
        <v>152</v>
      </c>
      <c r="Q108" s="6" t="s">
        <v>597</v>
      </c>
      <c r="R108" s="6" t="s">
        <v>876</v>
      </c>
      <c r="S108" s="6" t="s">
        <v>532</v>
      </c>
      <c r="T108" s="6" t="s">
        <v>294</v>
      </c>
      <c r="U108" s="75">
        <v>45601</v>
      </c>
      <c r="V108" s="75">
        <v>45935</v>
      </c>
      <c r="W108" s="13">
        <f ca="1">V108-TODAY()</f>
        <v>-150</v>
      </c>
      <c r="X108" s="6" t="str">
        <f ca="1">IF(W108&gt;=20,"Vigente",IF(AND(W108&gt;=1,W108&lt;=20),"Por Vencer","Vencido"))</f>
        <v>Vencido</v>
      </c>
      <c r="Y108" s="6"/>
    </row>
    <row r="109" spans="1:25" ht="65.25" hidden="1" customHeight="1">
      <c r="A109" s="6" t="s">
        <v>184</v>
      </c>
      <c r="B109" s="6" t="s">
        <v>877</v>
      </c>
      <c r="C109" s="53">
        <v>5112313</v>
      </c>
      <c r="D109" s="54">
        <v>1</v>
      </c>
      <c r="E109" s="19">
        <v>81</v>
      </c>
      <c r="F109" s="19" t="s">
        <v>26</v>
      </c>
      <c r="G109" s="19" t="s">
        <v>19</v>
      </c>
      <c r="H109" s="6" t="s">
        <v>315</v>
      </c>
      <c r="I109" s="19">
        <v>2024</v>
      </c>
      <c r="J109" s="73">
        <v>45420</v>
      </c>
      <c r="K109" s="19" t="s">
        <v>62</v>
      </c>
      <c r="L109" s="19" t="s">
        <v>21</v>
      </c>
      <c r="M109" s="73">
        <v>45915</v>
      </c>
      <c r="N109" s="186" t="s">
        <v>312</v>
      </c>
      <c r="O109" s="72" t="s">
        <v>58</v>
      </c>
      <c r="P109" s="184" t="s">
        <v>152</v>
      </c>
      <c r="Q109" s="6"/>
      <c r="R109" s="185" t="s">
        <v>312</v>
      </c>
      <c r="S109" s="184" t="s">
        <v>288</v>
      </c>
      <c r="T109" s="184" t="s">
        <v>277</v>
      </c>
      <c r="U109" s="75">
        <v>46044</v>
      </c>
      <c r="V109" s="75">
        <v>46134</v>
      </c>
      <c r="W109" s="13">
        <f ca="1">V109-TODAY()</f>
        <v>49</v>
      </c>
      <c r="X109" s="6" t="str">
        <f ca="1">IF(W109&gt;=20,"Vigente",IF(AND(W109&gt;=1,W109&lt;=20),"Por Vencer","Vencido"))</f>
        <v>Vigente</v>
      </c>
      <c r="Y109" s="6"/>
    </row>
    <row r="110" spans="1:25" ht="65.25" hidden="1" customHeight="1">
      <c r="A110" s="6" t="s">
        <v>184</v>
      </c>
      <c r="B110" s="6" t="s">
        <v>878</v>
      </c>
      <c r="C110" s="53">
        <v>7753087</v>
      </c>
      <c r="D110" s="54">
        <v>8</v>
      </c>
      <c r="E110" s="19" t="e">
        <f ca="1">DATEDIF(#REF!,TODAY(),"Y")</f>
        <v>#REF!</v>
      </c>
      <c r="F110" s="19" t="s">
        <v>64</v>
      </c>
      <c r="G110" s="6" t="s">
        <v>19</v>
      </c>
      <c r="H110" s="6" t="s">
        <v>315</v>
      </c>
      <c r="I110" s="19">
        <v>2019</v>
      </c>
      <c r="J110" s="73">
        <v>43563</v>
      </c>
      <c r="K110" s="19" t="s">
        <v>20</v>
      </c>
      <c r="L110" s="19" t="s">
        <v>21</v>
      </c>
      <c r="M110" s="73">
        <v>43605</v>
      </c>
      <c r="N110" s="6" t="s">
        <v>879</v>
      </c>
      <c r="O110" s="72" t="s">
        <v>58</v>
      </c>
      <c r="P110" s="6" t="s">
        <v>152</v>
      </c>
      <c r="Q110" s="6"/>
      <c r="R110" s="13" t="s">
        <v>880</v>
      </c>
      <c r="S110" s="6" t="s">
        <v>595</v>
      </c>
      <c r="T110" s="6" t="s">
        <v>294</v>
      </c>
      <c r="U110" s="75">
        <v>45992</v>
      </c>
      <c r="V110" s="75">
        <v>46143</v>
      </c>
      <c r="W110" s="13">
        <f ca="1">V110-TODAY()</f>
        <v>58</v>
      </c>
      <c r="X110" s="6" t="str">
        <f ca="1">IF(W110&gt;=20,"Vigente",IF(AND(W110&gt;=1,W110&lt;=20),"Por Vencer","Vencido"))</f>
        <v>Vigente</v>
      </c>
      <c r="Y110" s="6"/>
    </row>
    <row r="111" spans="1:25" ht="65.25" hidden="1" customHeight="1">
      <c r="A111" s="6" t="s">
        <v>59</v>
      </c>
      <c r="B111" s="99" t="s">
        <v>881</v>
      </c>
      <c r="C111" s="53">
        <v>7402890</v>
      </c>
      <c r="D111" s="18" t="s">
        <v>87</v>
      </c>
      <c r="E111" s="19" t="e">
        <f ca="1">DATEDIF(#REF!,TODAY(),"Y")</f>
        <v>#REF!</v>
      </c>
      <c r="F111" s="19" t="s">
        <v>26</v>
      </c>
      <c r="G111" s="6" t="s">
        <v>882</v>
      </c>
      <c r="H111" s="6" t="s">
        <v>315</v>
      </c>
      <c r="I111" s="19">
        <v>2024</v>
      </c>
      <c r="J111" s="73">
        <v>45376</v>
      </c>
      <c r="K111" s="19" t="s">
        <v>20</v>
      </c>
      <c r="L111" s="19" t="s">
        <v>21</v>
      </c>
      <c r="M111" s="73">
        <v>45418</v>
      </c>
      <c r="N111" s="6" t="s">
        <v>430</v>
      </c>
      <c r="O111" s="72" t="s">
        <v>58</v>
      </c>
      <c r="P111" s="6" t="s">
        <v>152</v>
      </c>
      <c r="Q111" s="6"/>
      <c r="R111" s="13" t="s">
        <v>883</v>
      </c>
      <c r="S111" s="6" t="s">
        <v>574</v>
      </c>
      <c r="T111" s="6" t="s">
        <v>294</v>
      </c>
      <c r="U111" s="75">
        <v>45883</v>
      </c>
      <c r="V111" s="75">
        <v>46217</v>
      </c>
      <c r="W111" s="13">
        <f ca="1">V111-TODAY()</f>
        <v>132</v>
      </c>
      <c r="X111" s="6" t="str">
        <f ca="1">IF(W111&gt;=20,"Vigente",IF(AND(W111&gt;=1,W111&lt;=20),"Por Vencer","Vencido"))</f>
        <v>Vigente</v>
      </c>
      <c r="Y111" s="6"/>
    </row>
    <row r="112" spans="1:25" s="40" customFormat="1" ht="65.25" hidden="1" customHeight="1">
      <c r="A112" s="6" t="s">
        <v>184</v>
      </c>
      <c r="B112" s="6" t="s">
        <v>884</v>
      </c>
      <c r="C112" s="53">
        <v>4746375</v>
      </c>
      <c r="D112" s="54">
        <v>0</v>
      </c>
      <c r="E112" s="19" t="e">
        <f ca="1">DATEDIF(#REF!,TODAY(),"Y")</f>
        <v>#REF!</v>
      </c>
      <c r="F112" s="19" t="s">
        <v>64</v>
      </c>
      <c r="G112" s="19" t="s">
        <v>19</v>
      </c>
      <c r="H112" s="6" t="s">
        <v>315</v>
      </c>
      <c r="I112" s="19">
        <v>2022</v>
      </c>
      <c r="J112" s="73">
        <v>44917</v>
      </c>
      <c r="K112" s="19" t="s">
        <v>20</v>
      </c>
      <c r="L112" s="19" t="s">
        <v>21</v>
      </c>
      <c r="M112" s="73">
        <v>45033</v>
      </c>
      <c r="N112" s="6" t="s">
        <v>430</v>
      </c>
      <c r="O112" s="72" t="s">
        <v>58</v>
      </c>
      <c r="P112" s="6" t="s">
        <v>152</v>
      </c>
      <c r="Q112" s="184"/>
      <c r="R112" s="13" t="s">
        <v>885</v>
      </c>
      <c r="S112" s="6" t="s">
        <v>557</v>
      </c>
      <c r="T112" s="6" t="s">
        <v>428</v>
      </c>
      <c r="U112" s="75">
        <v>45908</v>
      </c>
      <c r="V112" s="75">
        <v>46089</v>
      </c>
      <c r="W112" s="13">
        <f ca="1">V112-TODAY()</f>
        <v>4</v>
      </c>
      <c r="X112" s="6" t="str">
        <f ca="1">IF(W112&gt;=20,"Vigente",IF(AND(W112&gt;=1,W112&lt;=20),"Por Vencer","Vencido"))</f>
        <v>Por Vencer</v>
      </c>
      <c r="Y112" s="184"/>
    </row>
    <row r="113" spans="1:25" s="37" customFormat="1" ht="65.25" hidden="1" customHeight="1">
      <c r="A113" s="13" t="s">
        <v>184</v>
      </c>
      <c r="B113" s="13" t="s">
        <v>886</v>
      </c>
      <c r="C113" s="51">
        <v>5442395</v>
      </c>
      <c r="D113" s="52">
        <v>0</v>
      </c>
      <c r="E113" s="27" t="e">
        <f ca="1">DATEDIF(#REF!,TODAY(),"Y")</f>
        <v>#REF!</v>
      </c>
      <c r="F113" s="27" t="s">
        <v>18</v>
      </c>
      <c r="G113" s="27" t="s">
        <v>68</v>
      </c>
      <c r="H113" s="13" t="s">
        <v>315</v>
      </c>
      <c r="I113" s="27">
        <v>2021</v>
      </c>
      <c r="J113" s="71">
        <v>44355</v>
      </c>
      <c r="K113" s="27" t="s">
        <v>20</v>
      </c>
      <c r="L113" s="27" t="s">
        <v>21</v>
      </c>
      <c r="M113" s="71">
        <v>44396</v>
      </c>
      <c r="N113" s="13" t="s">
        <v>269</v>
      </c>
      <c r="O113" s="72" t="s">
        <v>58</v>
      </c>
      <c r="P113" s="13" t="s">
        <v>152</v>
      </c>
      <c r="Q113" s="13" t="s">
        <v>887</v>
      </c>
      <c r="R113" s="13" t="s">
        <v>888</v>
      </c>
      <c r="S113" s="13" t="s">
        <v>284</v>
      </c>
      <c r="T113" s="13" t="s">
        <v>285</v>
      </c>
      <c r="U113" s="85">
        <v>45880</v>
      </c>
      <c r="V113" s="85">
        <v>45911</v>
      </c>
      <c r="W113" s="13">
        <f ca="1">V113-TODAY()</f>
        <v>-174</v>
      </c>
      <c r="X113" s="13" t="str">
        <f ca="1">IF(W113&gt;=20,"Vigente",IF(AND(W113&gt;=1,W113&lt;=20),"Por Vencer","Vencido"))</f>
        <v>Vencido</v>
      </c>
      <c r="Y113" s="13" t="s">
        <v>521</v>
      </c>
    </row>
    <row r="114" spans="1:25" s="37" customFormat="1" ht="65.25" hidden="1" customHeight="1">
      <c r="A114" s="13" t="s">
        <v>184</v>
      </c>
      <c r="B114" s="13" t="s">
        <v>889</v>
      </c>
      <c r="C114" s="51">
        <v>9228394</v>
      </c>
      <c r="D114" s="52">
        <v>1</v>
      </c>
      <c r="E114" s="13">
        <v>62</v>
      </c>
      <c r="F114" s="68" t="s">
        <v>738</v>
      </c>
      <c r="G114" s="27" t="s">
        <v>141</v>
      </c>
      <c r="H114" s="13" t="s">
        <v>315</v>
      </c>
      <c r="I114" s="27">
        <v>2024</v>
      </c>
      <c r="J114" s="71">
        <v>45579</v>
      </c>
      <c r="K114" s="27" t="s">
        <v>62</v>
      </c>
      <c r="L114" s="27" t="s">
        <v>241</v>
      </c>
      <c r="M114" s="85">
        <v>45635</v>
      </c>
      <c r="N114" s="27" t="s">
        <v>890</v>
      </c>
      <c r="O114" s="79" t="s">
        <v>34</v>
      </c>
      <c r="P114" s="185" t="s">
        <v>152</v>
      </c>
      <c r="Q114" s="13" t="s">
        <v>654</v>
      </c>
      <c r="R114" s="13" t="s">
        <v>891</v>
      </c>
      <c r="S114" s="185" t="s">
        <v>288</v>
      </c>
      <c r="T114" s="13" t="s">
        <v>277</v>
      </c>
      <c r="U114" s="188" t="s">
        <v>892</v>
      </c>
      <c r="V114" s="85">
        <v>45995</v>
      </c>
      <c r="W114" s="13">
        <f ca="1">V114-TODAY()</f>
        <v>-90</v>
      </c>
      <c r="X114" s="13" t="str">
        <f ca="1">IF(W114&gt;=20,"Vigente",IF(AND(W114&gt;=1,W114&lt;=20),"Por Vencer","Vencido"))</f>
        <v>Vencido</v>
      </c>
      <c r="Y114" s="13"/>
    </row>
    <row r="115" spans="1:25" s="37" customFormat="1" ht="65.25" hidden="1" customHeight="1">
      <c r="A115" s="13" t="s">
        <v>184</v>
      </c>
      <c r="B115" s="13" t="s">
        <v>893</v>
      </c>
      <c r="C115" s="51">
        <v>9337463</v>
      </c>
      <c r="D115" s="52">
        <v>0</v>
      </c>
      <c r="E115" s="27" t="e">
        <f ca="1">DATEDIF(#REF!,TODAY(),"Y")</f>
        <v>#REF!</v>
      </c>
      <c r="F115" s="27" t="s">
        <v>18</v>
      </c>
      <c r="G115" s="187" t="s">
        <v>68</v>
      </c>
      <c r="H115" s="13" t="s">
        <v>315</v>
      </c>
      <c r="I115" s="27">
        <v>2023</v>
      </c>
      <c r="J115" s="71">
        <v>45079</v>
      </c>
      <c r="K115" s="27" t="s">
        <v>62</v>
      </c>
      <c r="L115" s="27" t="s">
        <v>21</v>
      </c>
      <c r="M115" s="71">
        <v>45518</v>
      </c>
      <c r="N115" s="13" t="s">
        <v>894</v>
      </c>
      <c r="O115" s="79" t="s">
        <v>34</v>
      </c>
      <c r="P115" s="13" t="s">
        <v>152</v>
      </c>
      <c r="Q115" s="13"/>
      <c r="R115" s="13" t="s">
        <v>895</v>
      </c>
      <c r="S115" s="185" t="s">
        <v>288</v>
      </c>
      <c r="T115" s="13" t="s">
        <v>277</v>
      </c>
      <c r="U115" s="85">
        <v>46044</v>
      </c>
      <c r="V115" s="85">
        <v>46134</v>
      </c>
      <c r="W115" s="13">
        <f ca="1">V115-TODAY()</f>
        <v>49</v>
      </c>
      <c r="X115" s="13" t="str">
        <f ca="1">IF(W115&gt;=20,"Vigente",IF(AND(W115&gt;=1,W115&lt;=20),"Por Vencer","Vencido"))</f>
        <v>Vigente</v>
      </c>
      <c r="Y115" s="13"/>
    </row>
    <row r="116" spans="1:25" ht="65.25" hidden="1" customHeight="1">
      <c r="A116" s="6" t="s">
        <v>184</v>
      </c>
      <c r="B116" s="6" t="s">
        <v>896</v>
      </c>
      <c r="C116" s="53">
        <v>5979632</v>
      </c>
      <c r="D116" s="54">
        <v>1</v>
      </c>
      <c r="E116" s="19" t="e">
        <f ca="1">DATEDIF(#REF!,TODAY(),"Y")</f>
        <v>#REF!</v>
      </c>
      <c r="F116" s="19" t="s">
        <v>18</v>
      </c>
      <c r="G116" s="19" t="s">
        <v>19</v>
      </c>
      <c r="H116" s="6" t="s">
        <v>315</v>
      </c>
      <c r="I116" s="19">
        <v>2021</v>
      </c>
      <c r="J116" s="73">
        <v>44200</v>
      </c>
      <c r="K116" s="19" t="s">
        <v>20</v>
      </c>
      <c r="L116" s="19" t="s">
        <v>21</v>
      </c>
      <c r="M116" s="73">
        <v>44203</v>
      </c>
      <c r="N116" s="6" t="s">
        <v>858</v>
      </c>
      <c r="O116" s="72" t="s">
        <v>58</v>
      </c>
      <c r="P116" s="6" t="s">
        <v>152</v>
      </c>
      <c r="Q116" s="6"/>
      <c r="R116" s="185" t="s">
        <v>897</v>
      </c>
      <c r="S116" s="184" t="s">
        <v>647</v>
      </c>
      <c r="T116" s="6" t="s">
        <v>473</v>
      </c>
      <c r="U116" s="75">
        <v>45903</v>
      </c>
      <c r="V116" s="75">
        <v>46115</v>
      </c>
      <c r="W116" s="13">
        <f ca="1">V116-TODAY()</f>
        <v>30</v>
      </c>
      <c r="X116" s="6" t="str">
        <f ca="1">IF(W116&gt;=20,"Vigente",IF(AND(W116&gt;=1,W116&lt;=20),"Por Vencer","Vencido"))</f>
        <v>Vigente</v>
      </c>
      <c r="Y116" s="6"/>
    </row>
    <row r="117" spans="1:25" s="40" customFormat="1" ht="65.25" hidden="1" customHeight="1">
      <c r="A117" s="6" t="s">
        <v>184</v>
      </c>
      <c r="B117" s="6" t="s">
        <v>898</v>
      </c>
      <c r="C117" s="53">
        <v>5738319</v>
      </c>
      <c r="D117" s="54">
        <v>4</v>
      </c>
      <c r="E117" s="19" t="e">
        <f ca="1">DATEDIF(#REF!,TODAY(),"Y")</f>
        <v>#REF!</v>
      </c>
      <c r="F117" s="19" t="s">
        <v>899</v>
      </c>
      <c r="G117" s="6" t="s">
        <v>19</v>
      </c>
      <c r="H117" s="6" t="s">
        <v>315</v>
      </c>
      <c r="I117" s="19">
        <v>2021</v>
      </c>
      <c r="J117" s="73">
        <v>44373</v>
      </c>
      <c r="K117" s="19" t="s">
        <v>20</v>
      </c>
      <c r="L117" s="19" t="s">
        <v>21</v>
      </c>
      <c r="M117" s="73">
        <v>44438</v>
      </c>
      <c r="N117" s="6" t="s">
        <v>430</v>
      </c>
      <c r="O117" s="72" t="s">
        <v>58</v>
      </c>
      <c r="P117" s="6" t="s">
        <v>149</v>
      </c>
      <c r="Q117" s="184" t="s">
        <v>480</v>
      </c>
      <c r="R117" s="185" t="s">
        <v>900</v>
      </c>
      <c r="S117" s="6" t="s">
        <v>284</v>
      </c>
      <c r="T117" s="184" t="s">
        <v>511</v>
      </c>
      <c r="U117" s="75">
        <v>45903</v>
      </c>
      <c r="V117" s="75">
        <v>45933</v>
      </c>
      <c r="W117" s="13">
        <f ca="1">V117-TODAY()</f>
        <v>-152</v>
      </c>
      <c r="X117" s="6" t="str">
        <f ca="1">IF(W117&gt;=20,"Vigente",IF(AND(W117&gt;=1,W117&lt;=20),"Por Vencer","Vencido"))</f>
        <v>Vencido</v>
      </c>
      <c r="Y117" s="6" t="s">
        <v>483</v>
      </c>
    </row>
    <row r="118" spans="1:25" ht="65.25" hidden="1" customHeight="1">
      <c r="A118" s="6" t="s">
        <v>184</v>
      </c>
      <c r="B118" s="6" t="s">
        <v>901</v>
      </c>
      <c r="C118" s="53">
        <v>10443681</v>
      </c>
      <c r="D118" s="54">
        <v>1</v>
      </c>
      <c r="E118" s="19" t="e">
        <f ca="1">DATEDIF(#REF!,TODAY(),"Y")</f>
        <v>#REF!</v>
      </c>
      <c r="F118" s="19" t="s">
        <v>18</v>
      </c>
      <c r="G118" s="19" t="s">
        <v>19</v>
      </c>
      <c r="H118" s="6" t="s">
        <v>315</v>
      </c>
      <c r="I118" s="19">
        <v>2021</v>
      </c>
      <c r="J118" s="73">
        <v>44435</v>
      </c>
      <c r="K118" s="19" t="s">
        <v>20</v>
      </c>
      <c r="L118" s="19" t="s">
        <v>21</v>
      </c>
      <c r="M118" s="73">
        <v>44035</v>
      </c>
      <c r="N118" s="6" t="s">
        <v>530</v>
      </c>
      <c r="O118" s="72" t="s">
        <v>58</v>
      </c>
      <c r="P118" s="6" t="s">
        <v>152</v>
      </c>
      <c r="Q118" s="6"/>
      <c r="R118" s="185" t="s">
        <v>902</v>
      </c>
      <c r="S118" s="184" t="s">
        <v>611</v>
      </c>
      <c r="T118" s="6" t="s">
        <v>294</v>
      </c>
      <c r="U118" s="75">
        <v>45922</v>
      </c>
      <c r="V118" s="75">
        <v>46164</v>
      </c>
      <c r="W118" s="13">
        <f ca="1">V118-TODAY()</f>
        <v>79</v>
      </c>
      <c r="X118" s="6" t="str">
        <f ca="1">IF(W118&gt;=20,"Vigente",IF(AND(W118&gt;=1,W118&lt;=20),"Por Vencer","Vencido"))</f>
        <v>Vigente</v>
      </c>
      <c r="Y118" s="6"/>
    </row>
    <row r="119" spans="1:25" ht="65.25" hidden="1" customHeight="1">
      <c r="A119" s="6" t="s">
        <v>184</v>
      </c>
      <c r="B119" s="6" t="s">
        <v>903</v>
      </c>
      <c r="C119" s="98">
        <v>11765909</v>
      </c>
      <c r="D119" s="54">
        <v>7</v>
      </c>
      <c r="E119" s="19" t="e">
        <f ca="1">DATEDIF(#REF!,TODAY(),"Y")</f>
        <v>#REF!</v>
      </c>
      <c r="F119" s="19" t="s">
        <v>18</v>
      </c>
      <c r="G119" s="6" t="s">
        <v>19</v>
      </c>
      <c r="H119" s="6" t="s">
        <v>315</v>
      </c>
      <c r="I119" s="19">
        <v>2023</v>
      </c>
      <c r="J119" s="73">
        <v>44984</v>
      </c>
      <c r="K119" s="19" t="s">
        <v>20</v>
      </c>
      <c r="L119" s="19" t="s">
        <v>21</v>
      </c>
      <c r="M119" s="73">
        <v>45005</v>
      </c>
      <c r="N119" s="6" t="s">
        <v>430</v>
      </c>
      <c r="O119" s="72" t="s">
        <v>58</v>
      </c>
      <c r="P119" s="6" t="s">
        <v>149</v>
      </c>
      <c r="Q119" s="6" t="s">
        <v>904</v>
      </c>
      <c r="R119" s="13" t="s">
        <v>905</v>
      </c>
      <c r="S119" s="6" t="s">
        <v>574</v>
      </c>
      <c r="T119" s="6" t="s">
        <v>294</v>
      </c>
      <c r="U119" s="75">
        <v>45721</v>
      </c>
      <c r="V119" s="75">
        <v>46027</v>
      </c>
      <c r="W119" s="13">
        <f ca="1">V119-TODAY()</f>
        <v>-58</v>
      </c>
      <c r="X119" s="6" t="str">
        <f ca="1">IF(W119&gt;=20,"Vigente",IF(AND(W119&gt;=1,W119&lt;=20),"Por Vencer","Vencido"))</f>
        <v>Vencido</v>
      </c>
      <c r="Y119" s="6" t="s">
        <v>906</v>
      </c>
    </row>
    <row r="120" spans="1:25" ht="65.25" hidden="1" customHeight="1">
      <c r="A120" s="6" t="s">
        <v>184</v>
      </c>
      <c r="B120" s="6" t="s">
        <v>907</v>
      </c>
      <c r="C120" s="53">
        <v>14370665</v>
      </c>
      <c r="D120" s="54">
        <v>6</v>
      </c>
      <c r="E120" s="19" t="e">
        <f ca="1">DATEDIF(#REF!,TODAY(),"Y")</f>
        <v>#REF!</v>
      </c>
      <c r="F120" s="61" t="s">
        <v>18</v>
      </c>
      <c r="G120" s="19" t="s">
        <v>19</v>
      </c>
      <c r="H120" s="6" t="s">
        <v>315</v>
      </c>
      <c r="I120" s="19">
        <v>2022</v>
      </c>
      <c r="J120" s="73">
        <v>44910</v>
      </c>
      <c r="K120" s="19" t="s">
        <v>20</v>
      </c>
      <c r="L120" s="19" t="s">
        <v>21</v>
      </c>
      <c r="M120" s="73">
        <v>44977</v>
      </c>
      <c r="N120" s="6" t="s">
        <v>430</v>
      </c>
      <c r="O120" s="72" t="s">
        <v>58</v>
      </c>
      <c r="P120" s="6" t="s">
        <v>152</v>
      </c>
      <c r="Q120" s="6"/>
      <c r="R120" s="13" t="s">
        <v>908</v>
      </c>
      <c r="S120" s="6" t="s">
        <v>557</v>
      </c>
      <c r="T120" s="6" t="s">
        <v>473</v>
      </c>
      <c r="U120" s="75">
        <v>45785</v>
      </c>
      <c r="V120" s="75">
        <v>45969</v>
      </c>
      <c r="W120" s="13">
        <f ca="1">V120-TODAY()</f>
        <v>-116</v>
      </c>
      <c r="X120" s="6" t="str">
        <f ca="1">IF(W120&gt;=20,"Vigente",IF(AND(W120&gt;=1,W120&lt;=20),"Por Vencer","Vencido"))</f>
        <v>Vencido</v>
      </c>
      <c r="Y120" s="6"/>
    </row>
    <row r="121" spans="1:25" ht="65.25" hidden="1" customHeight="1">
      <c r="A121" s="6" t="s">
        <v>184</v>
      </c>
      <c r="B121" s="6" t="s">
        <v>909</v>
      </c>
      <c r="C121" s="53">
        <v>5902731</v>
      </c>
      <c r="D121" s="54" t="s">
        <v>129</v>
      </c>
      <c r="E121" s="19" t="e">
        <f ca="1">DATEDIF(#REF!,TODAY(),"Y")</f>
        <v>#REF!</v>
      </c>
      <c r="F121" s="19" t="s">
        <v>18</v>
      </c>
      <c r="G121" s="19" t="s">
        <v>19</v>
      </c>
      <c r="H121" s="6" t="s">
        <v>315</v>
      </c>
      <c r="I121" s="19">
        <v>2016</v>
      </c>
      <c r="J121" s="73">
        <v>42627</v>
      </c>
      <c r="K121" s="19" t="s">
        <v>20</v>
      </c>
      <c r="L121" s="19" t="s">
        <v>21</v>
      </c>
      <c r="M121" s="73">
        <v>43673</v>
      </c>
      <c r="N121" s="6" t="s">
        <v>444</v>
      </c>
      <c r="O121" s="72" t="s">
        <v>58</v>
      </c>
      <c r="P121" s="6" t="s">
        <v>152</v>
      </c>
      <c r="Q121" s="6" t="s">
        <v>521</v>
      </c>
      <c r="R121" s="64" t="s">
        <v>910</v>
      </c>
      <c r="S121" s="6" t="s">
        <v>911</v>
      </c>
      <c r="T121" s="6" t="s">
        <v>294</v>
      </c>
      <c r="U121" s="75">
        <v>45659</v>
      </c>
      <c r="V121" s="75">
        <v>45677</v>
      </c>
      <c r="W121" s="13">
        <f ca="1">V121-TODAY()</f>
        <v>-408</v>
      </c>
      <c r="X121" s="6" t="str">
        <f ca="1">IF(W121&gt;=20,"Vigente",IF(AND(W121&gt;=1,W121&lt;=20),"Por Vencer","Vencido"))</f>
        <v>Vencido</v>
      </c>
      <c r="Y121" s="6" t="s">
        <v>912</v>
      </c>
    </row>
    <row r="122" spans="1:25" ht="65.25" hidden="1" customHeight="1">
      <c r="A122" s="13" t="s">
        <v>184</v>
      </c>
      <c r="B122" s="13" t="s">
        <v>913</v>
      </c>
      <c r="C122" s="51">
        <v>10363883</v>
      </c>
      <c r="D122" s="52">
        <v>6</v>
      </c>
      <c r="E122" s="27" t="e">
        <f ca="1">DATEDIF(#REF!,TODAY(),"Y")</f>
        <v>#REF!</v>
      </c>
      <c r="F122" s="27" t="s">
        <v>18</v>
      </c>
      <c r="G122" s="27" t="s">
        <v>19</v>
      </c>
      <c r="H122" s="6" t="s">
        <v>315</v>
      </c>
      <c r="I122" s="27">
        <v>2022</v>
      </c>
      <c r="J122" s="71">
        <v>44617</v>
      </c>
      <c r="K122" s="27" t="s">
        <v>20</v>
      </c>
      <c r="L122" s="27" t="s">
        <v>32</v>
      </c>
      <c r="M122" s="71">
        <v>44683</v>
      </c>
      <c r="N122" s="13" t="s">
        <v>835</v>
      </c>
      <c r="O122" s="72" t="s">
        <v>58</v>
      </c>
      <c r="P122" s="13" t="s">
        <v>152</v>
      </c>
      <c r="Q122" s="13"/>
      <c r="R122" s="13" t="s">
        <v>914</v>
      </c>
      <c r="S122" s="13" t="s">
        <v>284</v>
      </c>
      <c r="T122" s="13" t="s">
        <v>285</v>
      </c>
      <c r="U122" s="85">
        <v>45902</v>
      </c>
      <c r="V122" s="85">
        <v>45932</v>
      </c>
      <c r="W122" s="13">
        <f ca="1">V122-TODAY()</f>
        <v>-153</v>
      </c>
      <c r="X122" s="13" t="str">
        <f ca="1">IF(W122&gt;=20,"Vigente",IF(AND(W122&gt;=1,W122&lt;=20),"Por Vencer","Vencido"))</f>
        <v>Vencido</v>
      </c>
      <c r="Y122" s="13"/>
    </row>
    <row r="123" spans="1:25" ht="65.25" hidden="1" customHeight="1">
      <c r="A123" s="6" t="s">
        <v>184</v>
      </c>
      <c r="B123" s="6" t="s">
        <v>915</v>
      </c>
      <c r="C123" s="53">
        <v>9169451</v>
      </c>
      <c r="D123" s="54">
        <v>4</v>
      </c>
      <c r="E123" s="6">
        <v>63</v>
      </c>
      <c r="F123" s="19" t="s">
        <v>18</v>
      </c>
      <c r="G123" s="19" t="s">
        <v>68</v>
      </c>
      <c r="H123" s="19" t="s">
        <v>315</v>
      </c>
      <c r="I123" s="19">
        <v>2024</v>
      </c>
      <c r="J123" s="73">
        <v>45673</v>
      </c>
      <c r="K123" s="19" t="s">
        <v>62</v>
      </c>
      <c r="L123" s="19" t="s">
        <v>168</v>
      </c>
      <c r="M123" s="75">
        <v>45901</v>
      </c>
      <c r="N123" s="19" t="s">
        <v>916</v>
      </c>
      <c r="O123" s="79" t="s">
        <v>34</v>
      </c>
      <c r="P123" s="13" t="s">
        <v>152</v>
      </c>
      <c r="Q123" s="6" t="s">
        <v>917</v>
      </c>
      <c r="R123" s="6" t="s">
        <v>918</v>
      </c>
      <c r="S123" s="6" t="s">
        <v>284</v>
      </c>
      <c r="T123" s="6" t="s">
        <v>289</v>
      </c>
      <c r="U123" s="75">
        <v>45937</v>
      </c>
      <c r="V123" s="75">
        <v>45968</v>
      </c>
      <c r="W123" s="13">
        <f t="shared" ref="W123:W186" ca="1" si="0">V123-TODAY()</f>
        <v>-117</v>
      </c>
      <c r="X123" s="6" t="str">
        <f t="shared" ref="X123:X186" ca="1" si="1">IF(W123&gt;=20,"Vigente",IF(AND(W123&gt;=1,W123&lt;=20),"Por Vencer","Vencido"))</f>
        <v>Vencido</v>
      </c>
      <c r="Y123" s="6"/>
    </row>
    <row r="124" spans="1:25" ht="65.25" hidden="1" customHeight="1">
      <c r="A124" s="6" t="s">
        <v>184</v>
      </c>
      <c r="B124" s="6" t="s">
        <v>919</v>
      </c>
      <c r="C124" s="53">
        <v>5369393</v>
      </c>
      <c r="D124" s="54">
        <v>8</v>
      </c>
      <c r="E124" s="19" t="e">
        <f ca="1">DATEDIF(#REF!,TODAY(),"Y")</f>
        <v>#REF!</v>
      </c>
      <c r="F124" s="19" t="s">
        <v>64</v>
      </c>
      <c r="G124" s="6" t="s">
        <v>68</v>
      </c>
      <c r="H124" s="6" t="s">
        <v>315</v>
      </c>
      <c r="I124" s="19">
        <v>2023</v>
      </c>
      <c r="J124" s="73">
        <v>45106</v>
      </c>
      <c r="K124" s="19" t="s">
        <v>20</v>
      </c>
      <c r="L124" s="19" t="s">
        <v>21</v>
      </c>
      <c r="M124" s="73">
        <v>45281</v>
      </c>
      <c r="N124" s="6" t="s">
        <v>279</v>
      </c>
      <c r="O124" s="72" t="s">
        <v>58</v>
      </c>
      <c r="P124" s="6" t="s">
        <v>152</v>
      </c>
      <c r="Q124" s="6"/>
      <c r="R124" s="26" t="s">
        <v>920</v>
      </c>
      <c r="S124" s="6" t="s">
        <v>288</v>
      </c>
      <c r="T124" s="6" t="s">
        <v>294</v>
      </c>
      <c r="U124" s="75">
        <v>45903</v>
      </c>
      <c r="V124" s="75">
        <v>45933</v>
      </c>
      <c r="W124" s="13">
        <f t="shared" ca="1" si="0"/>
        <v>-152</v>
      </c>
      <c r="X124" s="6" t="str">
        <f t="shared" ca="1" si="1"/>
        <v>Vencido</v>
      </c>
      <c r="Y124" s="6"/>
    </row>
    <row r="125" spans="1:25" ht="65.25" hidden="1" customHeight="1">
      <c r="A125" s="6" t="s">
        <v>184</v>
      </c>
      <c r="B125" s="6" t="s">
        <v>921</v>
      </c>
      <c r="C125" s="53">
        <v>4924364</v>
      </c>
      <c r="D125" s="54">
        <v>2</v>
      </c>
      <c r="E125" s="19" t="e">
        <f ca="1">DATEDIF(#REF!,TODAY(),"Y")</f>
        <v>#REF!</v>
      </c>
      <c r="F125" s="19" t="s">
        <v>18</v>
      </c>
      <c r="G125" s="6" t="s">
        <v>19</v>
      </c>
      <c r="H125" s="6" t="s">
        <v>315</v>
      </c>
      <c r="I125" s="19">
        <v>2019</v>
      </c>
      <c r="J125" s="73">
        <v>43633</v>
      </c>
      <c r="K125" s="19" t="s">
        <v>20</v>
      </c>
      <c r="L125" s="19" t="s">
        <v>21</v>
      </c>
      <c r="M125" s="73">
        <v>43871</v>
      </c>
      <c r="N125" s="6" t="s">
        <v>430</v>
      </c>
      <c r="O125" s="72" t="s">
        <v>58</v>
      </c>
      <c r="P125" s="6" t="s">
        <v>152</v>
      </c>
      <c r="Q125" s="6" t="s">
        <v>597</v>
      </c>
      <c r="R125" s="13" t="s">
        <v>922</v>
      </c>
      <c r="S125" s="6" t="s">
        <v>284</v>
      </c>
      <c r="T125" s="6" t="s">
        <v>294</v>
      </c>
      <c r="U125" s="75">
        <v>45883</v>
      </c>
      <c r="V125" s="75">
        <v>45914</v>
      </c>
      <c r="W125" s="13">
        <f t="shared" ca="1" si="0"/>
        <v>-171</v>
      </c>
      <c r="X125" s="6" t="str">
        <f t="shared" ca="1" si="1"/>
        <v>Vencido</v>
      </c>
      <c r="Y125" s="6" t="s">
        <v>480</v>
      </c>
    </row>
    <row r="126" spans="1:25" ht="65.25" hidden="1" customHeight="1">
      <c r="A126" s="6" t="s">
        <v>184</v>
      </c>
      <c r="B126" s="107" t="s">
        <v>923</v>
      </c>
      <c r="C126" s="108">
        <v>6480896</v>
      </c>
      <c r="D126" s="109">
        <v>6</v>
      </c>
      <c r="E126" s="107">
        <v>71</v>
      </c>
      <c r="F126" s="110" t="s">
        <v>18</v>
      </c>
      <c r="G126" s="110" t="s">
        <v>19</v>
      </c>
      <c r="H126" s="19" t="s">
        <v>315</v>
      </c>
      <c r="I126" s="19">
        <v>2024</v>
      </c>
      <c r="J126" s="73">
        <v>45544</v>
      </c>
      <c r="K126" s="19" t="s">
        <v>62</v>
      </c>
      <c r="L126" s="19" t="s">
        <v>395</v>
      </c>
      <c r="M126" s="75">
        <v>45908</v>
      </c>
      <c r="N126" s="19" t="s">
        <v>727</v>
      </c>
      <c r="O126" s="72" t="s">
        <v>58</v>
      </c>
      <c r="P126" s="6" t="s">
        <v>152</v>
      </c>
      <c r="Q126" s="6"/>
      <c r="R126" s="6" t="s">
        <v>924</v>
      </c>
      <c r="S126" s="6" t="s">
        <v>388</v>
      </c>
      <c r="T126" s="6" t="s">
        <v>277</v>
      </c>
      <c r="U126" s="75">
        <v>45932</v>
      </c>
      <c r="V126" s="75">
        <v>46055</v>
      </c>
      <c r="W126" s="13">
        <f t="shared" ca="1" si="0"/>
        <v>-30</v>
      </c>
      <c r="X126" s="6" t="str">
        <f t="shared" ca="1" si="1"/>
        <v>Vencido</v>
      </c>
      <c r="Y126" s="6"/>
    </row>
    <row r="127" spans="1:25" ht="65.25" hidden="1" customHeight="1">
      <c r="A127" s="6" t="s">
        <v>184</v>
      </c>
      <c r="B127" s="6" t="s">
        <v>925</v>
      </c>
      <c r="C127" s="53">
        <v>10502707</v>
      </c>
      <c r="D127" s="18">
        <v>9</v>
      </c>
      <c r="E127" s="19" t="e">
        <f ca="1">DATEDIF(#REF!,TODAY(),"Y")</f>
        <v>#REF!</v>
      </c>
      <c r="F127" s="19" t="s">
        <v>926</v>
      </c>
      <c r="G127" s="19" t="s">
        <v>19</v>
      </c>
      <c r="H127" s="6" t="s">
        <v>335</v>
      </c>
      <c r="I127" s="19">
        <v>2024</v>
      </c>
      <c r="J127" s="73">
        <v>45401</v>
      </c>
      <c r="K127" s="19" t="s">
        <v>20</v>
      </c>
      <c r="L127" s="19" t="s">
        <v>32</v>
      </c>
      <c r="M127" s="73">
        <v>45425</v>
      </c>
      <c r="N127" s="6" t="s">
        <v>628</v>
      </c>
      <c r="O127" s="72" t="s">
        <v>58</v>
      </c>
      <c r="P127" s="6" t="s">
        <v>152</v>
      </c>
      <c r="Q127" s="6"/>
      <c r="R127" s="6" t="s">
        <v>927</v>
      </c>
      <c r="S127" s="6" t="s">
        <v>276</v>
      </c>
      <c r="T127" s="6" t="s">
        <v>285</v>
      </c>
      <c r="U127" s="75">
        <v>46076</v>
      </c>
      <c r="V127" s="75">
        <v>46135</v>
      </c>
      <c r="W127" s="13">
        <f t="shared" ca="1" si="0"/>
        <v>50</v>
      </c>
      <c r="X127" s="6" t="str">
        <f t="shared" ca="1" si="1"/>
        <v>Vigente</v>
      </c>
      <c r="Y127" s="6"/>
    </row>
    <row r="128" spans="1:25" ht="65.25" hidden="1" customHeight="1">
      <c r="A128" s="6" t="s">
        <v>184</v>
      </c>
      <c r="B128" s="6" t="s">
        <v>928</v>
      </c>
      <c r="C128" s="53">
        <v>4395940</v>
      </c>
      <c r="D128" s="18">
        <v>9</v>
      </c>
      <c r="E128" s="6">
        <v>85</v>
      </c>
      <c r="F128" s="19" t="s">
        <v>929</v>
      </c>
      <c r="G128" s="19" t="s">
        <v>141</v>
      </c>
      <c r="H128" s="19" t="s">
        <v>335</v>
      </c>
      <c r="I128" s="19">
        <v>2025</v>
      </c>
      <c r="J128" s="73">
        <v>45684</v>
      </c>
      <c r="K128" s="19" t="s">
        <v>62</v>
      </c>
      <c r="L128" s="19" t="s">
        <v>269</v>
      </c>
      <c r="M128" s="75">
        <v>45740</v>
      </c>
      <c r="N128" s="19" t="s">
        <v>730</v>
      </c>
      <c r="O128" s="72" t="s">
        <v>58</v>
      </c>
      <c r="P128" s="6" t="s">
        <v>149</v>
      </c>
      <c r="Q128" s="6" t="s">
        <v>480</v>
      </c>
      <c r="R128" s="6" t="s">
        <v>930</v>
      </c>
      <c r="S128" s="6" t="s">
        <v>557</v>
      </c>
      <c r="T128" s="6" t="s">
        <v>428</v>
      </c>
      <c r="U128" s="75">
        <v>45750</v>
      </c>
      <c r="V128" s="75">
        <v>45903</v>
      </c>
      <c r="W128" s="13">
        <f t="shared" ca="1" si="0"/>
        <v>-182</v>
      </c>
      <c r="X128" s="6" t="str">
        <f t="shared" ca="1" si="1"/>
        <v>Vencido</v>
      </c>
      <c r="Y128" s="6" t="s">
        <v>597</v>
      </c>
    </row>
    <row r="129" spans="1:25" s="40" customFormat="1" ht="65.25" hidden="1" customHeight="1">
      <c r="A129" s="6" t="s">
        <v>184</v>
      </c>
      <c r="B129" s="6" t="s">
        <v>931</v>
      </c>
      <c r="C129" s="53">
        <v>5449194</v>
      </c>
      <c r="D129" s="18">
        <v>8</v>
      </c>
      <c r="E129" s="6">
        <v>79</v>
      </c>
      <c r="F129" s="19" t="s">
        <v>64</v>
      </c>
      <c r="G129" s="19" t="s">
        <v>19</v>
      </c>
      <c r="H129" s="6" t="s">
        <v>335</v>
      </c>
      <c r="I129" s="19">
        <v>2024</v>
      </c>
      <c r="J129" s="73">
        <v>45527</v>
      </c>
      <c r="K129" s="19" t="s">
        <v>62</v>
      </c>
      <c r="L129" s="19" t="s">
        <v>241</v>
      </c>
      <c r="M129" s="75">
        <v>45572</v>
      </c>
      <c r="N129" s="19" t="s">
        <v>932</v>
      </c>
      <c r="O129" s="72" t="s">
        <v>58</v>
      </c>
      <c r="P129" s="6" t="s">
        <v>933</v>
      </c>
      <c r="Q129" s="6"/>
      <c r="R129" s="13" t="s">
        <v>934</v>
      </c>
      <c r="S129" s="6" t="s">
        <v>276</v>
      </c>
      <c r="T129" s="6" t="s">
        <v>428</v>
      </c>
      <c r="U129" s="75">
        <v>45967</v>
      </c>
      <c r="V129" s="75">
        <v>46028</v>
      </c>
      <c r="W129" s="13">
        <f t="shared" ca="1" si="0"/>
        <v>-57</v>
      </c>
      <c r="X129" s="6" t="str">
        <f t="shared" ca="1" si="1"/>
        <v>Vencido</v>
      </c>
      <c r="Y129" s="6"/>
    </row>
    <row r="130" spans="1:25" ht="65.25" hidden="1" customHeight="1">
      <c r="A130" s="6" t="s">
        <v>184</v>
      </c>
      <c r="B130" s="6" t="s">
        <v>935</v>
      </c>
      <c r="C130" s="53">
        <v>5648294</v>
      </c>
      <c r="D130" s="18">
        <v>6</v>
      </c>
      <c r="E130" s="69">
        <v>75.868493150684898</v>
      </c>
      <c r="F130" s="19" t="s">
        <v>64</v>
      </c>
      <c r="G130" s="6" t="s">
        <v>19</v>
      </c>
      <c r="H130" s="6" t="s">
        <v>335</v>
      </c>
      <c r="I130" s="19">
        <v>2022</v>
      </c>
      <c r="J130" s="73">
        <v>44859</v>
      </c>
      <c r="K130" s="19" t="s">
        <v>20</v>
      </c>
      <c r="L130" s="19" t="s">
        <v>21</v>
      </c>
      <c r="M130" s="73">
        <v>44879</v>
      </c>
      <c r="N130" s="6" t="s">
        <v>444</v>
      </c>
      <c r="O130" s="72" t="s">
        <v>58</v>
      </c>
      <c r="P130" s="184" t="s">
        <v>27</v>
      </c>
      <c r="Q130" s="6" t="s">
        <v>480</v>
      </c>
      <c r="R130" s="13" t="s">
        <v>936</v>
      </c>
      <c r="S130" s="6" t="s">
        <v>647</v>
      </c>
      <c r="T130" s="6" t="s">
        <v>294</v>
      </c>
      <c r="U130" s="75">
        <v>45524</v>
      </c>
      <c r="V130" s="75">
        <v>45767</v>
      </c>
      <c r="W130" s="13">
        <f t="shared" ca="1" si="0"/>
        <v>-318</v>
      </c>
      <c r="X130" s="6" t="str">
        <f t="shared" ca="1" si="1"/>
        <v>Vencido</v>
      </c>
      <c r="Y130" s="6"/>
    </row>
    <row r="131" spans="1:25" ht="65.25" hidden="1" customHeight="1">
      <c r="A131" s="6" t="s">
        <v>184</v>
      </c>
      <c r="B131" s="6" t="s">
        <v>937</v>
      </c>
      <c r="C131" s="53">
        <v>6232098</v>
      </c>
      <c r="D131" s="18">
        <v>2</v>
      </c>
      <c r="E131" s="6">
        <v>79</v>
      </c>
      <c r="F131" s="19" t="s">
        <v>64</v>
      </c>
      <c r="G131" s="19" t="s">
        <v>19</v>
      </c>
      <c r="H131" s="6" t="s">
        <v>335</v>
      </c>
      <c r="I131" s="19">
        <v>2024</v>
      </c>
      <c r="J131" s="73">
        <v>45531</v>
      </c>
      <c r="K131" s="19" t="s">
        <v>62</v>
      </c>
      <c r="L131" s="19" t="s">
        <v>21</v>
      </c>
      <c r="M131" s="75">
        <v>45698</v>
      </c>
      <c r="N131" s="19" t="s">
        <v>938</v>
      </c>
      <c r="O131" s="72" t="s">
        <v>58</v>
      </c>
      <c r="P131" s="184" t="s">
        <v>933</v>
      </c>
      <c r="Q131" s="6"/>
      <c r="R131" s="13" t="s">
        <v>939</v>
      </c>
      <c r="S131" s="6" t="s">
        <v>284</v>
      </c>
      <c r="T131" s="6" t="s">
        <v>285</v>
      </c>
      <c r="U131" s="75">
        <v>46021</v>
      </c>
      <c r="V131" s="75">
        <v>46052</v>
      </c>
      <c r="W131" s="13">
        <f t="shared" ca="1" si="0"/>
        <v>-33</v>
      </c>
      <c r="X131" s="6" t="str">
        <f t="shared" ca="1" si="1"/>
        <v>Vencido</v>
      </c>
      <c r="Y131" s="6"/>
    </row>
    <row r="132" spans="1:25" ht="65.25" hidden="1" customHeight="1">
      <c r="A132" s="6" t="s">
        <v>184</v>
      </c>
      <c r="B132" s="6" t="s">
        <v>940</v>
      </c>
      <c r="C132" s="53">
        <v>4732156</v>
      </c>
      <c r="D132" s="18">
        <v>5</v>
      </c>
      <c r="E132" s="19" t="e">
        <f ca="1">DATEDIF(#REF!,TODAY(),"Y")</f>
        <v>#REF!</v>
      </c>
      <c r="F132" s="19" t="s">
        <v>18</v>
      </c>
      <c r="G132" s="19" t="s">
        <v>19</v>
      </c>
      <c r="H132" s="6" t="s">
        <v>335</v>
      </c>
      <c r="I132" s="19">
        <v>2020</v>
      </c>
      <c r="J132" s="73">
        <v>44119</v>
      </c>
      <c r="K132" s="19" t="s">
        <v>20</v>
      </c>
      <c r="L132" s="19" t="s">
        <v>21</v>
      </c>
      <c r="M132" s="73">
        <v>44300</v>
      </c>
      <c r="N132" s="19" t="s">
        <v>444</v>
      </c>
      <c r="O132" s="72" t="s">
        <v>58</v>
      </c>
      <c r="P132" s="6" t="s">
        <v>27</v>
      </c>
      <c r="Q132" s="6" t="s">
        <v>480</v>
      </c>
      <c r="R132" s="13" t="s">
        <v>941</v>
      </c>
      <c r="S132" s="6" t="s">
        <v>647</v>
      </c>
      <c r="T132" s="6" t="s">
        <v>482</v>
      </c>
      <c r="U132" s="75">
        <v>45498</v>
      </c>
      <c r="V132" s="75">
        <v>45713</v>
      </c>
      <c r="W132" s="13">
        <f t="shared" ca="1" si="0"/>
        <v>-372</v>
      </c>
      <c r="X132" s="6" t="str">
        <f t="shared" ca="1" si="1"/>
        <v>Vencido</v>
      </c>
      <c r="Y132" s="6" t="s">
        <v>483</v>
      </c>
    </row>
    <row r="133" spans="1:25" s="37" customFormat="1" ht="65.25" hidden="1" customHeight="1">
      <c r="A133" s="13" t="s">
        <v>184</v>
      </c>
      <c r="B133" s="13" t="s">
        <v>942</v>
      </c>
      <c r="C133" s="169" t="s">
        <v>943</v>
      </c>
      <c r="D133" s="113" t="s">
        <v>87</v>
      </c>
      <c r="E133" s="27" t="e">
        <f ca="1">DATEDIF(#REF!,TODAY(),"Y")</f>
        <v>#REF!</v>
      </c>
      <c r="F133" s="27" t="s">
        <v>18</v>
      </c>
      <c r="G133" s="27" t="s">
        <v>141</v>
      </c>
      <c r="H133" s="13" t="s">
        <v>335</v>
      </c>
      <c r="I133" s="27">
        <v>2023</v>
      </c>
      <c r="J133" s="27" t="s">
        <v>178</v>
      </c>
      <c r="K133" s="27" t="s">
        <v>161</v>
      </c>
      <c r="L133" s="27" t="s">
        <v>32</v>
      </c>
      <c r="M133" s="71">
        <v>45138</v>
      </c>
      <c r="N133" s="27" t="s">
        <v>201</v>
      </c>
      <c r="O133" s="72" t="s">
        <v>58</v>
      </c>
      <c r="P133" s="185" t="s">
        <v>27</v>
      </c>
      <c r="Q133" s="13" t="s">
        <v>521</v>
      </c>
      <c r="R133" s="13" t="s">
        <v>944</v>
      </c>
      <c r="S133" s="13" t="s">
        <v>276</v>
      </c>
      <c r="T133" s="13" t="s">
        <v>294</v>
      </c>
      <c r="U133" s="85">
        <v>45587</v>
      </c>
      <c r="V133" s="85">
        <v>45738</v>
      </c>
      <c r="W133" s="13">
        <f t="shared" ca="1" si="0"/>
        <v>-347</v>
      </c>
      <c r="X133" s="13" t="str">
        <f t="shared" ca="1" si="1"/>
        <v>Vencido</v>
      </c>
      <c r="Y133" s="13" t="s">
        <v>521</v>
      </c>
    </row>
    <row r="134" spans="1:25" ht="65.25" hidden="1" customHeight="1">
      <c r="A134" s="13" t="s">
        <v>184</v>
      </c>
      <c r="B134" s="13" t="s">
        <v>945</v>
      </c>
      <c r="C134" s="51">
        <v>16596308</v>
      </c>
      <c r="D134" s="113">
        <v>3</v>
      </c>
      <c r="E134" s="27" t="e">
        <f ca="1">DATEDIF(#REF!,TODAY(),"Y")</f>
        <v>#REF!</v>
      </c>
      <c r="F134" s="27" t="s">
        <v>18</v>
      </c>
      <c r="G134" s="27" t="s">
        <v>19</v>
      </c>
      <c r="H134" s="13" t="s">
        <v>335</v>
      </c>
      <c r="I134" s="27">
        <v>2021</v>
      </c>
      <c r="J134" s="71">
        <v>44510</v>
      </c>
      <c r="K134" s="27" t="s">
        <v>20</v>
      </c>
      <c r="L134" s="27" t="s">
        <v>32</v>
      </c>
      <c r="M134" s="71">
        <v>45734</v>
      </c>
      <c r="N134" s="170" t="s">
        <v>946</v>
      </c>
      <c r="O134" s="79" t="s">
        <v>34</v>
      </c>
      <c r="P134" s="13" t="s">
        <v>149</v>
      </c>
      <c r="Q134" s="13"/>
      <c r="R134" s="13" t="s">
        <v>947</v>
      </c>
      <c r="S134" s="13" t="s">
        <v>288</v>
      </c>
      <c r="T134" s="13" t="s">
        <v>285</v>
      </c>
      <c r="U134" s="85">
        <v>45964</v>
      </c>
      <c r="V134" s="85">
        <v>46056</v>
      </c>
      <c r="W134" s="13">
        <f t="shared" ca="1" si="0"/>
        <v>-29</v>
      </c>
      <c r="X134" s="13" t="str">
        <f t="shared" ca="1" si="1"/>
        <v>Vencido</v>
      </c>
      <c r="Y134" s="13" t="s">
        <v>521</v>
      </c>
    </row>
    <row r="135" spans="1:25" s="37" customFormat="1" ht="65.25" hidden="1" customHeight="1">
      <c r="A135" s="13" t="s">
        <v>184</v>
      </c>
      <c r="B135" s="13" t="s">
        <v>948</v>
      </c>
      <c r="C135" s="51">
        <v>7302478</v>
      </c>
      <c r="D135" s="113">
        <v>1</v>
      </c>
      <c r="E135" s="13">
        <v>70</v>
      </c>
      <c r="F135" s="27" t="s">
        <v>37</v>
      </c>
      <c r="G135" s="27" t="s">
        <v>68</v>
      </c>
      <c r="H135" s="13" t="s">
        <v>335</v>
      </c>
      <c r="I135" s="27">
        <v>2024</v>
      </c>
      <c r="J135" s="71">
        <v>45474</v>
      </c>
      <c r="K135" s="27" t="s">
        <v>62</v>
      </c>
      <c r="L135" s="27" t="s">
        <v>241</v>
      </c>
      <c r="M135" s="85">
        <v>45565</v>
      </c>
      <c r="N135" s="27" t="s">
        <v>949</v>
      </c>
      <c r="O135" s="79" t="s">
        <v>34</v>
      </c>
      <c r="P135" s="13" t="s">
        <v>152</v>
      </c>
      <c r="Q135" s="13"/>
      <c r="R135" s="185" t="s">
        <v>950</v>
      </c>
      <c r="S135" s="13" t="s">
        <v>284</v>
      </c>
      <c r="T135" s="13" t="s">
        <v>277</v>
      </c>
      <c r="U135" s="85">
        <v>45915</v>
      </c>
      <c r="V135" s="85">
        <v>45945</v>
      </c>
      <c r="W135" s="13">
        <f t="shared" ca="1" si="0"/>
        <v>-140</v>
      </c>
      <c r="X135" s="13" t="str">
        <f t="shared" ca="1" si="1"/>
        <v>Vencido</v>
      </c>
      <c r="Y135" s="185"/>
    </row>
    <row r="136" spans="1:25" ht="65.25" hidden="1" customHeight="1">
      <c r="A136" s="6" t="s">
        <v>184</v>
      </c>
      <c r="B136" s="6" t="s">
        <v>951</v>
      </c>
      <c r="C136" s="53">
        <v>6176564</v>
      </c>
      <c r="D136" s="18">
        <v>6</v>
      </c>
      <c r="E136" s="19">
        <v>74</v>
      </c>
      <c r="F136" s="19" t="s">
        <v>18</v>
      </c>
      <c r="G136" s="6" t="s">
        <v>19</v>
      </c>
      <c r="H136" s="6" t="s">
        <v>335</v>
      </c>
      <c r="I136" s="19">
        <v>2023</v>
      </c>
      <c r="J136" s="73">
        <v>45012</v>
      </c>
      <c r="K136" s="19" t="s">
        <v>20</v>
      </c>
      <c r="L136" s="19" t="s">
        <v>21</v>
      </c>
      <c r="M136" s="73">
        <v>45110</v>
      </c>
      <c r="N136" s="6" t="s">
        <v>430</v>
      </c>
      <c r="O136" s="72" t="s">
        <v>58</v>
      </c>
      <c r="P136" s="184" t="s">
        <v>152</v>
      </c>
      <c r="Q136" s="6"/>
      <c r="R136" s="185" t="s">
        <v>952</v>
      </c>
      <c r="S136" s="6" t="s">
        <v>574</v>
      </c>
      <c r="T136" s="6" t="s">
        <v>294</v>
      </c>
      <c r="U136" s="75">
        <v>46020</v>
      </c>
      <c r="V136" s="75">
        <v>46324</v>
      </c>
      <c r="W136" s="13">
        <f t="shared" ca="1" si="0"/>
        <v>239</v>
      </c>
      <c r="X136" s="6" t="str">
        <f t="shared" ca="1" si="1"/>
        <v>Vigente</v>
      </c>
      <c r="Y136" s="6"/>
    </row>
    <row r="137" spans="1:25" s="37" customFormat="1" ht="65.25" hidden="1" customHeight="1">
      <c r="A137" s="13" t="s">
        <v>184</v>
      </c>
      <c r="B137" s="13" t="s">
        <v>953</v>
      </c>
      <c r="C137" s="51">
        <v>8794188</v>
      </c>
      <c r="D137" s="113">
        <v>4</v>
      </c>
      <c r="E137" s="27" t="e">
        <f ca="1">DATEDIF(#REF!,TODAY(),"Y")</f>
        <v>#REF!</v>
      </c>
      <c r="F137" s="27" t="s">
        <v>250</v>
      </c>
      <c r="G137" s="27" t="s">
        <v>19</v>
      </c>
      <c r="H137" s="13" t="s">
        <v>335</v>
      </c>
      <c r="I137" s="27">
        <v>2023</v>
      </c>
      <c r="J137" s="71">
        <v>45260</v>
      </c>
      <c r="K137" s="27" t="s">
        <v>20</v>
      </c>
      <c r="L137" s="27" t="s">
        <v>32</v>
      </c>
      <c r="M137" s="71">
        <v>46028</v>
      </c>
      <c r="N137" s="13" t="s">
        <v>954</v>
      </c>
      <c r="O137" s="79" t="s">
        <v>34</v>
      </c>
      <c r="P137" s="13" t="s">
        <v>152</v>
      </c>
      <c r="Q137" s="13"/>
      <c r="R137" s="13" t="s">
        <v>955</v>
      </c>
      <c r="S137" s="13" t="s">
        <v>276</v>
      </c>
      <c r="T137" s="13" t="s">
        <v>343</v>
      </c>
      <c r="U137" s="85">
        <v>46041</v>
      </c>
      <c r="V137" s="85">
        <v>46100</v>
      </c>
      <c r="W137" s="13">
        <f t="shared" ca="1" si="0"/>
        <v>15</v>
      </c>
      <c r="X137" s="13" t="str">
        <f t="shared" ca="1" si="1"/>
        <v>Por Vencer</v>
      </c>
      <c r="Y137" s="13"/>
    </row>
    <row r="138" spans="1:25" ht="65.25" hidden="1" customHeight="1">
      <c r="A138" s="6" t="s">
        <v>184</v>
      </c>
      <c r="B138" s="6" t="s">
        <v>956</v>
      </c>
      <c r="C138" s="53">
        <v>4975077</v>
      </c>
      <c r="D138" s="18">
        <v>3</v>
      </c>
      <c r="E138" s="19" t="e">
        <f ca="1">DATEDIF(#REF!,TODAY(),"Y")</f>
        <v>#REF!</v>
      </c>
      <c r="F138" s="19" t="s">
        <v>18</v>
      </c>
      <c r="G138" s="6" t="s">
        <v>19</v>
      </c>
      <c r="H138" s="6" t="s">
        <v>335</v>
      </c>
      <c r="I138" s="19">
        <v>2020</v>
      </c>
      <c r="J138" s="73">
        <v>44074</v>
      </c>
      <c r="K138" s="19" t="s">
        <v>20</v>
      </c>
      <c r="L138" s="19" t="s">
        <v>21</v>
      </c>
      <c r="M138" s="73">
        <v>44158</v>
      </c>
      <c r="N138" s="6" t="s">
        <v>430</v>
      </c>
      <c r="O138" s="72" t="s">
        <v>58</v>
      </c>
      <c r="P138" s="6" t="s">
        <v>152</v>
      </c>
      <c r="Q138" s="6"/>
      <c r="R138" s="13" t="s">
        <v>957</v>
      </c>
      <c r="S138" s="6" t="s">
        <v>670</v>
      </c>
      <c r="T138" s="6" t="s">
        <v>294</v>
      </c>
      <c r="U138" s="75">
        <v>45546</v>
      </c>
      <c r="V138" s="75">
        <v>45941</v>
      </c>
      <c r="W138" s="13">
        <f t="shared" ca="1" si="0"/>
        <v>-144</v>
      </c>
      <c r="X138" s="6" t="str">
        <f t="shared" ca="1" si="1"/>
        <v>Vencido</v>
      </c>
      <c r="Y138" s="6"/>
    </row>
    <row r="139" spans="1:25" ht="65.25" hidden="1" customHeight="1">
      <c r="A139" s="6" t="s">
        <v>184</v>
      </c>
      <c r="B139" s="6" t="s">
        <v>958</v>
      </c>
      <c r="C139" s="53">
        <v>6180107</v>
      </c>
      <c r="D139" s="18">
        <v>3</v>
      </c>
      <c r="E139" s="19" t="e">
        <f ca="1">DATEDIF(#REF!,TODAY(),"Y")</f>
        <v>#REF!</v>
      </c>
      <c r="F139" s="19" t="s">
        <v>18</v>
      </c>
      <c r="G139" s="19" t="s">
        <v>19</v>
      </c>
      <c r="H139" s="6" t="s">
        <v>335</v>
      </c>
      <c r="I139" s="19">
        <v>2024</v>
      </c>
      <c r="J139" s="73">
        <v>45428</v>
      </c>
      <c r="K139" s="19" t="s">
        <v>62</v>
      </c>
      <c r="L139" s="19" t="s">
        <v>21</v>
      </c>
      <c r="M139" s="73">
        <v>45439</v>
      </c>
      <c r="N139" s="6" t="s">
        <v>959</v>
      </c>
      <c r="O139" s="72" t="s">
        <v>58</v>
      </c>
      <c r="P139" s="6" t="s">
        <v>27</v>
      </c>
      <c r="Q139" s="6" t="s">
        <v>480</v>
      </c>
      <c r="R139" s="13" t="s">
        <v>597</v>
      </c>
      <c r="S139" s="6" t="s">
        <v>557</v>
      </c>
      <c r="T139" s="75" t="s">
        <v>285</v>
      </c>
      <c r="U139" s="75">
        <v>45439</v>
      </c>
      <c r="V139" s="75">
        <v>45623</v>
      </c>
      <c r="W139" s="13">
        <f t="shared" ca="1" si="0"/>
        <v>-462</v>
      </c>
      <c r="X139" s="6" t="str">
        <f t="shared" ca="1" si="1"/>
        <v>Vencido</v>
      </c>
      <c r="Y139" s="13" t="s">
        <v>483</v>
      </c>
    </row>
    <row r="140" spans="1:25" ht="65.25" hidden="1" customHeight="1">
      <c r="A140" s="13" t="s">
        <v>184</v>
      </c>
      <c r="B140" s="13" t="s">
        <v>960</v>
      </c>
      <c r="C140" s="51">
        <v>17364388</v>
      </c>
      <c r="D140" s="113">
        <v>8</v>
      </c>
      <c r="E140" s="27" t="e">
        <f ca="1">DATEDIF(#REF!,TODAY(),"Y")</f>
        <v>#REF!</v>
      </c>
      <c r="F140" s="27" t="s">
        <v>64</v>
      </c>
      <c r="G140" s="27" t="s">
        <v>19</v>
      </c>
      <c r="H140" s="6" t="s">
        <v>335</v>
      </c>
      <c r="I140" s="27">
        <v>2023</v>
      </c>
      <c r="J140" s="71">
        <v>45282</v>
      </c>
      <c r="K140" s="27" t="s">
        <v>20</v>
      </c>
      <c r="L140" s="27" t="s">
        <v>21</v>
      </c>
      <c r="M140" s="71">
        <v>45327</v>
      </c>
      <c r="N140" s="13" t="s">
        <v>961</v>
      </c>
      <c r="O140" s="72" t="s">
        <v>58</v>
      </c>
      <c r="P140" s="13" t="s">
        <v>149</v>
      </c>
      <c r="Q140" s="185"/>
      <c r="R140" s="13" t="s">
        <v>962</v>
      </c>
      <c r="S140" s="13" t="s">
        <v>433</v>
      </c>
      <c r="T140" s="13" t="s">
        <v>511</v>
      </c>
      <c r="U140" s="85">
        <v>45965</v>
      </c>
      <c r="V140" s="85">
        <v>46330</v>
      </c>
      <c r="W140" s="13">
        <f t="shared" ca="1" si="0"/>
        <v>245</v>
      </c>
      <c r="X140" s="13" t="str">
        <f t="shared" ca="1" si="1"/>
        <v>Vigente</v>
      </c>
      <c r="Y140" s="185" t="s">
        <v>521</v>
      </c>
    </row>
    <row r="141" spans="1:25" ht="65.25" hidden="1" customHeight="1">
      <c r="A141" s="6" t="s">
        <v>184</v>
      </c>
      <c r="B141" s="6" t="s">
        <v>963</v>
      </c>
      <c r="C141" s="53">
        <v>9650656</v>
      </c>
      <c r="D141" s="114">
        <v>2</v>
      </c>
      <c r="E141" s="19" t="e">
        <f ca="1">DATEDIF(#REF!,TODAY(),"Y")</f>
        <v>#REF!</v>
      </c>
      <c r="F141" s="19" t="s">
        <v>18</v>
      </c>
      <c r="G141" s="6" t="s">
        <v>19</v>
      </c>
      <c r="H141" s="6" t="s">
        <v>335</v>
      </c>
      <c r="I141" s="19">
        <v>2023</v>
      </c>
      <c r="J141" s="73">
        <v>45230</v>
      </c>
      <c r="K141" s="19" t="s">
        <v>20</v>
      </c>
      <c r="L141" s="19" t="s">
        <v>21</v>
      </c>
      <c r="M141" s="73">
        <v>45271</v>
      </c>
      <c r="N141" s="6" t="s">
        <v>964</v>
      </c>
      <c r="O141" s="72" t="s">
        <v>58</v>
      </c>
      <c r="P141" s="184" t="s">
        <v>152</v>
      </c>
      <c r="Q141" s="184"/>
      <c r="R141" s="6" t="s">
        <v>965</v>
      </c>
      <c r="S141" s="6" t="s">
        <v>284</v>
      </c>
      <c r="T141" s="6" t="s">
        <v>285</v>
      </c>
      <c r="U141" s="75">
        <v>46058</v>
      </c>
      <c r="V141" s="75">
        <v>46086</v>
      </c>
      <c r="W141" s="13">
        <f t="shared" ca="1" si="0"/>
        <v>1</v>
      </c>
      <c r="X141" s="6" t="str">
        <f t="shared" ca="1" si="1"/>
        <v>Por Vencer</v>
      </c>
      <c r="Y141" s="184"/>
    </row>
    <row r="142" spans="1:25" ht="65.25" hidden="1" customHeight="1">
      <c r="A142" s="64" t="s">
        <v>59</v>
      </c>
      <c r="B142" s="6" t="s">
        <v>966</v>
      </c>
      <c r="C142" s="62">
        <v>19302563</v>
      </c>
      <c r="D142" s="115">
        <v>3</v>
      </c>
      <c r="E142" s="19" t="e">
        <f ca="1">DATEDIF(#REF!,TODAY(),"Y")</f>
        <v>#REF!</v>
      </c>
      <c r="F142" s="19" t="s">
        <v>64</v>
      </c>
      <c r="G142" s="64" t="s">
        <v>967</v>
      </c>
      <c r="H142" s="6" t="s">
        <v>335</v>
      </c>
      <c r="I142" s="80">
        <v>2019</v>
      </c>
      <c r="J142" s="81">
        <v>43579</v>
      </c>
      <c r="K142" s="80" t="s">
        <v>20</v>
      </c>
      <c r="L142" s="19" t="s">
        <v>21</v>
      </c>
      <c r="M142" s="81">
        <v>43923</v>
      </c>
      <c r="N142" s="6" t="s">
        <v>430</v>
      </c>
      <c r="O142" s="72" t="s">
        <v>58</v>
      </c>
      <c r="P142" s="64" t="s">
        <v>152</v>
      </c>
      <c r="Q142" s="64"/>
      <c r="R142" s="121" t="s">
        <v>968</v>
      </c>
      <c r="S142" s="6" t="s">
        <v>574</v>
      </c>
      <c r="T142" s="6" t="s">
        <v>294</v>
      </c>
      <c r="U142" s="75">
        <v>45785</v>
      </c>
      <c r="V142" s="90">
        <v>46089</v>
      </c>
      <c r="W142" s="13">
        <f t="shared" ca="1" si="0"/>
        <v>4</v>
      </c>
      <c r="X142" s="6" t="str">
        <f t="shared" ca="1" si="1"/>
        <v>Por Vencer</v>
      </c>
      <c r="Y142" s="6"/>
    </row>
    <row r="143" spans="1:25" s="37" customFormat="1" ht="65.25" hidden="1" customHeight="1">
      <c r="A143" s="6" t="s">
        <v>184</v>
      </c>
      <c r="B143" s="6" t="s">
        <v>969</v>
      </c>
      <c r="C143" s="53">
        <v>7320060</v>
      </c>
      <c r="D143" s="18">
        <v>1</v>
      </c>
      <c r="E143" s="6">
        <v>69</v>
      </c>
      <c r="F143" s="19" t="s">
        <v>18</v>
      </c>
      <c r="G143" s="19" t="s">
        <v>502</v>
      </c>
      <c r="H143" s="19" t="s">
        <v>335</v>
      </c>
      <c r="I143" s="19">
        <v>2024</v>
      </c>
      <c r="J143" s="73">
        <v>45624</v>
      </c>
      <c r="K143" s="19" t="s">
        <v>62</v>
      </c>
      <c r="L143" s="19" t="s">
        <v>168</v>
      </c>
      <c r="M143" s="75">
        <v>45698</v>
      </c>
      <c r="N143" s="19" t="s">
        <v>970</v>
      </c>
      <c r="O143" s="79" t="s">
        <v>34</v>
      </c>
      <c r="P143" s="184" t="s">
        <v>152</v>
      </c>
      <c r="Q143" s="6"/>
      <c r="R143" s="184" t="s">
        <v>955</v>
      </c>
      <c r="S143" s="6" t="s">
        <v>284</v>
      </c>
      <c r="T143" s="184" t="s">
        <v>277</v>
      </c>
      <c r="U143" s="75">
        <v>45902</v>
      </c>
      <c r="V143" s="75">
        <v>45932</v>
      </c>
      <c r="W143" s="13">
        <f t="shared" ca="1" si="0"/>
        <v>-153</v>
      </c>
      <c r="X143" s="6" t="str">
        <f t="shared" ca="1" si="1"/>
        <v>Vencido</v>
      </c>
      <c r="Y143" s="6"/>
    </row>
    <row r="144" spans="1:25" s="37" customFormat="1" ht="65.25" hidden="1" customHeight="1">
      <c r="A144" s="13" t="s">
        <v>184</v>
      </c>
      <c r="B144" s="13" t="s">
        <v>971</v>
      </c>
      <c r="C144" s="51">
        <v>10519493</v>
      </c>
      <c r="D144" s="113">
        <v>5</v>
      </c>
      <c r="E144" s="27" t="e">
        <f ca="1">DATEDIF(#REF!,TODAY(),"Y")</f>
        <v>#REF!</v>
      </c>
      <c r="F144" s="27" t="s">
        <v>18</v>
      </c>
      <c r="G144" s="27" t="s">
        <v>19</v>
      </c>
      <c r="H144" s="13" t="s">
        <v>335</v>
      </c>
      <c r="I144" s="27">
        <v>2023</v>
      </c>
      <c r="J144" s="71">
        <v>45274</v>
      </c>
      <c r="K144" s="27" t="s">
        <v>49</v>
      </c>
      <c r="L144" s="27" t="s">
        <v>32</v>
      </c>
      <c r="M144" s="71">
        <v>45516</v>
      </c>
      <c r="N144" s="13" t="s">
        <v>972</v>
      </c>
      <c r="O144" s="79" t="s">
        <v>34</v>
      </c>
      <c r="P144" s="13" t="s">
        <v>152</v>
      </c>
      <c r="Q144" s="13"/>
      <c r="R144" s="185" t="s">
        <v>973</v>
      </c>
      <c r="S144" s="13" t="s">
        <v>284</v>
      </c>
      <c r="T144" s="185" t="s">
        <v>277</v>
      </c>
      <c r="U144" s="85">
        <v>45902</v>
      </c>
      <c r="V144" s="85">
        <v>45932</v>
      </c>
      <c r="W144" s="13">
        <f t="shared" ca="1" si="0"/>
        <v>-153</v>
      </c>
      <c r="X144" s="13" t="str">
        <f t="shared" ca="1" si="1"/>
        <v>Vencido</v>
      </c>
      <c r="Y144" s="13"/>
    </row>
    <row r="145" spans="1:25" s="37" customFormat="1" ht="65.25" hidden="1" customHeight="1">
      <c r="A145" s="13" t="s">
        <v>59</v>
      </c>
      <c r="B145" s="13" t="s">
        <v>974</v>
      </c>
      <c r="C145" s="51">
        <v>6561865</v>
      </c>
      <c r="D145" s="113">
        <v>6</v>
      </c>
      <c r="E145" s="27" t="e">
        <f ca="1">DATEDIF(#REF!,TODAY(),"Y")</f>
        <v>#REF!</v>
      </c>
      <c r="F145" s="27" t="s">
        <v>26</v>
      </c>
      <c r="G145" s="27" t="s">
        <v>107</v>
      </c>
      <c r="H145" s="13" t="s">
        <v>335</v>
      </c>
      <c r="I145" s="27" t="s">
        <v>174</v>
      </c>
      <c r="J145" s="27" t="s">
        <v>178</v>
      </c>
      <c r="K145" s="27" t="s">
        <v>20</v>
      </c>
      <c r="L145" s="27" t="s">
        <v>32</v>
      </c>
      <c r="M145" s="71">
        <v>45124</v>
      </c>
      <c r="N145" s="13" t="s">
        <v>802</v>
      </c>
      <c r="O145" s="79" t="s">
        <v>34</v>
      </c>
      <c r="P145" s="13" t="s">
        <v>149</v>
      </c>
      <c r="Q145" s="13"/>
      <c r="R145" s="13" t="s">
        <v>975</v>
      </c>
      <c r="S145" s="13"/>
      <c r="T145" s="13"/>
      <c r="U145" s="13"/>
      <c r="V145" s="85"/>
      <c r="W145" s="13">
        <f t="shared" ca="1" si="0"/>
        <v>-46085</v>
      </c>
      <c r="X145" s="13" t="str">
        <f t="shared" ca="1" si="1"/>
        <v>Vencido</v>
      </c>
      <c r="Y145" s="13" t="s">
        <v>307</v>
      </c>
    </row>
    <row r="146" spans="1:25" s="37" customFormat="1" ht="65.25" hidden="1" customHeight="1">
      <c r="A146" s="13" t="s">
        <v>184</v>
      </c>
      <c r="B146" s="13" t="s">
        <v>976</v>
      </c>
      <c r="C146" s="51">
        <v>10267116</v>
      </c>
      <c r="D146" s="113">
        <v>3</v>
      </c>
      <c r="E146" s="27" t="e">
        <f ca="1">DATEDIF(#REF!,TODAY(),"Y")</f>
        <v>#REF!</v>
      </c>
      <c r="F146" s="27" t="s">
        <v>18</v>
      </c>
      <c r="G146" s="27" t="s">
        <v>68</v>
      </c>
      <c r="H146" s="13" t="s">
        <v>335</v>
      </c>
      <c r="I146" s="27">
        <v>2023</v>
      </c>
      <c r="J146" s="71">
        <v>44987</v>
      </c>
      <c r="K146" s="27" t="s">
        <v>20</v>
      </c>
      <c r="L146" s="27" t="s">
        <v>32</v>
      </c>
      <c r="M146" s="71">
        <v>45840</v>
      </c>
      <c r="N146" s="13" t="s">
        <v>977</v>
      </c>
      <c r="O146" s="79" t="s">
        <v>34</v>
      </c>
      <c r="P146" s="13" t="s">
        <v>152</v>
      </c>
      <c r="Q146" s="13"/>
      <c r="R146" s="13" t="s">
        <v>978</v>
      </c>
      <c r="S146" s="13" t="s">
        <v>284</v>
      </c>
      <c r="T146" s="13" t="s">
        <v>277</v>
      </c>
      <c r="U146" s="85">
        <v>45869</v>
      </c>
      <c r="V146" s="85">
        <v>45961</v>
      </c>
      <c r="W146" s="13">
        <f t="shared" ca="1" si="0"/>
        <v>-124</v>
      </c>
      <c r="X146" s="13" t="str">
        <f t="shared" ca="1" si="1"/>
        <v>Vencido</v>
      </c>
      <c r="Y146" s="13"/>
    </row>
    <row r="147" spans="1:25" ht="65.25" hidden="1" customHeight="1">
      <c r="A147" s="6" t="s">
        <v>184</v>
      </c>
      <c r="B147" s="6" t="s">
        <v>979</v>
      </c>
      <c r="C147" s="53">
        <v>6106797</v>
      </c>
      <c r="D147" s="18">
        <v>3</v>
      </c>
      <c r="E147" s="19" t="e">
        <f ca="1">DATEDIF(#REF!,TODAY(),"Y")</f>
        <v>#REF!</v>
      </c>
      <c r="F147" s="19" t="s">
        <v>18</v>
      </c>
      <c r="G147" s="6" t="s">
        <v>19</v>
      </c>
      <c r="H147" s="6" t="s">
        <v>335</v>
      </c>
      <c r="I147" s="19">
        <v>2023</v>
      </c>
      <c r="J147" s="73">
        <v>45028</v>
      </c>
      <c r="K147" s="19" t="s">
        <v>20</v>
      </c>
      <c r="L147" s="19" t="s">
        <v>21</v>
      </c>
      <c r="M147" s="73">
        <v>45510</v>
      </c>
      <c r="N147" s="6" t="s">
        <v>980</v>
      </c>
      <c r="O147" s="72" t="s">
        <v>58</v>
      </c>
      <c r="P147" s="6" t="s">
        <v>152</v>
      </c>
      <c r="Q147" s="184"/>
      <c r="R147" s="6" t="s">
        <v>981</v>
      </c>
      <c r="S147" s="75" t="s">
        <v>284</v>
      </c>
      <c r="T147" s="6" t="s">
        <v>428</v>
      </c>
      <c r="U147" s="75">
        <v>46027</v>
      </c>
      <c r="V147" s="75">
        <v>46058</v>
      </c>
      <c r="W147" s="13">
        <f t="shared" ca="1" si="0"/>
        <v>-27</v>
      </c>
      <c r="X147" s="6" t="str">
        <f t="shared" ca="1" si="1"/>
        <v>Vencido</v>
      </c>
      <c r="Y147" s="184"/>
    </row>
    <row r="148" spans="1:25" s="37" customFormat="1" ht="65.25" hidden="1" customHeight="1">
      <c r="A148" s="13" t="s">
        <v>184</v>
      </c>
      <c r="B148" s="13" t="s">
        <v>982</v>
      </c>
      <c r="C148" s="51">
        <v>8521983</v>
      </c>
      <c r="D148" s="113">
        <v>9</v>
      </c>
      <c r="E148" s="27" t="e">
        <f ca="1">DATEDIF(#REF!,TODAY(),"Y")</f>
        <v>#REF!</v>
      </c>
      <c r="F148" s="27" t="s">
        <v>18</v>
      </c>
      <c r="G148" s="27" t="s">
        <v>68</v>
      </c>
      <c r="H148" s="13" t="s">
        <v>335</v>
      </c>
      <c r="I148" s="27">
        <v>2016</v>
      </c>
      <c r="J148" s="71">
        <v>42626</v>
      </c>
      <c r="K148" s="27" t="s">
        <v>62</v>
      </c>
      <c r="L148" s="27" t="s">
        <v>452</v>
      </c>
      <c r="M148" s="27" t="s">
        <v>871</v>
      </c>
      <c r="N148" s="13" t="s">
        <v>983</v>
      </c>
      <c r="O148" s="183" t="s">
        <v>58</v>
      </c>
      <c r="P148" s="13" t="s">
        <v>152</v>
      </c>
      <c r="Q148" s="13"/>
      <c r="R148" s="185" t="s">
        <v>984</v>
      </c>
      <c r="S148" s="13" t="s">
        <v>284</v>
      </c>
      <c r="T148" s="185" t="s">
        <v>285</v>
      </c>
      <c r="U148" s="85">
        <v>45978</v>
      </c>
      <c r="V148" s="85">
        <v>46039</v>
      </c>
      <c r="W148" s="13">
        <f t="shared" ca="1" si="0"/>
        <v>-46</v>
      </c>
      <c r="X148" s="13" t="str">
        <f t="shared" ca="1" si="1"/>
        <v>Vencido</v>
      </c>
      <c r="Y148" s="13"/>
    </row>
    <row r="149" spans="1:25" ht="65.25" hidden="1" customHeight="1">
      <c r="A149" s="6" t="s">
        <v>184</v>
      </c>
      <c r="B149" s="6" t="s">
        <v>985</v>
      </c>
      <c r="C149" s="53">
        <v>9041131</v>
      </c>
      <c r="D149" s="18">
        <v>4</v>
      </c>
      <c r="E149" s="19" t="e">
        <f ca="1">DATEDIF(#REF!,TODAY(),"Y")</f>
        <v>#REF!</v>
      </c>
      <c r="F149" s="19" t="s">
        <v>18</v>
      </c>
      <c r="G149" s="6" t="s">
        <v>19</v>
      </c>
      <c r="H149" s="13" t="s">
        <v>335</v>
      </c>
      <c r="I149" s="19">
        <v>2023</v>
      </c>
      <c r="J149" s="73">
        <v>45232</v>
      </c>
      <c r="K149" s="19" t="s">
        <v>20</v>
      </c>
      <c r="L149" s="19" t="s">
        <v>269</v>
      </c>
      <c r="M149" s="73">
        <v>45810</v>
      </c>
      <c r="N149" s="6" t="s">
        <v>986</v>
      </c>
      <c r="O149" s="79" t="s">
        <v>34</v>
      </c>
      <c r="P149" s="6" t="s">
        <v>152</v>
      </c>
      <c r="Q149" s="6"/>
      <c r="R149" s="6" t="s">
        <v>987</v>
      </c>
      <c r="S149" s="6" t="s">
        <v>276</v>
      </c>
      <c r="T149" s="6" t="s">
        <v>289</v>
      </c>
      <c r="U149" s="75">
        <v>45902</v>
      </c>
      <c r="V149" s="75">
        <v>45963</v>
      </c>
      <c r="W149" s="13">
        <f t="shared" ca="1" si="0"/>
        <v>-122</v>
      </c>
      <c r="X149" s="6" t="str">
        <f t="shared" ca="1" si="1"/>
        <v>Vencido</v>
      </c>
      <c r="Y149" s="6"/>
    </row>
    <row r="150" spans="1:25" ht="65.25" hidden="1" customHeight="1">
      <c r="A150" s="13" t="s">
        <v>184</v>
      </c>
      <c r="B150" s="13" t="s">
        <v>988</v>
      </c>
      <c r="C150" s="51">
        <v>10090678</v>
      </c>
      <c r="D150" s="113">
        <v>3</v>
      </c>
      <c r="E150" s="27" t="e">
        <f ca="1">DATEDIF(#REF!,TODAY(),"Y")</f>
        <v>#REF!</v>
      </c>
      <c r="F150" s="27" t="s">
        <v>37</v>
      </c>
      <c r="G150" s="27" t="s">
        <v>68</v>
      </c>
      <c r="H150" s="13" t="s">
        <v>335</v>
      </c>
      <c r="I150" s="27">
        <v>2023</v>
      </c>
      <c r="J150" s="71">
        <v>45247</v>
      </c>
      <c r="K150" s="27" t="s">
        <v>62</v>
      </c>
      <c r="L150" s="27" t="s">
        <v>21</v>
      </c>
      <c r="M150" s="71">
        <v>45271</v>
      </c>
      <c r="N150" s="13" t="s">
        <v>961</v>
      </c>
      <c r="O150" s="72" t="s">
        <v>58</v>
      </c>
      <c r="P150" s="13" t="s">
        <v>152</v>
      </c>
      <c r="Q150" s="13"/>
      <c r="R150" s="13" t="s">
        <v>989</v>
      </c>
      <c r="S150" s="13" t="s">
        <v>647</v>
      </c>
      <c r="T150" s="13" t="s">
        <v>428</v>
      </c>
      <c r="U150" s="85">
        <v>45887</v>
      </c>
      <c r="V150" s="85">
        <v>46099</v>
      </c>
      <c r="W150" s="13">
        <f t="shared" ca="1" si="0"/>
        <v>14</v>
      </c>
      <c r="X150" s="13" t="str">
        <f t="shared" ca="1" si="1"/>
        <v>Por Vencer</v>
      </c>
      <c r="Y150" s="13"/>
    </row>
    <row r="151" spans="1:25" s="37" customFormat="1" ht="81.75" hidden="1" customHeight="1">
      <c r="A151" s="13" t="s">
        <v>184</v>
      </c>
      <c r="B151" s="13" t="s">
        <v>990</v>
      </c>
      <c r="C151" s="51">
        <v>5119510</v>
      </c>
      <c r="D151" s="113">
        <v>8</v>
      </c>
      <c r="E151" s="13">
        <v>74</v>
      </c>
      <c r="F151" s="27" t="s">
        <v>26</v>
      </c>
      <c r="G151" s="27" t="s">
        <v>141</v>
      </c>
      <c r="H151" s="27" t="s">
        <v>335</v>
      </c>
      <c r="I151" s="27">
        <v>2024</v>
      </c>
      <c r="J151" s="71">
        <v>45997</v>
      </c>
      <c r="K151" s="27" t="s">
        <v>62</v>
      </c>
      <c r="L151" s="27" t="s">
        <v>452</v>
      </c>
      <c r="M151" s="85" t="s">
        <v>991</v>
      </c>
      <c r="N151" s="27" t="s">
        <v>992</v>
      </c>
      <c r="O151" s="72" t="s">
        <v>58</v>
      </c>
      <c r="P151" s="13" t="s">
        <v>149</v>
      </c>
      <c r="Q151" s="13"/>
      <c r="R151" s="13" t="s">
        <v>993</v>
      </c>
      <c r="S151" s="13" t="s">
        <v>284</v>
      </c>
      <c r="T151" s="13" t="s">
        <v>428</v>
      </c>
      <c r="U151" s="85">
        <v>45957</v>
      </c>
      <c r="V151" s="85">
        <v>45988</v>
      </c>
      <c r="W151" s="13">
        <f t="shared" ca="1" si="0"/>
        <v>-97</v>
      </c>
      <c r="X151" s="13" t="str">
        <f t="shared" ca="1" si="1"/>
        <v>Vencido</v>
      </c>
      <c r="Y151" s="13"/>
    </row>
    <row r="152" spans="1:25" ht="65.25" hidden="1" customHeight="1">
      <c r="A152" s="6" t="s">
        <v>184</v>
      </c>
      <c r="B152" s="184" t="s">
        <v>994</v>
      </c>
      <c r="C152" s="98">
        <v>11932992</v>
      </c>
      <c r="D152" s="18">
        <v>2</v>
      </c>
      <c r="E152" s="69">
        <v>53</v>
      </c>
      <c r="F152" s="19" t="s">
        <v>64</v>
      </c>
      <c r="G152" s="19" t="s">
        <v>19</v>
      </c>
      <c r="H152" s="6" t="s">
        <v>335</v>
      </c>
      <c r="I152" s="19">
        <v>2023</v>
      </c>
      <c r="J152" s="73">
        <v>44936</v>
      </c>
      <c r="K152" s="19" t="s">
        <v>62</v>
      </c>
      <c r="L152" s="19" t="s">
        <v>156</v>
      </c>
      <c r="M152" s="73">
        <v>44998</v>
      </c>
      <c r="N152" s="6" t="s">
        <v>444</v>
      </c>
      <c r="O152" s="72" t="s">
        <v>58</v>
      </c>
      <c r="P152" s="6" t="s">
        <v>152</v>
      </c>
      <c r="Q152" s="184"/>
      <c r="R152" s="185" t="s">
        <v>995</v>
      </c>
      <c r="S152" s="6" t="s">
        <v>288</v>
      </c>
      <c r="T152" s="184" t="s">
        <v>473</v>
      </c>
      <c r="U152" s="75">
        <v>45915</v>
      </c>
      <c r="V152" s="75">
        <v>46037</v>
      </c>
      <c r="W152" s="13">
        <f t="shared" ca="1" si="0"/>
        <v>-48</v>
      </c>
      <c r="X152" s="6" t="str">
        <f t="shared" ca="1" si="1"/>
        <v>Vencido</v>
      </c>
      <c r="Y152" s="6"/>
    </row>
    <row r="153" spans="1:25" ht="65.25" hidden="1" customHeight="1">
      <c r="A153" s="13" t="s">
        <v>184</v>
      </c>
      <c r="B153" s="13" t="s">
        <v>996</v>
      </c>
      <c r="C153" s="51">
        <v>12031374</v>
      </c>
      <c r="D153" s="113">
        <v>6</v>
      </c>
      <c r="E153" s="27" t="e">
        <f ca="1">DATEDIF(#REF!,TODAY(),"Y")</f>
        <v>#REF!</v>
      </c>
      <c r="F153" s="27" t="s">
        <v>18</v>
      </c>
      <c r="G153" s="13" t="s">
        <v>68</v>
      </c>
      <c r="H153" s="13" t="s">
        <v>335</v>
      </c>
      <c r="I153" s="27">
        <v>2022</v>
      </c>
      <c r="J153" s="71">
        <v>44782</v>
      </c>
      <c r="K153" s="27" t="s">
        <v>20</v>
      </c>
      <c r="L153" s="27" t="s">
        <v>21</v>
      </c>
      <c r="M153" s="71">
        <v>45488</v>
      </c>
      <c r="N153" s="13" t="s">
        <v>762</v>
      </c>
      <c r="O153" s="79" t="s">
        <v>34</v>
      </c>
      <c r="P153" s="13" t="s">
        <v>152</v>
      </c>
      <c r="Q153" s="13"/>
      <c r="R153" s="13" t="s">
        <v>997</v>
      </c>
      <c r="S153" s="13" t="s">
        <v>276</v>
      </c>
      <c r="T153" s="13" t="s">
        <v>289</v>
      </c>
      <c r="U153" s="85">
        <v>45902</v>
      </c>
      <c r="V153" s="85">
        <v>45963</v>
      </c>
      <c r="W153" s="13">
        <f t="shared" ca="1" si="0"/>
        <v>-122</v>
      </c>
      <c r="X153" s="13" t="str">
        <f t="shared" ca="1" si="1"/>
        <v>Vencido</v>
      </c>
      <c r="Y153" s="13"/>
    </row>
    <row r="154" spans="1:25" ht="65.25" hidden="1" customHeight="1">
      <c r="A154" s="6" t="s">
        <v>184</v>
      </c>
      <c r="B154" s="6" t="s">
        <v>998</v>
      </c>
      <c r="C154" s="53">
        <v>7163720</v>
      </c>
      <c r="D154" s="18">
        <v>4</v>
      </c>
      <c r="E154" s="19" t="e">
        <f ca="1">DATEDIF(#REF!,TODAY(),"Y")</f>
        <v>#REF!</v>
      </c>
      <c r="F154" s="19" t="s">
        <v>18</v>
      </c>
      <c r="G154" s="6" t="s">
        <v>19</v>
      </c>
      <c r="H154" s="6" t="s">
        <v>335</v>
      </c>
      <c r="I154" s="19">
        <v>2023</v>
      </c>
      <c r="J154" s="73">
        <v>45049</v>
      </c>
      <c r="K154" s="19" t="s">
        <v>20</v>
      </c>
      <c r="L154" s="19" t="s">
        <v>32</v>
      </c>
      <c r="M154" s="73">
        <v>45588</v>
      </c>
      <c r="N154" s="6" t="s">
        <v>999</v>
      </c>
      <c r="O154" s="79" t="s">
        <v>34</v>
      </c>
      <c r="P154" s="6" t="s">
        <v>152</v>
      </c>
      <c r="Q154" s="6"/>
      <c r="R154" s="13" t="s">
        <v>1000</v>
      </c>
      <c r="S154" s="6" t="s">
        <v>276</v>
      </c>
      <c r="T154" s="6" t="s">
        <v>289</v>
      </c>
      <c r="U154" s="75">
        <v>45736</v>
      </c>
      <c r="V154" s="75">
        <v>45797</v>
      </c>
      <c r="W154" s="13">
        <f t="shared" ca="1" si="0"/>
        <v>-288</v>
      </c>
      <c r="X154" s="6" t="str">
        <f t="shared" ca="1" si="1"/>
        <v>Vencido</v>
      </c>
      <c r="Y154" s="6"/>
    </row>
    <row r="155" spans="1:25" ht="65.25" hidden="1" customHeight="1">
      <c r="A155" s="6" t="s">
        <v>184</v>
      </c>
      <c r="B155" s="6" t="s">
        <v>1001</v>
      </c>
      <c r="C155" s="53">
        <v>13179566</v>
      </c>
      <c r="D155" s="18">
        <v>1</v>
      </c>
      <c r="E155" s="69">
        <v>45.950684931506899</v>
      </c>
      <c r="F155" s="19" t="s">
        <v>18</v>
      </c>
      <c r="G155" s="6" t="s">
        <v>19</v>
      </c>
      <c r="H155" s="6" t="s">
        <v>335</v>
      </c>
      <c r="I155" s="19">
        <v>2022</v>
      </c>
      <c r="J155" s="73">
        <v>44734</v>
      </c>
      <c r="K155" s="19" t="s">
        <v>20</v>
      </c>
      <c r="L155" s="19" t="s">
        <v>21</v>
      </c>
      <c r="M155" s="73">
        <v>44809</v>
      </c>
      <c r="N155" s="6" t="s">
        <v>444</v>
      </c>
      <c r="O155" s="72" t="s">
        <v>58</v>
      </c>
      <c r="P155" s="6" t="s">
        <v>152</v>
      </c>
      <c r="Q155" s="6"/>
      <c r="R155" s="13" t="s">
        <v>1002</v>
      </c>
      <c r="S155" s="6" t="s">
        <v>433</v>
      </c>
      <c r="T155" s="6" t="s">
        <v>294</v>
      </c>
      <c r="U155" s="75">
        <v>45880</v>
      </c>
      <c r="V155" s="75">
        <v>46245</v>
      </c>
      <c r="W155" s="13">
        <f t="shared" ca="1" si="0"/>
        <v>160</v>
      </c>
      <c r="X155" s="6" t="str">
        <f t="shared" ca="1" si="1"/>
        <v>Vigente</v>
      </c>
      <c r="Y155" s="6"/>
    </row>
    <row r="156" spans="1:25" ht="65.25" hidden="1" customHeight="1">
      <c r="A156" s="6" t="s">
        <v>184</v>
      </c>
      <c r="B156" s="184" t="s">
        <v>1003</v>
      </c>
      <c r="C156" s="53">
        <v>5773843</v>
      </c>
      <c r="D156" s="18" t="s">
        <v>129</v>
      </c>
      <c r="E156" s="19" t="e">
        <f ca="1">DATEDIF(#REF!,TODAY(),"Y")</f>
        <v>#REF!</v>
      </c>
      <c r="F156" s="19" t="s">
        <v>250</v>
      </c>
      <c r="G156" s="6" t="s">
        <v>19</v>
      </c>
      <c r="H156" s="6" t="s">
        <v>335</v>
      </c>
      <c r="I156" s="19">
        <v>2023</v>
      </c>
      <c r="J156" s="73">
        <v>44977</v>
      </c>
      <c r="K156" s="19" t="s">
        <v>20</v>
      </c>
      <c r="L156" s="19" t="s">
        <v>21</v>
      </c>
      <c r="M156" s="73">
        <v>45152</v>
      </c>
      <c r="N156" s="6" t="s">
        <v>430</v>
      </c>
      <c r="O156" s="72" t="s">
        <v>58</v>
      </c>
      <c r="P156" s="6" t="s">
        <v>152</v>
      </c>
      <c r="Q156" s="184" t="s">
        <v>480</v>
      </c>
      <c r="R156" s="13" t="s">
        <v>1004</v>
      </c>
      <c r="S156" s="6" t="s">
        <v>433</v>
      </c>
      <c r="T156" s="6" t="s">
        <v>294</v>
      </c>
      <c r="U156" s="75">
        <v>45517</v>
      </c>
      <c r="V156" s="75">
        <v>45882</v>
      </c>
      <c r="W156" s="13">
        <f t="shared" ca="1" si="0"/>
        <v>-203</v>
      </c>
      <c r="X156" s="6" t="str">
        <f t="shared" ca="1" si="1"/>
        <v>Vencido</v>
      </c>
      <c r="Y156" s="184" t="s">
        <v>622</v>
      </c>
    </row>
    <row r="157" spans="1:25" ht="65.25" hidden="1" customHeight="1">
      <c r="A157" s="6" t="s">
        <v>184</v>
      </c>
      <c r="B157" s="6" t="s">
        <v>1005</v>
      </c>
      <c r="C157" s="53">
        <v>10449691</v>
      </c>
      <c r="D157" s="18">
        <v>1</v>
      </c>
      <c r="E157" s="19" t="e">
        <f ca="1">DATEDIF(#REF!,TODAY(),"Y")</f>
        <v>#REF!</v>
      </c>
      <c r="F157" s="19" t="s">
        <v>18</v>
      </c>
      <c r="G157" s="6" t="s">
        <v>19</v>
      </c>
      <c r="H157" s="6" t="s">
        <v>335</v>
      </c>
      <c r="I157" s="19">
        <v>2021</v>
      </c>
      <c r="J157" s="73">
        <v>44357</v>
      </c>
      <c r="K157" s="19" t="s">
        <v>20</v>
      </c>
      <c r="L157" s="19" t="s">
        <v>21</v>
      </c>
      <c r="M157" s="73">
        <v>44662</v>
      </c>
      <c r="N157" s="6" t="s">
        <v>291</v>
      </c>
      <c r="O157" s="72" t="s">
        <v>58</v>
      </c>
      <c r="P157" s="6" t="s">
        <v>152</v>
      </c>
      <c r="Q157" s="6"/>
      <c r="R157" s="13" t="s">
        <v>1006</v>
      </c>
      <c r="S157" s="6" t="s">
        <v>574</v>
      </c>
      <c r="T157" s="6" t="s">
        <v>294</v>
      </c>
      <c r="U157" s="75">
        <v>45971</v>
      </c>
      <c r="V157" s="75">
        <v>46275</v>
      </c>
      <c r="W157" s="13">
        <f t="shared" ca="1" si="0"/>
        <v>190</v>
      </c>
      <c r="X157" s="6" t="str">
        <f t="shared" ca="1" si="1"/>
        <v>Vigente</v>
      </c>
      <c r="Y157" s="6"/>
    </row>
    <row r="158" spans="1:25" ht="65.25" hidden="1" customHeight="1">
      <c r="A158" s="6" t="s">
        <v>184</v>
      </c>
      <c r="B158" s="6" t="s">
        <v>1007</v>
      </c>
      <c r="C158" s="53">
        <v>7057633</v>
      </c>
      <c r="D158" s="18">
        <v>3</v>
      </c>
      <c r="E158" s="6">
        <v>74</v>
      </c>
      <c r="F158" s="19" t="s">
        <v>18</v>
      </c>
      <c r="G158" s="19" t="s">
        <v>1008</v>
      </c>
      <c r="H158" s="19" t="s">
        <v>315</v>
      </c>
      <c r="I158" s="45">
        <v>2025</v>
      </c>
      <c r="J158" s="73">
        <v>45840</v>
      </c>
      <c r="K158" s="19" t="s">
        <v>62</v>
      </c>
      <c r="L158" s="19" t="s">
        <v>452</v>
      </c>
      <c r="M158" s="75">
        <v>45824</v>
      </c>
      <c r="N158" s="19" t="s">
        <v>1009</v>
      </c>
      <c r="O158" s="79" t="s">
        <v>34</v>
      </c>
      <c r="P158" s="6" t="s">
        <v>152</v>
      </c>
      <c r="Q158" s="6"/>
      <c r="R158" s="189" t="s">
        <v>1010</v>
      </c>
      <c r="S158" s="6" t="s">
        <v>284</v>
      </c>
      <c r="T158" s="6" t="s">
        <v>285</v>
      </c>
      <c r="U158" s="75">
        <v>45826</v>
      </c>
      <c r="V158" s="75">
        <v>45856</v>
      </c>
      <c r="W158" s="13">
        <f t="shared" ca="1" si="0"/>
        <v>-229</v>
      </c>
      <c r="X158" s="6" t="str">
        <f t="shared" ca="1" si="1"/>
        <v>Vencido</v>
      </c>
      <c r="Y158" s="6"/>
    </row>
    <row r="159" spans="1:25" ht="65.25" hidden="1" customHeight="1">
      <c r="A159" s="6" t="s">
        <v>184</v>
      </c>
      <c r="B159" s="6" t="s">
        <v>1011</v>
      </c>
      <c r="C159" s="53">
        <v>7347202</v>
      </c>
      <c r="D159" s="18">
        <v>4</v>
      </c>
      <c r="E159" s="19" t="e">
        <f ca="1">DATEDIF(#REF!,TODAY(),"Y")</f>
        <v>#REF!</v>
      </c>
      <c r="F159" s="19" t="s">
        <v>18</v>
      </c>
      <c r="G159" s="6" t="s">
        <v>19</v>
      </c>
      <c r="H159" s="6" t="s">
        <v>335</v>
      </c>
      <c r="I159" s="19">
        <v>2021</v>
      </c>
      <c r="J159" s="73">
        <v>44525</v>
      </c>
      <c r="K159" s="19" t="s">
        <v>20</v>
      </c>
      <c r="L159" s="19" t="s">
        <v>21</v>
      </c>
      <c r="M159" s="73">
        <v>45097</v>
      </c>
      <c r="N159" s="6" t="s">
        <v>444</v>
      </c>
      <c r="O159" s="72" t="s">
        <v>58</v>
      </c>
      <c r="P159" s="6" t="s">
        <v>152</v>
      </c>
      <c r="Q159" s="184" t="s">
        <v>597</v>
      </c>
      <c r="R159" s="13" t="s">
        <v>1012</v>
      </c>
      <c r="S159" s="6" t="s">
        <v>288</v>
      </c>
      <c r="T159" s="6" t="s">
        <v>294</v>
      </c>
      <c r="U159" s="75">
        <v>45694</v>
      </c>
      <c r="V159" s="75">
        <v>45783</v>
      </c>
      <c r="W159" s="13">
        <f t="shared" ca="1" si="0"/>
        <v>-302</v>
      </c>
      <c r="X159" s="6" t="str">
        <f t="shared" ca="1" si="1"/>
        <v>Vencido</v>
      </c>
      <c r="Y159" s="6"/>
    </row>
    <row r="160" spans="1:25" s="37" customFormat="1" ht="65.25" hidden="1" customHeight="1">
      <c r="A160" s="6" t="s">
        <v>184</v>
      </c>
      <c r="B160" s="6" t="s">
        <v>1013</v>
      </c>
      <c r="C160" s="53">
        <v>9781696</v>
      </c>
      <c r="D160" s="18">
        <v>4</v>
      </c>
      <c r="E160" s="6">
        <v>63</v>
      </c>
      <c r="F160" s="19" t="s">
        <v>18</v>
      </c>
      <c r="G160" s="19" t="s">
        <v>19</v>
      </c>
      <c r="H160" s="19" t="s">
        <v>315</v>
      </c>
      <c r="I160" s="19">
        <v>2024</v>
      </c>
      <c r="J160" s="73">
        <v>45632</v>
      </c>
      <c r="K160" s="19" t="s">
        <v>62</v>
      </c>
      <c r="L160" s="19" t="s">
        <v>156</v>
      </c>
      <c r="M160" s="75">
        <v>45698</v>
      </c>
      <c r="N160" s="19" t="s">
        <v>762</v>
      </c>
      <c r="O160" s="72" t="s">
        <v>58</v>
      </c>
      <c r="P160" s="6"/>
      <c r="Q160" s="6" t="s">
        <v>1014</v>
      </c>
      <c r="R160" s="6" t="s">
        <v>1015</v>
      </c>
      <c r="S160" s="6" t="s">
        <v>647</v>
      </c>
      <c r="T160" s="6" t="s">
        <v>285</v>
      </c>
      <c r="U160" s="75">
        <v>45699</v>
      </c>
      <c r="V160" s="75">
        <v>45941</v>
      </c>
      <c r="W160" s="13">
        <f t="shared" ca="1" si="0"/>
        <v>-144</v>
      </c>
      <c r="X160" s="6" t="str">
        <f t="shared" ca="1" si="1"/>
        <v>Vencido</v>
      </c>
      <c r="Y160" s="6"/>
    </row>
    <row r="161" spans="1:25" ht="65.25" hidden="1" customHeight="1">
      <c r="A161" s="13" t="s">
        <v>184</v>
      </c>
      <c r="B161" s="13" t="s">
        <v>1016</v>
      </c>
      <c r="C161" s="51">
        <v>15574158</v>
      </c>
      <c r="D161" s="113">
        <v>9</v>
      </c>
      <c r="E161" s="27" t="e">
        <f ca="1">DATEDIF(#REF!,TODAY(),"Y")</f>
        <v>#REF!</v>
      </c>
      <c r="F161" s="27" t="s">
        <v>64</v>
      </c>
      <c r="G161" s="27" t="s">
        <v>19</v>
      </c>
      <c r="H161" s="13" t="s">
        <v>335</v>
      </c>
      <c r="I161" s="27">
        <v>2022</v>
      </c>
      <c r="J161" s="71">
        <v>44864</v>
      </c>
      <c r="K161" s="27" t="s">
        <v>20</v>
      </c>
      <c r="L161" s="27" t="s">
        <v>168</v>
      </c>
      <c r="M161" s="71">
        <v>45792</v>
      </c>
      <c r="N161" s="13" t="s">
        <v>1017</v>
      </c>
      <c r="O161" s="79" t="s">
        <v>34</v>
      </c>
      <c r="P161" s="13" t="s">
        <v>152</v>
      </c>
      <c r="Q161" s="13"/>
      <c r="R161" s="13" t="s">
        <v>1018</v>
      </c>
      <c r="S161" s="13" t="s">
        <v>284</v>
      </c>
      <c r="T161" s="13" t="s">
        <v>289</v>
      </c>
      <c r="U161" s="85">
        <v>45943</v>
      </c>
      <c r="V161" s="85">
        <v>45972</v>
      </c>
      <c r="W161" s="13">
        <f t="shared" ca="1" si="0"/>
        <v>-113</v>
      </c>
      <c r="X161" s="13" t="str">
        <f t="shared" ca="1" si="1"/>
        <v>Vencido</v>
      </c>
      <c r="Y161" s="179"/>
    </row>
    <row r="162" spans="1:25" ht="65.25" hidden="1" customHeight="1">
      <c r="A162" s="6" t="s">
        <v>184</v>
      </c>
      <c r="B162" s="6" t="s">
        <v>1019</v>
      </c>
      <c r="C162" s="53">
        <v>8068764</v>
      </c>
      <c r="D162" s="18">
        <v>8</v>
      </c>
      <c r="E162" s="19" t="e">
        <f ca="1">DATEDIF(#REF!,TODAY(),"Y")</f>
        <v>#REF!</v>
      </c>
      <c r="F162" s="19" t="s">
        <v>18</v>
      </c>
      <c r="G162" s="6" t="s">
        <v>19</v>
      </c>
      <c r="H162" s="6" t="s">
        <v>335</v>
      </c>
      <c r="I162" s="19">
        <v>2022</v>
      </c>
      <c r="J162" s="73">
        <v>44754</v>
      </c>
      <c r="K162" s="19" t="s">
        <v>20</v>
      </c>
      <c r="L162" s="19" t="s">
        <v>21</v>
      </c>
      <c r="M162" s="73">
        <v>45181</v>
      </c>
      <c r="N162" s="6" t="s">
        <v>291</v>
      </c>
      <c r="O162" s="72" t="s">
        <v>58</v>
      </c>
      <c r="P162" s="6" t="s">
        <v>152</v>
      </c>
      <c r="Q162" s="6" t="s">
        <v>1020</v>
      </c>
      <c r="R162" s="13" t="s">
        <v>1021</v>
      </c>
      <c r="S162" s="6" t="s">
        <v>433</v>
      </c>
      <c r="T162" s="6" t="s">
        <v>473</v>
      </c>
      <c r="U162" s="75">
        <v>45546</v>
      </c>
      <c r="V162" s="75">
        <v>45911</v>
      </c>
      <c r="W162" s="13">
        <f t="shared" ca="1" si="0"/>
        <v>-174</v>
      </c>
      <c r="X162" s="6" t="str">
        <f t="shared" ca="1" si="1"/>
        <v>Vencido</v>
      </c>
      <c r="Y162" s="6" t="s">
        <v>1022</v>
      </c>
    </row>
    <row r="163" spans="1:25" ht="65.25" hidden="1" customHeight="1">
      <c r="A163" s="6" t="s">
        <v>184</v>
      </c>
      <c r="B163" s="6" t="s">
        <v>1023</v>
      </c>
      <c r="C163" s="53">
        <v>4970427</v>
      </c>
      <c r="D163" s="18">
        <v>5</v>
      </c>
      <c r="E163" s="6">
        <v>82</v>
      </c>
      <c r="F163" s="19" t="s">
        <v>18</v>
      </c>
      <c r="G163" s="19" t="s">
        <v>19</v>
      </c>
      <c r="H163" s="19" t="s">
        <v>315</v>
      </c>
      <c r="I163" s="186" t="s">
        <v>174</v>
      </c>
      <c r="J163" s="186" t="s">
        <v>178</v>
      </c>
      <c r="K163" s="19" t="s">
        <v>62</v>
      </c>
      <c r="L163" s="19" t="s">
        <v>269</v>
      </c>
      <c r="M163" s="184" t="s">
        <v>180</v>
      </c>
      <c r="N163" s="186" t="s">
        <v>180</v>
      </c>
      <c r="O163" s="72" t="s">
        <v>58</v>
      </c>
      <c r="P163" s="184" t="s">
        <v>27</v>
      </c>
      <c r="Q163" s="184" t="s">
        <v>480</v>
      </c>
      <c r="R163" s="6" t="s">
        <v>1024</v>
      </c>
      <c r="S163" s="6" t="s">
        <v>284</v>
      </c>
      <c r="T163" s="6" t="s">
        <v>285</v>
      </c>
      <c r="U163" s="75">
        <v>45607</v>
      </c>
      <c r="V163" s="75">
        <v>45637</v>
      </c>
      <c r="W163" s="13">
        <f t="shared" ca="1" si="0"/>
        <v>-448</v>
      </c>
      <c r="X163" s="6" t="str">
        <f t="shared" ca="1" si="1"/>
        <v>Vencido</v>
      </c>
      <c r="Y163" s="190" t="s">
        <v>622</v>
      </c>
    </row>
    <row r="164" spans="1:25" s="39" customFormat="1" ht="65.25" hidden="1" customHeight="1">
      <c r="A164" s="6" t="s">
        <v>184</v>
      </c>
      <c r="B164" s="6" t="s">
        <v>1025</v>
      </c>
      <c r="C164" s="53">
        <v>5773106</v>
      </c>
      <c r="D164" s="18">
        <v>0</v>
      </c>
      <c r="E164" s="19" t="e">
        <f ca="1">DATEDIF(#REF!,TODAY(),"Y")</f>
        <v>#REF!</v>
      </c>
      <c r="F164" s="19" t="s">
        <v>18</v>
      </c>
      <c r="G164" s="19" t="s">
        <v>19</v>
      </c>
      <c r="H164" s="6" t="s">
        <v>335</v>
      </c>
      <c r="I164" s="19">
        <v>2024</v>
      </c>
      <c r="J164" s="73">
        <v>45348</v>
      </c>
      <c r="K164" s="19" t="s">
        <v>62</v>
      </c>
      <c r="L164" s="19" t="s">
        <v>21</v>
      </c>
      <c r="M164" s="73">
        <v>45495</v>
      </c>
      <c r="N164" s="27" t="s">
        <v>1026</v>
      </c>
      <c r="O164" s="72" t="s">
        <v>58</v>
      </c>
      <c r="P164" s="184" t="s">
        <v>152</v>
      </c>
      <c r="Q164" s="184"/>
      <c r="R164" s="13" t="s">
        <v>1027</v>
      </c>
      <c r="S164" s="6" t="s">
        <v>276</v>
      </c>
      <c r="T164" s="6" t="s">
        <v>473</v>
      </c>
      <c r="U164" s="75">
        <v>45908</v>
      </c>
      <c r="V164" s="75">
        <v>45969</v>
      </c>
      <c r="W164" s="13">
        <f t="shared" ca="1" si="0"/>
        <v>-116</v>
      </c>
      <c r="X164" s="6" t="str">
        <f t="shared" ca="1" si="1"/>
        <v>Vencido</v>
      </c>
      <c r="Y164" s="191"/>
    </row>
    <row r="165" spans="1:25" ht="65.25" hidden="1" customHeight="1">
      <c r="A165" s="6" t="s">
        <v>184</v>
      </c>
      <c r="B165" s="6" t="s">
        <v>1028</v>
      </c>
      <c r="C165" s="53">
        <v>8797638</v>
      </c>
      <c r="D165" s="18">
        <v>6</v>
      </c>
      <c r="E165" s="6">
        <v>64</v>
      </c>
      <c r="F165" s="19" t="s">
        <v>18</v>
      </c>
      <c r="G165" s="19" t="s">
        <v>19</v>
      </c>
      <c r="H165" s="6" t="s">
        <v>335</v>
      </c>
      <c r="I165" s="19">
        <v>2024</v>
      </c>
      <c r="J165" s="73">
        <v>45530</v>
      </c>
      <c r="K165" s="19" t="s">
        <v>62</v>
      </c>
      <c r="L165" s="19" t="s">
        <v>32</v>
      </c>
      <c r="M165" s="46">
        <v>45684</v>
      </c>
      <c r="N165" s="19" t="s">
        <v>1029</v>
      </c>
      <c r="O165" s="72" t="s">
        <v>58</v>
      </c>
      <c r="P165" s="6" t="s">
        <v>152</v>
      </c>
      <c r="Q165" s="184"/>
      <c r="R165" s="184" t="s">
        <v>1030</v>
      </c>
      <c r="S165" s="184" t="s">
        <v>284</v>
      </c>
      <c r="T165" s="6" t="s">
        <v>428</v>
      </c>
      <c r="U165" s="75">
        <v>45922</v>
      </c>
      <c r="V165" s="75">
        <v>45952</v>
      </c>
      <c r="W165" s="13">
        <f t="shared" ca="1" si="0"/>
        <v>-133</v>
      </c>
      <c r="X165" s="6" t="str">
        <f t="shared" ca="1" si="1"/>
        <v>Vencido</v>
      </c>
      <c r="Y165" s="184"/>
    </row>
    <row r="166" spans="1:25" ht="65.25" hidden="1" customHeight="1">
      <c r="A166" s="6" t="s">
        <v>184</v>
      </c>
      <c r="B166" s="64" t="s">
        <v>1031</v>
      </c>
      <c r="C166" s="62">
        <v>7943759</v>
      </c>
      <c r="D166" s="115" t="s">
        <v>87</v>
      </c>
      <c r="E166" s="80">
        <v>64</v>
      </c>
      <c r="F166" s="19" t="s">
        <v>18</v>
      </c>
      <c r="G166" s="19" t="s">
        <v>19</v>
      </c>
      <c r="H166" s="6" t="s">
        <v>335</v>
      </c>
      <c r="I166" s="19">
        <v>2020</v>
      </c>
      <c r="J166" s="81">
        <v>44169</v>
      </c>
      <c r="K166" s="80" t="s">
        <v>20</v>
      </c>
      <c r="L166" s="19" t="s">
        <v>269</v>
      </c>
      <c r="M166" s="81">
        <v>45817</v>
      </c>
      <c r="N166" s="6" t="s">
        <v>1029</v>
      </c>
      <c r="O166" s="72" t="s">
        <v>58</v>
      </c>
      <c r="P166" s="6" t="s">
        <v>152</v>
      </c>
      <c r="Q166" s="6" t="s">
        <v>331</v>
      </c>
      <c r="R166" s="6" t="s">
        <v>1032</v>
      </c>
      <c r="S166" s="6" t="s">
        <v>1033</v>
      </c>
      <c r="T166" s="6" t="s">
        <v>294</v>
      </c>
      <c r="U166" s="75">
        <v>45819</v>
      </c>
      <c r="V166" s="75">
        <v>45941</v>
      </c>
      <c r="W166" s="13">
        <f t="shared" ca="1" si="0"/>
        <v>-144</v>
      </c>
      <c r="X166" s="6" t="str">
        <f t="shared" ca="1" si="1"/>
        <v>Vencido</v>
      </c>
      <c r="Y166" s="34" t="s">
        <v>1014</v>
      </c>
    </row>
    <row r="167" spans="1:25" ht="65.25" hidden="1" customHeight="1">
      <c r="A167" s="6" t="s">
        <v>184</v>
      </c>
      <c r="B167" s="6" t="s">
        <v>1034</v>
      </c>
      <c r="C167" s="116">
        <v>8131438</v>
      </c>
      <c r="D167" s="117">
        <v>1</v>
      </c>
      <c r="E167" s="118">
        <v>67</v>
      </c>
      <c r="F167" s="19" t="s">
        <v>18</v>
      </c>
      <c r="G167" s="19" t="s">
        <v>68</v>
      </c>
      <c r="H167" s="6" t="s">
        <v>335</v>
      </c>
      <c r="I167" s="19">
        <v>2020</v>
      </c>
      <c r="J167" s="119">
        <v>43866</v>
      </c>
      <c r="K167" s="118" t="s">
        <v>20</v>
      </c>
      <c r="L167" s="19" t="s">
        <v>21</v>
      </c>
      <c r="M167" s="73">
        <v>43910</v>
      </c>
      <c r="N167" s="6" t="s">
        <v>444</v>
      </c>
      <c r="O167" s="72" t="s">
        <v>58</v>
      </c>
      <c r="P167" s="6" t="s">
        <v>152</v>
      </c>
      <c r="Q167" s="6"/>
      <c r="R167" s="13" t="s">
        <v>1035</v>
      </c>
      <c r="S167" s="6" t="s">
        <v>557</v>
      </c>
      <c r="T167" s="6" t="s">
        <v>428</v>
      </c>
      <c r="U167" s="75">
        <v>45894</v>
      </c>
      <c r="V167" s="75">
        <v>46228</v>
      </c>
      <c r="W167" s="13">
        <f t="shared" ca="1" si="0"/>
        <v>143</v>
      </c>
      <c r="X167" s="6" t="str">
        <f t="shared" ca="1" si="1"/>
        <v>Vigente</v>
      </c>
    </row>
    <row r="168" spans="1:25" ht="65.25" hidden="1" customHeight="1">
      <c r="A168" s="6" t="s">
        <v>184</v>
      </c>
      <c r="B168" s="6" t="s">
        <v>1036</v>
      </c>
      <c r="C168" s="53">
        <v>7113786</v>
      </c>
      <c r="D168" s="18">
        <v>4</v>
      </c>
      <c r="E168" s="19">
        <v>68</v>
      </c>
      <c r="F168" s="19" t="s">
        <v>18</v>
      </c>
      <c r="G168" s="19" t="s">
        <v>19</v>
      </c>
      <c r="H168" s="6" t="s">
        <v>335</v>
      </c>
      <c r="I168" s="19">
        <v>2024</v>
      </c>
      <c r="J168" s="73">
        <v>45468</v>
      </c>
      <c r="K168" s="19" t="s">
        <v>62</v>
      </c>
      <c r="L168" s="19" t="s">
        <v>32</v>
      </c>
      <c r="M168" s="73">
        <v>45810</v>
      </c>
      <c r="N168" s="6" t="s">
        <v>1037</v>
      </c>
      <c r="O168" s="79" t="s">
        <v>34</v>
      </c>
      <c r="P168" s="6" t="s">
        <v>152</v>
      </c>
      <c r="Q168" s="6"/>
      <c r="R168" s="6" t="s">
        <v>1038</v>
      </c>
      <c r="S168" s="6" t="s">
        <v>284</v>
      </c>
      <c r="T168" s="6" t="s">
        <v>1039</v>
      </c>
      <c r="U168" s="75">
        <v>45841</v>
      </c>
      <c r="V168" s="75">
        <v>45872</v>
      </c>
      <c r="W168" s="13">
        <f t="shared" ca="1" si="0"/>
        <v>-213</v>
      </c>
      <c r="X168" s="6" t="str">
        <f t="shared" ca="1" si="1"/>
        <v>Vencido</v>
      </c>
      <c r="Y168" s="6"/>
    </row>
    <row r="169" spans="1:25" ht="65.25" hidden="1" customHeight="1">
      <c r="A169" s="6" t="s">
        <v>184</v>
      </c>
      <c r="B169" s="6" t="s">
        <v>1040</v>
      </c>
      <c r="C169" s="53">
        <v>15802527</v>
      </c>
      <c r="D169" s="18">
        <v>2</v>
      </c>
      <c r="E169" s="69">
        <v>38.9561643835616</v>
      </c>
      <c r="F169" s="19" t="s">
        <v>18</v>
      </c>
      <c r="G169" s="6" t="s">
        <v>19</v>
      </c>
      <c r="H169" s="6" t="s">
        <v>335</v>
      </c>
      <c r="I169" s="19">
        <v>2021</v>
      </c>
      <c r="J169" s="73">
        <v>44229</v>
      </c>
      <c r="K169" s="19" t="s">
        <v>20</v>
      </c>
      <c r="L169" s="19" t="s">
        <v>21</v>
      </c>
      <c r="M169" s="73">
        <v>44396</v>
      </c>
      <c r="N169" s="6" t="s">
        <v>430</v>
      </c>
      <c r="O169" s="72" t="s">
        <v>58</v>
      </c>
      <c r="P169" s="6" t="s">
        <v>152</v>
      </c>
      <c r="Q169" s="6"/>
      <c r="R169" s="85" t="s">
        <v>1041</v>
      </c>
      <c r="S169" s="6" t="s">
        <v>591</v>
      </c>
      <c r="T169" s="6" t="s">
        <v>294</v>
      </c>
      <c r="U169" s="75">
        <v>45722</v>
      </c>
      <c r="V169" s="75">
        <v>46028</v>
      </c>
      <c r="W169" s="13">
        <f t="shared" ca="1" si="0"/>
        <v>-57</v>
      </c>
      <c r="X169" s="6" t="str">
        <f t="shared" ca="1" si="1"/>
        <v>Vencido</v>
      </c>
    </row>
    <row r="170" spans="1:25" ht="65.25" hidden="1" customHeight="1">
      <c r="A170" s="6" t="s">
        <v>184</v>
      </c>
      <c r="B170" s="6" t="s">
        <v>1042</v>
      </c>
      <c r="C170" s="53">
        <v>10611974</v>
      </c>
      <c r="D170" s="18">
        <v>0</v>
      </c>
      <c r="E170" s="19">
        <v>61</v>
      </c>
      <c r="F170" s="19" t="s">
        <v>18</v>
      </c>
      <c r="G170" s="6" t="s">
        <v>19</v>
      </c>
      <c r="H170" s="6" t="s">
        <v>335</v>
      </c>
      <c r="I170" s="19">
        <v>2022</v>
      </c>
      <c r="J170" s="73">
        <v>44748</v>
      </c>
      <c r="K170" s="19" t="s">
        <v>20</v>
      </c>
      <c r="L170" s="19" t="s">
        <v>21</v>
      </c>
      <c r="M170" s="73">
        <v>44886</v>
      </c>
      <c r="N170" s="6" t="s">
        <v>849</v>
      </c>
      <c r="O170" s="72" t="s">
        <v>58</v>
      </c>
      <c r="P170" s="6" t="s">
        <v>152</v>
      </c>
      <c r="Q170" s="6"/>
      <c r="R170" s="13" t="s">
        <v>1043</v>
      </c>
      <c r="S170" s="6" t="s">
        <v>574</v>
      </c>
      <c r="T170" s="6" t="s">
        <v>285</v>
      </c>
      <c r="U170" s="75">
        <v>45813</v>
      </c>
      <c r="V170" s="75">
        <v>46178</v>
      </c>
      <c r="W170" s="13">
        <f t="shared" ca="1" si="0"/>
        <v>93</v>
      </c>
      <c r="X170" s="6" t="str">
        <f t="shared" ca="1" si="1"/>
        <v>Vigente</v>
      </c>
    </row>
    <row r="171" spans="1:25" ht="65.25" hidden="1" customHeight="1">
      <c r="A171" s="6" t="s">
        <v>184</v>
      </c>
      <c r="B171" s="6" t="s">
        <v>1044</v>
      </c>
      <c r="C171" s="53">
        <v>12427135</v>
      </c>
      <c r="D171" s="18">
        <v>5</v>
      </c>
      <c r="E171" s="19">
        <v>49</v>
      </c>
      <c r="F171" s="19" t="s">
        <v>18</v>
      </c>
      <c r="G171" s="6" t="s">
        <v>19</v>
      </c>
      <c r="H171" s="6" t="s">
        <v>335</v>
      </c>
      <c r="I171" s="19">
        <v>2023</v>
      </c>
      <c r="J171" s="73">
        <v>45211</v>
      </c>
      <c r="K171" s="19" t="s">
        <v>20</v>
      </c>
      <c r="L171" s="19" t="s">
        <v>21</v>
      </c>
      <c r="M171" s="73">
        <v>44949</v>
      </c>
      <c r="N171" s="6" t="s">
        <v>444</v>
      </c>
      <c r="O171" s="72" t="s">
        <v>58</v>
      </c>
      <c r="P171" s="6" t="s">
        <v>152</v>
      </c>
      <c r="Q171" s="6"/>
      <c r="R171" s="6" t="s">
        <v>1045</v>
      </c>
      <c r="S171" s="6" t="s">
        <v>574</v>
      </c>
      <c r="T171" s="6" t="s">
        <v>294</v>
      </c>
      <c r="U171" s="75">
        <v>45813</v>
      </c>
      <c r="V171" s="75">
        <v>46117</v>
      </c>
      <c r="W171" s="13">
        <f t="shared" ca="1" si="0"/>
        <v>32</v>
      </c>
      <c r="X171" s="6" t="str">
        <f t="shared" ca="1" si="1"/>
        <v>Vigente</v>
      </c>
      <c r="Y171" s="6"/>
    </row>
    <row r="172" spans="1:25" ht="65.25" hidden="1" customHeight="1">
      <c r="A172" s="6" t="s">
        <v>184</v>
      </c>
      <c r="B172" s="6" t="s">
        <v>1046</v>
      </c>
      <c r="C172" s="53">
        <v>10153643</v>
      </c>
      <c r="D172" s="18">
        <v>2</v>
      </c>
      <c r="E172" s="6">
        <v>69</v>
      </c>
      <c r="F172" s="19" t="s">
        <v>64</v>
      </c>
      <c r="G172" s="19" t="s">
        <v>19</v>
      </c>
      <c r="H172" s="19" t="s">
        <v>335</v>
      </c>
      <c r="I172" s="19">
        <v>2023</v>
      </c>
      <c r="J172" s="73">
        <v>44930</v>
      </c>
      <c r="K172" s="19" t="s">
        <v>62</v>
      </c>
      <c r="L172" s="19" t="s">
        <v>269</v>
      </c>
      <c r="M172" s="6" t="s">
        <v>180</v>
      </c>
      <c r="N172" s="19" t="s">
        <v>180</v>
      </c>
      <c r="O172" s="72" t="s">
        <v>58</v>
      </c>
      <c r="P172" s="6" t="s">
        <v>152</v>
      </c>
      <c r="Q172" s="6"/>
      <c r="R172" s="13" t="s">
        <v>1047</v>
      </c>
      <c r="S172" s="6" t="s">
        <v>1048</v>
      </c>
      <c r="T172" s="6" t="s">
        <v>285</v>
      </c>
      <c r="U172" s="75">
        <v>45813</v>
      </c>
      <c r="V172" s="75">
        <v>46331</v>
      </c>
      <c r="W172" s="13">
        <f t="shared" ca="1" si="0"/>
        <v>246</v>
      </c>
      <c r="X172" s="6" t="str">
        <f t="shared" ca="1" si="1"/>
        <v>Vigente</v>
      </c>
    </row>
    <row r="173" spans="1:25" ht="65.25" hidden="1" customHeight="1">
      <c r="A173" s="6" t="s">
        <v>184</v>
      </c>
      <c r="B173" s="6" t="s">
        <v>1049</v>
      </c>
      <c r="C173" s="53">
        <v>10423360</v>
      </c>
      <c r="D173" s="18">
        <v>0</v>
      </c>
      <c r="E173" s="6">
        <v>59</v>
      </c>
      <c r="F173" s="19" t="s">
        <v>64</v>
      </c>
      <c r="G173" s="19" t="s">
        <v>141</v>
      </c>
      <c r="H173" s="19" t="s">
        <v>335</v>
      </c>
      <c r="I173" s="19">
        <v>2024</v>
      </c>
      <c r="J173" s="73">
        <v>45484</v>
      </c>
      <c r="K173" s="19" t="s">
        <v>62</v>
      </c>
      <c r="L173" s="19" t="s">
        <v>241</v>
      </c>
      <c r="M173" s="75">
        <v>45565</v>
      </c>
      <c r="N173" s="27" t="s">
        <v>1050</v>
      </c>
      <c r="O173" s="181" t="s">
        <v>58</v>
      </c>
      <c r="P173" s="6" t="s">
        <v>152</v>
      </c>
      <c r="Q173" s="6"/>
      <c r="R173" s="13" t="s">
        <v>1051</v>
      </c>
      <c r="S173" s="6" t="s">
        <v>276</v>
      </c>
      <c r="T173" s="6" t="s">
        <v>277</v>
      </c>
      <c r="U173" s="75">
        <v>46076</v>
      </c>
      <c r="V173" s="75">
        <v>46104</v>
      </c>
      <c r="W173" s="13">
        <f t="shared" ca="1" si="0"/>
        <v>19</v>
      </c>
      <c r="X173" s="6" t="str">
        <f t="shared" ca="1" si="1"/>
        <v>Por Vencer</v>
      </c>
      <c r="Y173" s="6"/>
    </row>
    <row r="174" spans="1:25" s="37" customFormat="1" ht="65.25" hidden="1" customHeight="1">
      <c r="A174" s="13" t="s">
        <v>184</v>
      </c>
      <c r="B174" s="13" t="s">
        <v>1052</v>
      </c>
      <c r="C174" s="51">
        <v>6778538</v>
      </c>
      <c r="D174" s="113" t="s">
        <v>129</v>
      </c>
      <c r="E174" s="27" t="e">
        <f ca="1">DATEDIF(#REF!,TODAY(),"Y")</f>
        <v>#REF!</v>
      </c>
      <c r="F174" s="27" t="s">
        <v>18</v>
      </c>
      <c r="G174" s="27" t="s">
        <v>68</v>
      </c>
      <c r="H174" s="27" t="s">
        <v>335</v>
      </c>
      <c r="I174" s="27">
        <v>2018</v>
      </c>
      <c r="J174" s="71">
        <v>43118</v>
      </c>
      <c r="K174" s="27" t="s">
        <v>20</v>
      </c>
      <c r="L174" s="27" t="s">
        <v>21</v>
      </c>
      <c r="M174" s="71">
        <v>44769</v>
      </c>
      <c r="N174" s="185" t="s">
        <v>1053</v>
      </c>
      <c r="O174" s="79" t="s">
        <v>34</v>
      </c>
      <c r="P174" s="13" t="s">
        <v>152</v>
      </c>
      <c r="Q174" s="13"/>
      <c r="R174" s="13" t="s">
        <v>1054</v>
      </c>
      <c r="S174" s="13" t="s">
        <v>276</v>
      </c>
      <c r="T174" s="13" t="s">
        <v>277</v>
      </c>
      <c r="U174" s="85">
        <v>45545</v>
      </c>
      <c r="V174" s="85">
        <v>45606</v>
      </c>
      <c r="W174" s="13">
        <f t="shared" ca="1" si="0"/>
        <v>-479</v>
      </c>
      <c r="X174" s="13" t="str">
        <f t="shared" ca="1" si="1"/>
        <v>Vencido</v>
      </c>
      <c r="Y174" s="179"/>
    </row>
    <row r="175" spans="1:25" ht="65.25" hidden="1" customHeight="1">
      <c r="A175" s="6" t="s">
        <v>184</v>
      </c>
      <c r="B175" s="6" t="s">
        <v>1055</v>
      </c>
      <c r="C175" s="53">
        <v>7401702</v>
      </c>
      <c r="D175" s="18">
        <v>9</v>
      </c>
      <c r="E175" s="19">
        <v>68</v>
      </c>
      <c r="F175" s="19" t="s">
        <v>18</v>
      </c>
      <c r="G175" s="19" t="s">
        <v>502</v>
      </c>
      <c r="H175" s="6" t="s">
        <v>335</v>
      </c>
      <c r="I175" s="19">
        <v>2024</v>
      </c>
      <c r="J175" s="73">
        <v>45310</v>
      </c>
      <c r="K175" s="19" t="s">
        <v>62</v>
      </c>
      <c r="L175" s="19" t="s">
        <v>32</v>
      </c>
      <c r="M175" s="73">
        <v>45614</v>
      </c>
      <c r="N175" s="6" t="s">
        <v>1056</v>
      </c>
      <c r="O175" s="79" t="s">
        <v>34</v>
      </c>
      <c r="P175" s="6" t="s">
        <v>149</v>
      </c>
      <c r="Q175" s="6"/>
      <c r="R175" s="13" t="s">
        <v>1057</v>
      </c>
      <c r="S175" s="6" t="s">
        <v>284</v>
      </c>
      <c r="T175" s="6" t="s">
        <v>473</v>
      </c>
      <c r="U175" s="75">
        <v>45859</v>
      </c>
      <c r="V175" s="75">
        <v>45890</v>
      </c>
      <c r="W175" s="13">
        <f t="shared" ca="1" si="0"/>
        <v>-195</v>
      </c>
      <c r="X175" s="6" t="str">
        <f t="shared" ca="1" si="1"/>
        <v>Vencido</v>
      </c>
      <c r="Y175" s="6"/>
    </row>
    <row r="176" spans="1:25" ht="65.25" hidden="1" customHeight="1">
      <c r="A176" s="6" t="s">
        <v>184</v>
      </c>
      <c r="B176" s="6" t="s">
        <v>1058</v>
      </c>
      <c r="C176" s="53">
        <v>7829434</v>
      </c>
      <c r="D176" s="18">
        <v>5</v>
      </c>
      <c r="E176" s="19" t="e">
        <f ca="1">DATEDIF(#REF!,TODAY(),"Y")</f>
        <v>#REF!</v>
      </c>
      <c r="F176" s="19" t="s">
        <v>37</v>
      </c>
      <c r="G176" s="19" t="s">
        <v>19</v>
      </c>
      <c r="H176" s="6" t="s">
        <v>335</v>
      </c>
      <c r="I176" s="19">
        <v>2022</v>
      </c>
      <c r="J176" s="73">
        <v>44718</v>
      </c>
      <c r="K176" s="19" t="s">
        <v>31</v>
      </c>
      <c r="L176" s="19" t="s">
        <v>21</v>
      </c>
      <c r="M176" s="73">
        <v>44781</v>
      </c>
      <c r="N176" s="6" t="s">
        <v>430</v>
      </c>
      <c r="O176" s="72" t="s">
        <v>58</v>
      </c>
      <c r="P176" s="6" t="s">
        <v>152</v>
      </c>
      <c r="Q176" s="184" t="s">
        <v>480</v>
      </c>
      <c r="R176" s="13" t="s">
        <v>1059</v>
      </c>
      <c r="S176" s="6" t="s">
        <v>591</v>
      </c>
      <c r="T176" s="6" t="s">
        <v>294</v>
      </c>
      <c r="U176" s="75">
        <v>45537</v>
      </c>
      <c r="V176" s="75">
        <v>45810</v>
      </c>
      <c r="W176" s="13">
        <f t="shared" ca="1" si="0"/>
        <v>-275</v>
      </c>
      <c r="X176" s="6" t="str">
        <f t="shared" ca="1" si="1"/>
        <v>Vencido</v>
      </c>
      <c r="Y176" s="184" t="s">
        <v>483</v>
      </c>
    </row>
    <row r="177" spans="1:25" ht="65.25" hidden="1" customHeight="1">
      <c r="A177" s="6" t="s">
        <v>184</v>
      </c>
      <c r="B177" s="6" t="s">
        <v>1060</v>
      </c>
      <c r="C177" s="53">
        <v>6231813</v>
      </c>
      <c r="D177" s="18">
        <v>9</v>
      </c>
      <c r="E177" s="19" t="e">
        <f ca="1">DATEDIF(#REF!,TODAY(),"Y")</f>
        <v>#REF!</v>
      </c>
      <c r="F177" s="19" t="s">
        <v>64</v>
      </c>
      <c r="G177" s="19" t="s">
        <v>68</v>
      </c>
      <c r="H177" s="6" t="s">
        <v>335</v>
      </c>
      <c r="I177" s="19">
        <v>2023</v>
      </c>
      <c r="J177" s="73">
        <v>45076</v>
      </c>
      <c r="K177" s="19" t="s">
        <v>20</v>
      </c>
      <c r="L177" s="19" t="s">
        <v>32</v>
      </c>
      <c r="M177" s="73">
        <v>45866</v>
      </c>
      <c r="N177" s="6" t="s">
        <v>1061</v>
      </c>
      <c r="O177" s="79" t="s">
        <v>34</v>
      </c>
      <c r="P177" s="6" t="s">
        <v>152</v>
      </c>
      <c r="Q177" s="6"/>
      <c r="R177" s="13" t="s">
        <v>1062</v>
      </c>
      <c r="S177" s="75" t="s">
        <v>276</v>
      </c>
      <c r="T177" s="6" t="s">
        <v>277</v>
      </c>
      <c r="U177" s="75">
        <v>45869</v>
      </c>
      <c r="V177" s="75">
        <v>45930</v>
      </c>
      <c r="W177" s="13">
        <f t="shared" ca="1" si="0"/>
        <v>-155</v>
      </c>
      <c r="X177" s="6" t="str">
        <f t="shared" ca="1" si="1"/>
        <v>Vencido</v>
      </c>
      <c r="Y177" s="178"/>
    </row>
    <row r="178" spans="1:25" ht="65.25" hidden="1" customHeight="1">
      <c r="A178" s="6" t="s">
        <v>184</v>
      </c>
      <c r="B178" s="6" t="s">
        <v>1063</v>
      </c>
      <c r="C178" s="53">
        <v>7403679</v>
      </c>
      <c r="D178" s="18">
        <v>1</v>
      </c>
      <c r="E178" s="19" t="e">
        <f ca="1">DATEDIF(#REF!,TODAY(),"Y")</f>
        <v>#REF!</v>
      </c>
      <c r="F178" s="19" t="s">
        <v>18</v>
      </c>
      <c r="G178" s="19" t="s">
        <v>19</v>
      </c>
      <c r="H178" s="6" t="s">
        <v>335</v>
      </c>
      <c r="I178" s="19">
        <v>2021</v>
      </c>
      <c r="J178" s="73">
        <v>44340</v>
      </c>
      <c r="K178" s="19" t="s">
        <v>20</v>
      </c>
      <c r="L178" s="19" t="s">
        <v>21</v>
      </c>
      <c r="M178" s="73">
        <v>44635</v>
      </c>
      <c r="N178" s="6" t="s">
        <v>628</v>
      </c>
      <c r="O178" s="72" t="s">
        <v>58</v>
      </c>
      <c r="P178" s="6" t="s">
        <v>27</v>
      </c>
      <c r="Q178" s="6" t="s">
        <v>480</v>
      </c>
      <c r="R178" s="13" t="s">
        <v>1064</v>
      </c>
      <c r="S178" s="6" t="s">
        <v>284</v>
      </c>
      <c r="T178" s="6" t="s">
        <v>285</v>
      </c>
      <c r="U178" s="75">
        <v>45681</v>
      </c>
      <c r="V178" s="75">
        <v>45691</v>
      </c>
      <c r="W178" s="13">
        <f t="shared" ca="1" si="0"/>
        <v>-394</v>
      </c>
      <c r="X178" s="6" t="str">
        <f t="shared" ca="1" si="1"/>
        <v>Vencido</v>
      </c>
      <c r="Y178" s="6" t="s">
        <v>483</v>
      </c>
    </row>
    <row r="179" spans="1:25" ht="65.25" hidden="1" customHeight="1">
      <c r="A179" s="6" t="s">
        <v>184</v>
      </c>
      <c r="B179" s="6" t="s">
        <v>1065</v>
      </c>
      <c r="C179" s="53">
        <v>10178827</v>
      </c>
      <c r="D179" s="18" t="s">
        <v>129</v>
      </c>
      <c r="E179" s="19" t="e">
        <f ca="1">DATEDIF(#REF!,TODAY(),"Y")</f>
        <v>#REF!</v>
      </c>
      <c r="F179" s="19" t="s">
        <v>64</v>
      </c>
      <c r="G179" s="19" t="s">
        <v>68</v>
      </c>
      <c r="H179" s="6" t="s">
        <v>335</v>
      </c>
      <c r="I179" s="19">
        <v>2023</v>
      </c>
      <c r="J179" s="73">
        <v>45250</v>
      </c>
      <c r="K179" s="19" t="s">
        <v>20</v>
      </c>
      <c r="L179" s="186" t="s">
        <v>269</v>
      </c>
      <c r="M179" s="73">
        <v>45895</v>
      </c>
      <c r="N179" s="184" t="s">
        <v>1066</v>
      </c>
      <c r="O179" s="79" t="s">
        <v>34</v>
      </c>
      <c r="P179" s="6" t="s">
        <v>149</v>
      </c>
      <c r="Q179" s="6"/>
      <c r="R179" s="185" t="s">
        <v>1067</v>
      </c>
      <c r="S179" s="6" t="s">
        <v>276</v>
      </c>
      <c r="T179" s="6" t="s">
        <v>277</v>
      </c>
      <c r="U179" s="75">
        <v>45903</v>
      </c>
      <c r="V179" s="75">
        <v>45964</v>
      </c>
      <c r="W179" s="13">
        <f t="shared" ca="1" si="0"/>
        <v>-121</v>
      </c>
      <c r="X179" s="6" t="str">
        <f t="shared" ca="1" si="1"/>
        <v>Vencido</v>
      </c>
    </row>
    <row r="180" spans="1:25" ht="72.75" hidden="1" customHeight="1">
      <c r="A180" s="6" t="s">
        <v>184</v>
      </c>
      <c r="B180" s="6" t="s">
        <v>1068</v>
      </c>
      <c r="C180" s="53">
        <v>7348538</v>
      </c>
      <c r="D180" s="18" t="s">
        <v>129</v>
      </c>
      <c r="E180" s="19" t="e">
        <f ca="1">DATEDIF(#REF!,TODAY(),"Y")</f>
        <v>#REF!</v>
      </c>
      <c r="F180" s="19" t="s">
        <v>18</v>
      </c>
      <c r="G180" s="19" t="s">
        <v>19</v>
      </c>
      <c r="H180" s="6" t="s">
        <v>335</v>
      </c>
      <c r="I180" s="19">
        <v>2022</v>
      </c>
      <c r="J180" s="73">
        <v>44818</v>
      </c>
      <c r="K180" s="19" t="s">
        <v>20</v>
      </c>
      <c r="L180" s="19" t="s">
        <v>21</v>
      </c>
      <c r="M180" s="73">
        <v>45054</v>
      </c>
      <c r="N180" s="6" t="s">
        <v>430</v>
      </c>
      <c r="O180" s="72" t="s">
        <v>58</v>
      </c>
      <c r="P180" s="6" t="s">
        <v>152</v>
      </c>
      <c r="Q180" s="6"/>
      <c r="R180" s="33" t="s">
        <v>1069</v>
      </c>
      <c r="S180" s="6" t="s">
        <v>532</v>
      </c>
      <c r="T180" s="6" t="s">
        <v>473</v>
      </c>
      <c r="U180" s="75">
        <v>45847</v>
      </c>
      <c r="V180" s="75">
        <v>46212</v>
      </c>
      <c r="W180" s="13">
        <f t="shared" ca="1" si="0"/>
        <v>127</v>
      </c>
      <c r="X180" s="6" t="str">
        <f t="shared" ca="1" si="1"/>
        <v>Vigente</v>
      </c>
    </row>
    <row r="181" spans="1:25" ht="65.25" hidden="1" customHeight="1">
      <c r="A181" s="6" t="s">
        <v>184</v>
      </c>
      <c r="B181" s="6" t="s">
        <v>1070</v>
      </c>
      <c r="C181" s="53">
        <v>6662299</v>
      </c>
      <c r="D181" s="18">
        <v>1</v>
      </c>
      <c r="E181" s="19" t="e">
        <f ca="1">DATEDIF(#REF!,TODAY(),"Y")</f>
        <v>#REF!</v>
      </c>
      <c r="F181" s="19" t="s">
        <v>26</v>
      </c>
      <c r="G181" s="19" t="s">
        <v>19</v>
      </c>
      <c r="H181" s="6" t="s">
        <v>335</v>
      </c>
      <c r="I181" s="19">
        <v>2023</v>
      </c>
      <c r="J181" s="73">
        <v>45209</v>
      </c>
      <c r="K181" s="19" t="s">
        <v>20</v>
      </c>
      <c r="L181" s="19" t="s">
        <v>156</v>
      </c>
      <c r="M181" s="73">
        <v>45419</v>
      </c>
      <c r="N181" s="6" t="s">
        <v>593</v>
      </c>
      <c r="O181" s="72" t="s">
        <v>58</v>
      </c>
      <c r="P181" s="6" t="s">
        <v>152</v>
      </c>
      <c r="Q181" s="6"/>
      <c r="R181" s="33" t="s">
        <v>1071</v>
      </c>
      <c r="S181" s="6" t="s">
        <v>647</v>
      </c>
      <c r="T181" s="6" t="s">
        <v>473</v>
      </c>
      <c r="U181" s="75">
        <v>45908</v>
      </c>
      <c r="V181" s="75">
        <v>46150</v>
      </c>
      <c r="W181" s="13">
        <f t="shared" ca="1" si="0"/>
        <v>65</v>
      </c>
      <c r="X181" s="6" t="str">
        <f t="shared" ca="1" si="1"/>
        <v>Vigente</v>
      </c>
      <c r="Y181" s="6"/>
    </row>
    <row r="182" spans="1:25" ht="65.25" hidden="1" customHeight="1">
      <c r="A182" s="6" t="s">
        <v>184</v>
      </c>
      <c r="B182" s="6" t="s">
        <v>1072</v>
      </c>
      <c r="C182" s="53">
        <v>4114093</v>
      </c>
      <c r="D182" s="18">
        <v>3</v>
      </c>
      <c r="E182" s="6">
        <v>85</v>
      </c>
      <c r="F182" s="19" t="s">
        <v>18</v>
      </c>
      <c r="G182" s="19" t="s">
        <v>502</v>
      </c>
      <c r="H182" s="19" t="s">
        <v>335</v>
      </c>
      <c r="I182" s="19">
        <v>2019</v>
      </c>
      <c r="J182" s="19" t="s">
        <v>1073</v>
      </c>
      <c r="K182" s="19" t="s">
        <v>62</v>
      </c>
      <c r="L182" s="19" t="s">
        <v>156</v>
      </c>
      <c r="M182" s="6" t="s">
        <v>1074</v>
      </c>
      <c r="N182" s="19" t="s">
        <v>156</v>
      </c>
      <c r="O182" s="72" t="s">
        <v>58</v>
      </c>
      <c r="P182" s="6"/>
      <c r="Q182" s="6"/>
      <c r="R182" s="6" t="s">
        <v>1075</v>
      </c>
      <c r="S182" s="6" t="s">
        <v>284</v>
      </c>
      <c r="T182" s="6" t="s">
        <v>428</v>
      </c>
      <c r="U182" s="75">
        <v>45792</v>
      </c>
      <c r="V182" s="75">
        <v>45823</v>
      </c>
      <c r="W182" s="13">
        <f t="shared" ca="1" si="0"/>
        <v>-262</v>
      </c>
      <c r="X182" s="6" t="str">
        <f t="shared" ca="1" si="1"/>
        <v>Vencido</v>
      </c>
      <c r="Y182" s="142"/>
    </row>
    <row r="183" spans="1:25" ht="65.25" hidden="1" customHeight="1">
      <c r="A183" s="6" t="s">
        <v>184</v>
      </c>
      <c r="B183" s="6" t="s">
        <v>1076</v>
      </c>
      <c r="C183" s="53">
        <v>9235664</v>
      </c>
      <c r="D183" s="18">
        <v>7</v>
      </c>
      <c r="E183" s="69">
        <v>61.5397260273973</v>
      </c>
      <c r="F183" s="19" t="s">
        <v>18</v>
      </c>
      <c r="G183" s="19" t="s">
        <v>19</v>
      </c>
      <c r="H183" s="6" t="s">
        <v>335</v>
      </c>
      <c r="I183" s="19">
        <v>2021</v>
      </c>
      <c r="J183" s="73">
        <v>44448</v>
      </c>
      <c r="K183" s="19" t="s">
        <v>20</v>
      </c>
      <c r="L183" s="19" t="s">
        <v>21</v>
      </c>
      <c r="M183" s="73">
        <v>44459</v>
      </c>
      <c r="N183" s="6" t="s">
        <v>444</v>
      </c>
      <c r="O183" s="72" t="s">
        <v>58</v>
      </c>
      <c r="P183" s="6" t="s">
        <v>152</v>
      </c>
      <c r="Q183" s="6"/>
      <c r="R183" s="33" t="s">
        <v>785</v>
      </c>
      <c r="S183" s="6" t="s">
        <v>574</v>
      </c>
      <c r="T183" s="6" t="s">
        <v>473</v>
      </c>
      <c r="U183" s="75">
        <v>45992</v>
      </c>
      <c r="V183" s="75">
        <v>46296</v>
      </c>
      <c r="W183" s="13">
        <f t="shared" ca="1" si="0"/>
        <v>211</v>
      </c>
      <c r="X183" s="6" t="str">
        <f t="shared" ca="1" si="1"/>
        <v>Vigente</v>
      </c>
      <c r="Y183" s="6"/>
    </row>
    <row r="184" spans="1:25" ht="65.25" hidden="1" customHeight="1">
      <c r="A184" s="6" t="s">
        <v>184</v>
      </c>
      <c r="B184" s="6" t="s">
        <v>1077</v>
      </c>
      <c r="C184" s="53">
        <v>14581736</v>
      </c>
      <c r="D184" s="18">
        <v>6</v>
      </c>
      <c r="E184" s="19" t="e">
        <f ca="1">DATEDIF(#REF!,TODAY(),"Y")</f>
        <v>#REF!</v>
      </c>
      <c r="F184" s="19" t="s">
        <v>64</v>
      </c>
      <c r="G184" s="19" t="s">
        <v>68</v>
      </c>
      <c r="H184" s="6" t="s">
        <v>335</v>
      </c>
      <c r="I184" s="19">
        <v>2022</v>
      </c>
      <c r="J184" s="73">
        <v>44797</v>
      </c>
      <c r="K184" s="19" t="s">
        <v>20</v>
      </c>
      <c r="L184" s="19" t="s">
        <v>21</v>
      </c>
      <c r="M184" s="73">
        <v>45355</v>
      </c>
      <c r="N184" s="6" t="s">
        <v>430</v>
      </c>
      <c r="O184" s="72" t="s">
        <v>58</v>
      </c>
      <c r="P184" s="6" t="s">
        <v>27</v>
      </c>
      <c r="Q184" s="6" t="s">
        <v>521</v>
      </c>
      <c r="R184" s="33" t="s">
        <v>1078</v>
      </c>
      <c r="S184" s="6" t="s">
        <v>288</v>
      </c>
      <c r="T184" s="6" t="s">
        <v>473</v>
      </c>
      <c r="U184" s="75">
        <v>45357</v>
      </c>
      <c r="V184" s="75">
        <v>45449</v>
      </c>
      <c r="W184" s="13">
        <f t="shared" ca="1" si="0"/>
        <v>-636</v>
      </c>
      <c r="X184" s="6" t="str">
        <f t="shared" ca="1" si="1"/>
        <v>Vencido</v>
      </c>
      <c r="Y184" s="107" t="s">
        <v>521</v>
      </c>
    </row>
    <row r="185" spans="1:25" ht="65.25" hidden="1" customHeight="1">
      <c r="A185" s="122" t="s">
        <v>184</v>
      </c>
      <c r="B185" s="6" t="s">
        <v>1079</v>
      </c>
      <c r="C185" s="53">
        <v>9928592</v>
      </c>
      <c r="D185" s="18">
        <v>3</v>
      </c>
      <c r="E185" s="19">
        <v>60</v>
      </c>
      <c r="F185" s="19" t="s">
        <v>64</v>
      </c>
      <c r="G185" s="19" t="s">
        <v>1080</v>
      </c>
      <c r="H185" s="6" t="s">
        <v>335</v>
      </c>
      <c r="I185" s="19">
        <v>2022</v>
      </c>
      <c r="J185" s="73">
        <v>44811</v>
      </c>
      <c r="K185" s="19" t="s">
        <v>20</v>
      </c>
      <c r="L185" s="19" t="s">
        <v>21</v>
      </c>
      <c r="M185" s="73">
        <v>45446</v>
      </c>
      <c r="N185" s="6" t="s">
        <v>291</v>
      </c>
      <c r="O185" s="72" t="s">
        <v>58</v>
      </c>
      <c r="P185" s="6" t="s">
        <v>149</v>
      </c>
      <c r="Q185" s="6"/>
      <c r="R185" s="33" t="s">
        <v>1081</v>
      </c>
      <c r="S185" s="6" t="s">
        <v>1082</v>
      </c>
      <c r="T185" s="6" t="s">
        <v>277</v>
      </c>
      <c r="U185" s="75">
        <v>45903</v>
      </c>
      <c r="V185" s="75">
        <v>45994</v>
      </c>
      <c r="W185" s="13">
        <f t="shared" ca="1" si="0"/>
        <v>-91</v>
      </c>
      <c r="X185" s="6" t="str">
        <f t="shared" ca="1" si="1"/>
        <v>Vencido</v>
      </c>
      <c r="Y185" s="6"/>
    </row>
    <row r="186" spans="1:25" ht="65.25" hidden="1" customHeight="1">
      <c r="A186" s="13" t="s">
        <v>184</v>
      </c>
      <c r="B186" s="13" t="s">
        <v>1083</v>
      </c>
      <c r="C186" s="51">
        <v>9573798</v>
      </c>
      <c r="D186" s="113">
        <v>6</v>
      </c>
      <c r="E186" s="70">
        <v>63</v>
      </c>
      <c r="F186" s="27" t="s">
        <v>18</v>
      </c>
      <c r="G186" s="27" t="s">
        <v>19</v>
      </c>
      <c r="H186" s="6" t="s">
        <v>335</v>
      </c>
      <c r="I186" s="27">
        <v>2021</v>
      </c>
      <c r="J186" s="71">
        <v>44370</v>
      </c>
      <c r="K186" s="27" t="s">
        <v>20</v>
      </c>
      <c r="L186" s="27" t="s">
        <v>21</v>
      </c>
      <c r="M186" s="71">
        <v>44389</v>
      </c>
      <c r="N186" s="13" t="s">
        <v>430</v>
      </c>
      <c r="O186" s="72" t="s">
        <v>58</v>
      </c>
      <c r="P186" s="13" t="s">
        <v>152</v>
      </c>
      <c r="Q186" s="13"/>
      <c r="R186" s="192" t="s">
        <v>1084</v>
      </c>
      <c r="S186" s="185" t="s">
        <v>591</v>
      </c>
      <c r="T186" s="13" t="s">
        <v>473</v>
      </c>
      <c r="U186" s="85">
        <v>45915</v>
      </c>
      <c r="V186" s="85">
        <v>46188</v>
      </c>
      <c r="W186" s="13">
        <f t="shared" ca="1" si="0"/>
        <v>103</v>
      </c>
      <c r="X186" s="13" t="str">
        <f t="shared" ca="1" si="1"/>
        <v>Vigente</v>
      </c>
      <c r="Y186" s="13"/>
    </row>
    <row r="187" spans="1:25" s="177" customFormat="1" ht="65.25" hidden="1" customHeight="1">
      <c r="A187" s="171" t="s">
        <v>184</v>
      </c>
      <c r="B187" s="171" t="s">
        <v>1085</v>
      </c>
      <c r="C187" s="172">
        <v>9908574</v>
      </c>
      <c r="D187" s="173">
        <v>6</v>
      </c>
      <c r="E187" s="171">
        <v>56</v>
      </c>
      <c r="F187" s="174" t="s">
        <v>18</v>
      </c>
      <c r="G187" s="174" t="s">
        <v>502</v>
      </c>
      <c r="H187" s="174" t="s">
        <v>335</v>
      </c>
      <c r="I187" s="174">
        <v>2024</v>
      </c>
      <c r="J187" s="175">
        <v>45731</v>
      </c>
      <c r="K187" s="174" t="s">
        <v>62</v>
      </c>
      <c r="L187" s="174" t="s">
        <v>168</v>
      </c>
      <c r="M187" s="171" t="s">
        <v>180</v>
      </c>
      <c r="N187" s="174" t="s">
        <v>180</v>
      </c>
      <c r="O187" s="72" t="s">
        <v>58</v>
      </c>
      <c r="P187" s="171" t="s">
        <v>152</v>
      </c>
      <c r="Q187" s="171"/>
      <c r="R187" s="171" t="s">
        <v>1086</v>
      </c>
      <c r="S187" s="171" t="s">
        <v>284</v>
      </c>
      <c r="T187" s="171" t="s">
        <v>473</v>
      </c>
      <c r="U187" s="176">
        <v>45715</v>
      </c>
      <c r="V187" s="176">
        <v>45743</v>
      </c>
      <c r="W187" s="171">
        <f ca="1">V187-TODAY()</f>
        <v>-342</v>
      </c>
      <c r="X187" s="171" t="str">
        <f ca="1">IF(W187&gt;=20,"Vigente",IF(AND(W187&gt;=1,W187&lt;=20),"Por Vencer","Vencido"))</f>
        <v>Vencido</v>
      </c>
      <c r="Y187" s="171"/>
    </row>
    <row r="188" spans="1:25" ht="65.25" hidden="1" customHeight="1">
      <c r="A188" s="6" t="s">
        <v>184</v>
      </c>
      <c r="B188" s="6" t="s">
        <v>1087</v>
      </c>
      <c r="C188" s="126">
        <v>5938504</v>
      </c>
      <c r="D188" s="18">
        <v>6</v>
      </c>
      <c r="E188" s="69">
        <v>85.183561643835603</v>
      </c>
      <c r="F188" s="19" t="s">
        <v>18</v>
      </c>
      <c r="G188" s="19" t="s">
        <v>19</v>
      </c>
      <c r="H188" s="6" t="s">
        <v>335</v>
      </c>
      <c r="I188" s="19">
        <v>2021</v>
      </c>
      <c r="J188" s="73">
        <v>44277</v>
      </c>
      <c r="K188" s="19" t="s">
        <v>20</v>
      </c>
      <c r="L188" s="19" t="s">
        <v>21</v>
      </c>
      <c r="M188" s="73">
        <v>44326</v>
      </c>
      <c r="N188" s="6" t="s">
        <v>1088</v>
      </c>
      <c r="O188" s="72" t="s">
        <v>58</v>
      </c>
      <c r="P188" s="6" t="s">
        <v>152</v>
      </c>
      <c r="Q188" s="6" t="s">
        <v>521</v>
      </c>
      <c r="R188" s="33" t="s">
        <v>1089</v>
      </c>
      <c r="S188" s="6" t="s">
        <v>591</v>
      </c>
      <c r="T188" s="6" t="s">
        <v>294</v>
      </c>
      <c r="U188" s="75">
        <v>45516</v>
      </c>
      <c r="V188" s="75">
        <v>45789</v>
      </c>
      <c r="W188" s="13">
        <f ca="1">V188-TODAY()</f>
        <v>-296</v>
      </c>
      <c r="X188" s="6" t="str">
        <f ca="1">IF(W188&gt;=20,"Vigente",IF(AND(W188&gt;=1,W188&lt;=20),"Por Vencer","Vencido"))</f>
        <v>Vencido</v>
      </c>
      <c r="Y188" s="6" t="s">
        <v>521</v>
      </c>
    </row>
    <row r="189" spans="1:25" s="177" customFormat="1" ht="65.25" hidden="1" customHeight="1">
      <c r="A189" s="171" t="s">
        <v>184</v>
      </c>
      <c r="B189" s="171" t="s">
        <v>1090</v>
      </c>
      <c r="C189" s="172">
        <v>8879411</v>
      </c>
      <c r="D189" s="173">
        <v>7</v>
      </c>
      <c r="E189" s="171">
        <v>63</v>
      </c>
      <c r="F189" s="174" t="s">
        <v>18</v>
      </c>
      <c r="G189" s="174" t="s">
        <v>141</v>
      </c>
      <c r="H189" s="174" t="s">
        <v>335</v>
      </c>
      <c r="I189" s="174">
        <v>2025</v>
      </c>
      <c r="J189" s="175">
        <v>45684</v>
      </c>
      <c r="K189" s="174" t="s">
        <v>62</v>
      </c>
      <c r="L189" s="174" t="s">
        <v>143</v>
      </c>
      <c r="M189" s="171" t="s">
        <v>180</v>
      </c>
      <c r="N189" s="174" t="s">
        <v>180</v>
      </c>
      <c r="O189" s="72" t="s">
        <v>58</v>
      </c>
      <c r="P189" s="171"/>
      <c r="Q189" s="171"/>
      <c r="R189" s="171"/>
      <c r="S189" s="171"/>
      <c r="T189" s="171"/>
      <c r="U189" s="171"/>
      <c r="V189" s="176"/>
      <c r="W189" s="171">
        <f ca="1">V189-TODAY()</f>
        <v>-46085</v>
      </c>
      <c r="X189" s="171" t="str">
        <f ca="1">IF(W189&gt;=20,"Vigente",IF(AND(W189&gt;=1,W189&lt;=20),"Por Vencer","Vencido"))</f>
        <v>Vencido</v>
      </c>
      <c r="Y189" s="171"/>
    </row>
    <row r="190" spans="1:25" ht="65.25" hidden="1" customHeight="1">
      <c r="A190" s="6" t="s">
        <v>184</v>
      </c>
      <c r="B190" s="6" t="s">
        <v>1091</v>
      </c>
      <c r="C190" s="53">
        <v>4619312</v>
      </c>
      <c r="D190" s="18">
        <v>1</v>
      </c>
      <c r="E190" s="69">
        <v>82.926027397260299</v>
      </c>
      <c r="F190" s="19" t="s">
        <v>64</v>
      </c>
      <c r="G190" s="19" t="s">
        <v>19</v>
      </c>
      <c r="H190" s="6" t="s">
        <v>335</v>
      </c>
      <c r="I190" s="19">
        <v>2018</v>
      </c>
      <c r="J190" s="73">
        <v>43390</v>
      </c>
      <c r="K190" s="19" t="s">
        <v>20</v>
      </c>
      <c r="L190" s="19" t="s">
        <v>21</v>
      </c>
      <c r="M190" s="73">
        <v>44326</v>
      </c>
      <c r="N190" s="6" t="s">
        <v>430</v>
      </c>
      <c r="O190" s="72" t="s">
        <v>58</v>
      </c>
      <c r="P190" s="6" t="s">
        <v>152</v>
      </c>
      <c r="Q190" s="6"/>
      <c r="R190" s="33" t="s">
        <v>1092</v>
      </c>
      <c r="S190" s="6" t="s">
        <v>284</v>
      </c>
      <c r="T190" s="6" t="s">
        <v>473</v>
      </c>
      <c r="U190" s="75">
        <v>45715</v>
      </c>
      <c r="V190" s="75">
        <v>46080</v>
      </c>
      <c r="W190" s="13">
        <f ca="1">V190-TODAY()</f>
        <v>-5</v>
      </c>
      <c r="X190" s="6" t="str">
        <f ca="1">IF(W190&gt;=20,"Vigente",IF(AND(W190&gt;=1,W190&lt;=20),"Por Vencer","Vencido"))</f>
        <v>Vencido</v>
      </c>
    </row>
    <row r="191" spans="1:25" ht="65.25" hidden="1" customHeight="1">
      <c r="A191" s="6" t="s">
        <v>184</v>
      </c>
      <c r="B191" s="6" t="s">
        <v>1093</v>
      </c>
      <c r="C191" s="53">
        <v>3179438</v>
      </c>
      <c r="D191" s="18">
        <v>2</v>
      </c>
      <c r="E191" s="19" t="e">
        <f ca="1">DATEDIF(#REF!,TODAY(),"Y")</f>
        <v>#REF!</v>
      </c>
      <c r="F191" s="19" t="s">
        <v>18</v>
      </c>
      <c r="G191" s="19" t="s">
        <v>19</v>
      </c>
      <c r="H191" s="6" t="s">
        <v>335</v>
      </c>
      <c r="I191" s="19">
        <v>2020</v>
      </c>
      <c r="J191" s="73">
        <v>44131</v>
      </c>
      <c r="K191" s="19" t="s">
        <v>20</v>
      </c>
      <c r="L191" s="19" t="s">
        <v>21</v>
      </c>
      <c r="M191" s="73">
        <v>44571</v>
      </c>
      <c r="N191" s="6" t="s">
        <v>291</v>
      </c>
      <c r="O191" s="72" t="s">
        <v>58</v>
      </c>
      <c r="P191" s="6" t="s">
        <v>27</v>
      </c>
      <c r="Q191" s="6" t="s">
        <v>1094</v>
      </c>
      <c r="R191" s="33" t="s">
        <v>1095</v>
      </c>
      <c r="S191" s="6" t="s">
        <v>284</v>
      </c>
      <c r="T191" s="6" t="s">
        <v>294</v>
      </c>
      <c r="U191" s="75">
        <v>45524</v>
      </c>
      <c r="V191" s="75">
        <v>45555</v>
      </c>
      <c r="W191" s="13">
        <f ca="1">V191-TODAY()</f>
        <v>-530</v>
      </c>
      <c r="X191" s="6" t="str">
        <f ca="1">IF(W191&gt;=20,"Vigente",IF(AND(W191&gt;=1,W191&lt;=20),"Por Vencer","Vencido"))</f>
        <v>Vencido</v>
      </c>
      <c r="Y191" s="6" t="s">
        <v>1096</v>
      </c>
    </row>
    <row r="192" spans="1:25" ht="65.25" hidden="1" customHeight="1">
      <c r="A192" s="6" t="s">
        <v>184</v>
      </c>
      <c r="B192" s="6" t="s">
        <v>1097</v>
      </c>
      <c r="C192" s="53">
        <v>12484966</v>
      </c>
      <c r="D192" s="18">
        <v>7</v>
      </c>
      <c r="E192" s="6">
        <v>51</v>
      </c>
      <c r="F192" s="19" t="s">
        <v>554</v>
      </c>
      <c r="G192" s="19" t="s">
        <v>141</v>
      </c>
      <c r="H192" s="19" t="s">
        <v>335</v>
      </c>
      <c r="I192" s="19">
        <v>2024</v>
      </c>
      <c r="J192" s="19">
        <v>2025</v>
      </c>
      <c r="K192" s="19" t="s">
        <v>62</v>
      </c>
      <c r="L192" s="19" t="s">
        <v>168</v>
      </c>
      <c r="M192" s="75">
        <v>45824</v>
      </c>
      <c r="N192" s="19" t="s">
        <v>1098</v>
      </c>
      <c r="O192" s="79" t="s">
        <v>34</v>
      </c>
      <c r="P192" s="6" t="s">
        <v>152</v>
      </c>
      <c r="Q192" s="6"/>
      <c r="R192" s="6" t="s">
        <v>1099</v>
      </c>
      <c r="S192" s="6" t="s">
        <v>1100</v>
      </c>
      <c r="T192" s="6" t="s">
        <v>1101</v>
      </c>
      <c r="U192" s="75">
        <v>45824</v>
      </c>
      <c r="V192" s="75">
        <v>45854</v>
      </c>
      <c r="W192" s="13">
        <f ca="1">V192-TODAY()</f>
        <v>-231</v>
      </c>
      <c r="X192" s="6" t="str">
        <f ca="1">IF(W192&gt;=20,"Vigente",IF(AND(W192&gt;=1,W192&lt;=20),"Por Vencer","Vencido"))</f>
        <v>Vencido</v>
      </c>
      <c r="Y192" s="6"/>
    </row>
    <row r="193" spans="1:25" ht="65.25" hidden="1" customHeight="1">
      <c r="A193" s="6" t="s">
        <v>184</v>
      </c>
      <c r="B193" s="6" t="s">
        <v>1102</v>
      </c>
      <c r="C193" s="53">
        <v>5949982</v>
      </c>
      <c r="D193" s="18">
        <v>3</v>
      </c>
      <c r="E193" s="6">
        <v>76</v>
      </c>
      <c r="F193" s="19" t="s">
        <v>26</v>
      </c>
      <c r="G193" s="19" t="s">
        <v>19</v>
      </c>
      <c r="H193" s="19" t="s">
        <v>335</v>
      </c>
      <c r="I193" s="19">
        <v>2024</v>
      </c>
      <c r="J193" s="73">
        <v>45505</v>
      </c>
      <c r="K193" s="19" t="s">
        <v>62</v>
      </c>
      <c r="L193" s="19" t="s">
        <v>241</v>
      </c>
      <c r="M193" s="75">
        <v>45544</v>
      </c>
      <c r="N193" s="19" t="s">
        <v>593</v>
      </c>
      <c r="O193" s="72" t="s">
        <v>58</v>
      </c>
      <c r="P193" s="6" t="s">
        <v>152</v>
      </c>
      <c r="Q193" s="6"/>
      <c r="R193" s="33" t="s">
        <v>1103</v>
      </c>
      <c r="S193" s="6" t="s">
        <v>647</v>
      </c>
      <c r="T193" s="6" t="s">
        <v>428</v>
      </c>
      <c r="U193" s="75">
        <v>45908</v>
      </c>
      <c r="V193" s="75">
        <v>46120</v>
      </c>
      <c r="W193" s="13">
        <f ca="1">V193-TODAY()</f>
        <v>35</v>
      </c>
      <c r="X193" s="6" t="str">
        <f ca="1">IF(W193&gt;=20,"Vigente",IF(AND(W193&gt;=1,W193&lt;=20),"Por Vencer","Vencido"))</f>
        <v>Vigente</v>
      </c>
      <c r="Y193" s="142"/>
    </row>
    <row r="194" spans="1:25" ht="65.25" hidden="1" customHeight="1">
      <c r="A194" s="6" t="s">
        <v>184</v>
      </c>
      <c r="B194" s="6" t="s">
        <v>1104</v>
      </c>
      <c r="C194" s="53">
        <v>6898836</v>
      </c>
      <c r="D194" s="18">
        <v>5</v>
      </c>
      <c r="E194" s="69">
        <v>68.786301369862997</v>
      </c>
      <c r="F194" s="19" t="s">
        <v>18</v>
      </c>
      <c r="G194" s="19" t="s">
        <v>68</v>
      </c>
      <c r="H194" s="6" t="s">
        <v>335</v>
      </c>
      <c r="I194" s="19">
        <v>2020</v>
      </c>
      <c r="J194" s="73">
        <v>43991</v>
      </c>
      <c r="K194" s="19" t="s">
        <v>20</v>
      </c>
      <c r="L194" s="19" t="s">
        <v>21</v>
      </c>
      <c r="M194" s="73">
        <v>44119</v>
      </c>
      <c r="N194" s="6" t="s">
        <v>1105</v>
      </c>
      <c r="O194" s="72" t="s">
        <v>58</v>
      </c>
      <c r="P194" s="6" t="s">
        <v>152</v>
      </c>
      <c r="Q194" s="6"/>
      <c r="R194" s="33" t="s">
        <v>1106</v>
      </c>
      <c r="S194" s="6" t="s">
        <v>1107</v>
      </c>
      <c r="T194" s="6" t="s">
        <v>294</v>
      </c>
      <c r="U194" s="75">
        <v>45617</v>
      </c>
      <c r="V194" s="75">
        <v>45921</v>
      </c>
      <c r="W194" s="13">
        <f ca="1">V194-TODAY()</f>
        <v>-164</v>
      </c>
      <c r="X194" s="6" t="str">
        <f ca="1">IF(W194&gt;=20,"Vigente",IF(AND(W194&gt;=1,W194&lt;=20),"Por Vencer","Vencido"))</f>
        <v>Vencido</v>
      </c>
      <c r="Y194" s="6"/>
    </row>
    <row r="195" spans="1:25" ht="65.25" hidden="1" customHeight="1">
      <c r="A195" s="6" t="s">
        <v>184</v>
      </c>
      <c r="B195" s="6" t="s">
        <v>1108</v>
      </c>
      <c r="C195" s="53">
        <v>7780043</v>
      </c>
      <c r="D195" s="18">
        <v>3</v>
      </c>
      <c r="E195" s="19" t="e">
        <f ca="1">DATEDIF(#REF!,TODAY(),"Y")</f>
        <v>#REF!</v>
      </c>
      <c r="F195" s="19" t="s">
        <v>64</v>
      </c>
      <c r="G195" s="19" t="s">
        <v>19</v>
      </c>
      <c r="H195" s="19" t="s">
        <v>335</v>
      </c>
      <c r="I195" s="19">
        <v>2021</v>
      </c>
      <c r="J195" s="73">
        <v>44246</v>
      </c>
      <c r="K195" s="19" t="s">
        <v>20</v>
      </c>
      <c r="L195" s="19" t="s">
        <v>21</v>
      </c>
      <c r="M195" s="73">
        <v>44291</v>
      </c>
      <c r="N195" s="6" t="s">
        <v>291</v>
      </c>
      <c r="O195" s="72" t="s">
        <v>58</v>
      </c>
      <c r="P195" s="6" t="s">
        <v>152</v>
      </c>
      <c r="Q195" s="6"/>
      <c r="R195" s="33" t="s">
        <v>1109</v>
      </c>
      <c r="S195" s="6" t="s">
        <v>433</v>
      </c>
      <c r="T195" s="6" t="s">
        <v>473</v>
      </c>
      <c r="U195" s="75" t="s">
        <v>1110</v>
      </c>
      <c r="V195" s="75" t="s">
        <v>1111</v>
      </c>
      <c r="W195" s="13">
        <f ca="1">V195-TODAY()</f>
        <v>51</v>
      </c>
      <c r="X195" s="6" t="str">
        <f ca="1">IF(W195&gt;=20,"Vigente",IF(AND(W195&gt;=1,W195&lt;=20),"Por Vencer","Vencido"))</f>
        <v>Vigente</v>
      </c>
    </row>
    <row r="196" spans="1:25" ht="65.25" hidden="1" customHeight="1">
      <c r="A196" s="6" t="s">
        <v>184</v>
      </c>
      <c r="B196" s="6" t="s">
        <v>1112</v>
      </c>
      <c r="C196" s="53">
        <v>9686233</v>
      </c>
      <c r="D196" s="18">
        <v>4</v>
      </c>
      <c r="E196" s="6">
        <v>60</v>
      </c>
      <c r="F196" s="19" t="s">
        <v>18</v>
      </c>
      <c r="G196" s="19" t="s">
        <v>68</v>
      </c>
      <c r="H196" s="19" t="s">
        <v>335</v>
      </c>
      <c r="I196" s="19">
        <v>2024</v>
      </c>
      <c r="J196" s="73">
        <v>45505</v>
      </c>
      <c r="K196" s="19" t="s">
        <v>62</v>
      </c>
      <c r="L196" s="19" t="s">
        <v>269</v>
      </c>
      <c r="M196" s="75">
        <v>45922</v>
      </c>
      <c r="N196" s="19" t="s">
        <v>1113</v>
      </c>
      <c r="O196" s="79" t="s">
        <v>34</v>
      </c>
      <c r="P196" s="6" t="s">
        <v>152</v>
      </c>
      <c r="Q196" s="6"/>
      <c r="R196" s="13" t="s">
        <v>1114</v>
      </c>
      <c r="S196" s="6" t="s">
        <v>1115</v>
      </c>
      <c r="T196" s="6" t="s">
        <v>289</v>
      </c>
      <c r="U196" s="75">
        <v>45932</v>
      </c>
      <c r="V196" s="75">
        <v>45993</v>
      </c>
      <c r="W196" s="13">
        <f ca="1">V196-TODAY()</f>
        <v>-92</v>
      </c>
      <c r="X196" s="6" t="str">
        <f ca="1">IF(W196&gt;=20,"Vigente",IF(AND(W196&gt;=1,W196&lt;=20),"Por Vencer","Vencido"))</f>
        <v>Vencido</v>
      </c>
      <c r="Y196" s="6"/>
    </row>
    <row r="197" spans="1:25" ht="65.25" hidden="1" customHeight="1">
      <c r="A197" s="6" t="s">
        <v>184</v>
      </c>
      <c r="B197" s="6" t="s">
        <v>1116</v>
      </c>
      <c r="C197" s="53">
        <v>15968571</v>
      </c>
      <c r="D197" s="18">
        <v>3</v>
      </c>
      <c r="E197" s="6">
        <v>40</v>
      </c>
      <c r="F197" s="19" t="s">
        <v>18</v>
      </c>
      <c r="G197" s="19" t="s">
        <v>19</v>
      </c>
      <c r="H197" s="19" t="s">
        <v>335</v>
      </c>
      <c r="I197" s="19">
        <v>2025</v>
      </c>
      <c r="J197" s="73">
        <v>45740</v>
      </c>
      <c r="K197" s="19" t="s">
        <v>62</v>
      </c>
      <c r="L197" s="19" t="s">
        <v>452</v>
      </c>
      <c r="M197" s="75">
        <v>45824</v>
      </c>
      <c r="N197" s="19" t="s">
        <v>1117</v>
      </c>
      <c r="O197" s="79" t="s">
        <v>34</v>
      </c>
      <c r="P197" s="6" t="s">
        <v>152</v>
      </c>
      <c r="Q197" s="6"/>
      <c r="R197" s="6" t="s">
        <v>1118</v>
      </c>
      <c r="S197" s="6" t="s">
        <v>276</v>
      </c>
      <c r="T197" s="6" t="s">
        <v>277</v>
      </c>
      <c r="U197" s="75">
        <v>46072</v>
      </c>
      <c r="V197" s="75">
        <v>46130</v>
      </c>
      <c r="W197" s="13">
        <f ca="1">V197-TODAY()</f>
        <v>45</v>
      </c>
      <c r="X197" s="6" t="str">
        <f ca="1">IF(W197&gt;=20,"Vigente",IF(AND(W197&gt;=1,W197&lt;=20),"Por Vencer","Vencido"))</f>
        <v>Vigente</v>
      </c>
      <c r="Y197" s="6"/>
    </row>
    <row r="198" spans="1:25" ht="65.25" hidden="1" customHeight="1">
      <c r="A198" s="6" t="s">
        <v>184</v>
      </c>
      <c r="B198" s="6" t="s">
        <v>1119</v>
      </c>
      <c r="C198" s="53">
        <v>7173967</v>
      </c>
      <c r="D198" s="18">
        <v>8</v>
      </c>
      <c r="E198" s="6">
        <v>71</v>
      </c>
      <c r="F198" s="19" t="s">
        <v>18</v>
      </c>
      <c r="G198" s="19" t="s">
        <v>141</v>
      </c>
      <c r="H198" s="19" t="s">
        <v>335</v>
      </c>
      <c r="I198" s="19" t="s">
        <v>174</v>
      </c>
      <c r="J198" s="19" t="s">
        <v>178</v>
      </c>
      <c r="K198" s="19" t="s">
        <v>62</v>
      </c>
      <c r="L198" s="19" t="s">
        <v>269</v>
      </c>
      <c r="M198" s="75">
        <v>45887</v>
      </c>
      <c r="N198" s="19" t="s">
        <v>762</v>
      </c>
      <c r="O198" s="79" t="s">
        <v>34</v>
      </c>
      <c r="P198" s="6"/>
      <c r="Q198" s="6"/>
      <c r="R198" s="6" t="s">
        <v>1120</v>
      </c>
      <c r="S198" s="6" t="s">
        <v>528</v>
      </c>
      <c r="T198" s="6" t="s">
        <v>277</v>
      </c>
      <c r="U198" s="75">
        <v>45903</v>
      </c>
      <c r="V198" s="75">
        <v>45964</v>
      </c>
      <c r="W198" s="13">
        <f ca="1">V198-TODAY()</f>
        <v>-121</v>
      </c>
      <c r="X198" s="6" t="str">
        <f ca="1">IF(W198&gt;=20,"Vigente",IF(AND(W198&gt;=1,W198&lt;=20),"Por Vencer","Vencido"))</f>
        <v>Vencido</v>
      </c>
      <c r="Y198" s="6"/>
    </row>
    <row r="199" spans="1:25" ht="65.25" hidden="1" customHeight="1">
      <c r="A199" s="5" t="s">
        <v>184</v>
      </c>
      <c r="B199" s="6" t="s">
        <v>1121</v>
      </c>
      <c r="C199" s="53">
        <v>7715353</v>
      </c>
      <c r="D199" s="18">
        <v>5</v>
      </c>
      <c r="E199" s="6">
        <v>68</v>
      </c>
      <c r="F199" s="19" t="s">
        <v>18</v>
      </c>
      <c r="G199" s="19" t="s">
        <v>141</v>
      </c>
      <c r="H199" s="11" t="s">
        <v>315</v>
      </c>
      <c r="I199" s="19">
        <v>2025</v>
      </c>
      <c r="J199" s="73">
        <v>45904</v>
      </c>
      <c r="K199" s="19" t="s">
        <v>62</v>
      </c>
      <c r="L199" s="19" t="s">
        <v>452</v>
      </c>
      <c r="M199" s="75">
        <v>45866</v>
      </c>
      <c r="N199" s="186" t="s">
        <v>1122</v>
      </c>
      <c r="O199" s="79" t="s">
        <v>34</v>
      </c>
      <c r="P199" s="6" t="s">
        <v>152</v>
      </c>
      <c r="Q199" s="6"/>
      <c r="R199" s="184" t="s">
        <v>1123</v>
      </c>
      <c r="S199" s="6" t="s">
        <v>284</v>
      </c>
      <c r="T199" s="6" t="s">
        <v>428</v>
      </c>
      <c r="U199" s="75">
        <v>45903</v>
      </c>
      <c r="V199" s="75">
        <v>45933</v>
      </c>
      <c r="W199" s="13">
        <f ca="1">V199-TODAY()</f>
        <v>-152</v>
      </c>
      <c r="X199" s="5" t="str">
        <f ca="1">IF(W199&gt;=20,"Vigente",IF(AND(W199&gt;=1,W199&lt;=20),"Por Vencer","Vencido"))</f>
        <v>Vencido</v>
      </c>
      <c r="Y199" s="6"/>
    </row>
    <row r="200" spans="1:25" ht="65.25" hidden="1" customHeight="1">
      <c r="A200" s="5" t="s">
        <v>184</v>
      </c>
      <c r="B200" s="6" t="s">
        <v>1124</v>
      </c>
      <c r="C200" s="53">
        <v>14296915</v>
      </c>
      <c r="D200" s="18">
        <v>7</v>
      </c>
      <c r="E200" s="6">
        <v>49</v>
      </c>
      <c r="F200" s="19" t="s">
        <v>18</v>
      </c>
      <c r="G200" s="19" t="s">
        <v>141</v>
      </c>
      <c r="H200" s="11" t="s">
        <v>315</v>
      </c>
      <c r="I200" s="19">
        <v>2025</v>
      </c>
      <c r="J200" s="19" t="s">
        <v>1125</v>
      </c>
      <c r="K200" s="19" t="s">
        <v>62</v>
      </c>
      <c r="L200" s="19" t="s">
        <v>269</v>
      </c>
      <c r="M200" s="75">
        <v>45817</v>
      </c>
      <c r="N200" s="19" t="s">
        <v>762</v>
      </c>
      <c r="O200" s="72" t="s">
        <v>58</v>
      </c>
      <c r="P200" s="6" t="s">
        <v>152</v>
      </c>
      <c r="Q200" s="6"/>
      <c r="R200" s="6" t="s">
        <v>1126</v>
      </c>
      <c r="S200" s="6" t="s">
        <v>595</v>
      </c>
      <c r="T200" s="6" t="s">
        <v>428</v>
      </c>
      <c r="U200" s="75">
        <v>45819</v>
      </c>
      <c r="V200" s="75">
        <v>45972</v>
      </c>
      <c r="W200" s="13">
        <f ca="1">V200-TODAY()</f>
        <v>-113</v>
      </c>
      <c r="X200" s="5" t="str">
        <f ca="1">IF(W200&gt;=20,"Vigente",IF(AND(W200&gt;=1,W200&lt;=20),"Por Vencer","Vencido"))</f>
        <v>Vencido</v>
      </c>
    </row>
    <row r="201" spans="1:25" ht="65.25" hidden="1" customHeight="1">
      <c r="A201" s="5" t="s">
        <v>184</v>
      </c>
      <c r="B201" s="6" t="s">
        <v>1127</v>
      </c>
      <c r="C201" s="53">
        <v>12488198</v>
      </c>
      <c r="D201" s="18">
        <v>6</v>
      </c>
      <c r="E201" s="6">
        <v>51</v>
      </c>
      <c r="F201" s="19" t="s">
        <v>18</v>
      </c>
      <c r="G201" s="19" t="s">
        <v>141</v>
      </c>
      <c r="H201" s="11" t="s">
        <v>315</v>
      </c>
      <c r="I201" s="19">
        <v>2024</v>
      </c>
      <c r="J201" s="73">
        <v>45475</v>
      </c>
      <c r="K201" s="19" t="s">
        <v>62</v>
      </c>
      <c r="L201" s="19" t="s">
        <v>156</v>
      </c>
      <c r="M201" s="75">
        <v>45859</v>
      </c>
      <c r="N201" s="19" t="s">
        <v>362</v>
      </c>
      <c r="O201" s="72" t="s">
        <v>58</v>
      </c>
      <c r="P201" s="6" t="s">
        <v>152</v>
      </c>
      <c r="Q201" s="6"/>
      <c r="R201" s="6" t="s">
        <v>312</v>
      </c>
      <c r="S201" s="6" t="s">
        <v>288</v>
      </c>
      <c r="T201" s="6" t="s">
        <v>277</v>
      </c>
      <c r="U201" s="22">
        <v>45883</v>
      </c>
      <c r="V201" s="22">
        <v>45944</v>
      </c>
      <c r="W201" s="13">
        <f ca="1">V201-TODAY()</f>
        <v>-141</v>
      </c>
      <c r="X201" s="5" t="str">
        <f ca="1">IF(W201&gt;=20,"Vigente",IF(AND(W201&gt;=1,W201&lt;=20),"Por Vencer","Vencido"))</f>
        <v>Vencido</v>
      </c>
    </row>
    <row r="202" spans="1:25" ht="65.25" hidden="1" customHeight="1">
      <c r="A202" s="5" t="s">
        <v>184</v>
      </c>
      <c r="B202" s="6" t="s">
        <v>1128</v>
      </c>
      <c r="C202" s="53">
        <v>13760276</v>
      </c>
      <c r="D202" s="18">
        <v>8</v>
      </c>
      <c r="E202" s="6">
        <v>45</v>
      </c>
      <c r="F202" s="19" t="s">
        <v>18</v>
      </c>
      <c r="G202" s="19" t="s">
        <v>141</v>
      </c>
      <c r="H202" s="11" t="s">
        <v>315</v>
      </c>
      <c r="I202" s="19">
        <v>2025</v>
      </c>
      <c r="J202" s="19" t="s">
        <v>1129</v>
      </c>
      <c r="K202" s="19" t="s">
        <v>62</v>
      </c>
      <c r="L202" s="19" t="s">
        <v>452</v>
      </c>
      <c r="M202" s="75">
        <v>45852</v>
      </c>
      <c r="N202" s="27" t="s">
        <v>683</v>
      </c>
      <c r="O202" s="72" t="s">
        <v>58</v>
      </c>
      <c r="P202" s="6" t="s">
        <v>152</v>
      </c>
      <c r="Q202" s="6"/>
      <c r="R202" s="6" t="s">
        <v>1130</v>
      </c>
      <c r="S202" s="6" t="s">
        <v>595</v>
      </c>
      <c r="T202" s="6" t="s">
        <v>428</v>
      </c>
      <c r="U202" s="75">
        <v>45852</v>
      </c>
      <c r="V202" s="75">
        <v>46005</v>
      </c>
      <c r="W202" s="13">
        <f ca="1">V202-TODAY()</f>
        <v>-80</v>
      </c>
      <c r="X202" s="5" t="str">
        <f ca="1">IF(W202&gt;=20,"Vigente",IF(AND(W202&gt;=1,W202&lt;=20),"Por Vencer","Vencido"))</f>
        <v>Vencido</v>
      </c>
    </row>
    <row r="203" spans="1:25" ht="65.25" hidden="1" customHeight="1">
      <c r="A203" s="5" t="s">
        <v>184</v>
      </c>
      <c r="B203" s="6" t="s">
        <v>1131</v>
      </c>
      <c r="C203" s="53">
        <v>3227659</v>
      </c>
      <c r="D203" s="18">
        <v>8</v>
      </c>
      <c r="E203" s="6">
        <v>94</v>
      </c>
      <c r="F203" s="19" t="s">
        <v>18</v>
      </c>
      <c r="G203" s="19" t="s">
        <v>141</v>
      </c>
      <c r="H203" s="11" t="s">
        <v>315</v>
      </c>
      <c r="I203" s="19">
        <v>2025</v>
      </c>
      <c r="J203" s="73">
        <v>45905</v>
      </c>
      <c r="K203" s="19" t="s">
        <v>161</v>
      </c>
      <c r="L203" s="19" t="s">
        <v>156</v>
      </c>
      <c r="M203" s="75">
        <v>45694</v>
      </c>
      <c r="N203" s="19" t="s">
        <v>312</v>
      </c>
      <c r="O203" s="72" t="s">
        <v>58</v>
      </c>
      <c r="P203" s="6"/>
      <c r="Q203" s="6"/>
      <c r="R203" s="6" t="s">
        <v>540</v>
      </c>
      <c r="S203" s="6" t="s">
        <v>288</v>
      </c>
      <c r="T203" s="6" t="s">
        <v>406</v>
      </c>
      <c r="U203" s="75">
        <v>45903</v>
      </c>
      <c r="V203" s="75">
        <v>45964</v>
      </c>
      <c r="W203" s="13">
        <f ca="1">V203-TODAY()</f>
        <v>-121</v>
      </c>
      <c r="X203" s="5" t="str">
        <f ca="1">IF(W203&gt;=20,"Vigente",IF(AND(W203&gt;=1,W203&lt;=20),"Por Vencer","Vencido"))</f>
        <v>Vencido</v>
      </c>
      <c r="Y203" s="6"/>
    </row>
    <row r="204" spans="1:25" ht="65.25" hidden="1" customHeight="1">
      <c r="A204" s="5" t="s">
        <v>184</v>
      </c>
      <c r="B204" s="6" t="s">
        <v>1132</v>
      </c>
      <c r="C204" s="53">
        <v>16258041</v>
      </c>
      <c r="D204" s="18">
        <v>8</v>
      </c>
      <c r="E204" s="6">
        <v>44</v>
      </c>
      <c r="F204" s="19" t="s">
        <v>738</v>
      </c>
      <c r="G204" s="19" t="s">
        <v>1133</v>
      </c>
      <c r="H204" s="11" t="s">
        <v>315</v>
      </c>
      <c r="I204" s="19">
        <v>2025</v>
      </c>
      <c r="J204" s="19"/>
      <c r="K204" s="19" t="s">
        <v>62</v>
      </c>
      <c r="L204" s="19" t="s">
        <v>156</v>
      </c>
      <c r="M204" s="75">
        <v>45996</v>
      </c>
      <c r="N204" s="19" t="s">
        <v>1134</v>
      </c>
      <c r="O204" s="72" t="s">
        <v>58</v>
      </c>
      <c r="P204" s="6" t="s">
        <v>152</v>
      </c>
      <c r="Q204" s="6"/>
      <c r="R204" s="6" t="s">
        <v>1135</v>
      </c>
      <c r="S204" s="6" t="s">
        <v>595</v>
      </c>
      <c r="T204" s="6" t="s">
        <v>428</v>
      </c>
      <c r="U204" s="75">
        <v>45783</v>
      </c>
      <c r="V204" s="75">
        <v>45936</v>
      </c>
      <c r="W204" s="13">
        <f ca="1">V204-TODAY()</f>
        <v>-149</v>
      </c>
      <c r="X204" s="5" t="str">
        <f ca="1">IF(W204&gt;=20,"Vigente",IF(AND(W204&gt;=1,W204&lt;=20),"Por Vencer","Vencido"))</f>
        <v>Vencido</v>
      </c>
    </row>
    <row r="205" spans="1:25" ht="65.25" hidden="1" customHeight="1">
      <c r="A205" s="5" t="s">
        <v>184</v>
      </c>
      <c r="B205" s="6" t="s">
        <v>1136</v>
      </c>
      <c r="C205" s="53">
        <v>11228083</v>
      </c>
      <c r="D205" s="18">
        <v>9</v>
      </c>
      <c r="E205" s="6">
        <v>57</v>
      </c>
      <c r="F205" s="19" t="s">
        <v>554</v>
      </c>
      <c r="G205" s="19" t="s">
        <v>1137</v>
      </c>
      <c r="H205" s="11" t="s">
        <v>315</v>
      </c>
      <c r="I205" s="19">
        <v>2025</v>
      </c>
      <c r="J205" s="73">
        <v>45841</v>
      </c>
      <c r="K205" s="19" t="s">
        <v>62</v>
      </c>
      <c r="L205" s="186" t="s">
        <v>241</v>
      </c>
      <c r="M205" s="75">
        <v>45860</v>
      </c>
      <c r="N205" s="186" t="s">
        <v>1138</v>
      </c>
      <c r="O205" s="193" t="s">
        <v>34</v>
      </c>
      <c r="P205" s="6" t="s">
        <v>152</v>
      </c>
      <c r="Q205" s="6"/>
      <c r="R205" s="184" t="s">
        <v>535</v>
      </c>
      <c r="S205" s="184" t="s">
        <v>276</v>
      </c>
      <c r="T205" s="184" t="s">
        <v>277</v>
      </c>
      <c r="U205" s="75">
        <v>45889</v>
      </c>
      <c r="V205" s="75">
        <v>45950</v>
      </c>
      <c r="W205" s="13">
        <f ca="1">V205-TODAY()</f>
        <v>-135</v>
      </c>
      <c r="X205" s="5" t="str">
        <f ca="1">IF(W205&gt;=20,"Vigente",IF(AND(W205&gt;=1,W205&lt;=20),"Por Vencer","Vencido"))</f>
        <v>Vencido</v>
      </c>
    </row>
    <row r="206" spans="1:25" ht="65.25" hidden="1" customHeight="1">
      <c r="A206" s="5" t="s">
        <v>184</v>
      </c>
      <c r="B206" s="6" t="s">
        <v>1139</v>
      </c>
      <c r="C206" s="53">
        <v>9690167</v>
      </c>
      <c r="D206" s="18">
        <v>4</v>
      </c>
      <c r="E206" s="6">
        <v>63</v>
      </c>
      <c r="F206" s="19" t="s">
        <v>470</v>
      </c>
      <c r="G206" s="19" t="s">
        <v>68</v>
      </c>
      <c r="H206" s="11" t="s">
        <v>315</v>
      </c>
      <c r="I206" s="19">
        <v>2021</v>
      </c>
      <c r="J206" s="73">
        <v>44531</v>
      </c>
      <c r="K206" s="19" t="s">
        <v>20</v>
      </c>
      <c r="L206" s="19" t="s">
        <v>156</v>
      </c>
      <c r="M206" s="75">
        <v>44411</v>
      </c>
      <c r="N206" s="19" t="s">
        <v>959</v>
      </c>
      <c r="O206" s="72" t="s">
        <v>58</v>
      </c>
      <c r="P206" s="6" t="s">
        <v>152</v>
      </c>
      <c r="Q206" s="6"/>
      <c r="R206" s="6" t="s">
        <v>1140</v>
      </c>
      <c r="S206" s="6" t="s">
        <v>1107</v>
      </c>
      <c r="T206" s="6" t="s">
        <v>428</v>
      </c>
      <c r="U206" s="75">
        <v>45790</v>
      </c>
      <c r="V206" s="75">
        <v>46094</v>
      </c>
      <c r="W206" s="13">
        <f ca="1">V206-TODAY()</f>
        <v>9</v>
      </c>
      <c r="X206" s="5" t="str">
        <f ca="1">IF(W206&gt;=20,"Vigente",IF(AND(W206&gt;=1,W206&lt;=20),"Por Vencer","Vencido"))</f>
        <v>Por Vencer</v>
      </c>
    </row>
    <row r="207" spans="1:25" ht="65.25" hidden="1" customHeight="1">
      <c r="A207" s="5" t="s">
        <v>184</v>
      </c>
      <c r="B207" s="6" t="s">
        <v>1141</v>
      </c>
      <c r="C207" s="53">
        <v>7138267</v>
      </c>
      <c r="D207" s="18">
        <v>2</v>
      </c>
      <c r="E207" s="6">
        <v>69</v>
      </c>
      <c r="F207" s="19" t="s">
        <v>18</v>
      </c>
      <c r="G207" s="19" t="s">
        <v>19</v>
      </c>
      <c r="H207" s="11" t="s">
        <v>315</v>
      </c>
      <c r="I207" s="19">
        <v>2025</v>
      </c>
      <c r="J207" s="19" t="s">
        <v>1142</v>
      </c>
      <c r="K207" s="19" t="s">
        <v>62</v>
      </c>
      <c r="L207" s="19" t="s">
        <v>269</v>
      </c>
      <c r="M207" s="75">
        <v>45859</v>
      </c>
      <c r="N207" s="19" t="s">
        <v>1143</v>
      </c>
      <c r="O207" s="72" t="s">
        <v>58</v>
      </c>
      <c r="P207" s="6" t="s">
        <v>152</v>
      </c>
      <c r="Q207" s="6"/>
      <c r="R207" s="6" t="s">
        <v>1015</v>
      </c>
      <c r="S207" s="6" t="s">
        <v>276</v>
      </c>
      <c r="T207" s="6" t="s">
        <v>428</v>
      </c>
      <c r="U207" s="75">
        <v>45880</v>
      </c>
      <c r="V207" s="75">
        <v>45941</v>
      </c>
      <c r="W207" s="13">
        <f ca="1">V207-TODAY()</f>
        <v>-144</v>
      </c>
      <c r="X207" s="5" t="str">
        <f ca="1">IF(W207&gt;=20,"Vigente",IF(AND(W207&gt;=1,W207&lt;=20),"Por Vencer","Vencido"))</f>
        <v>Vencido</v>
      </c>
    </row>
    <row r="208" spans="1:25" ht="65.25" hidden="1" customHeight="1">
      <c r="A208" s="6" t="s">
        <v>184</v>
      </c>
      <c r="B208" s="6" t="s">
        <v>1144</v>
      </c>
      <c r="C208" s="53">
        <v>11378005</v>
      </c>
      <c r="D208" s="18">
        <v>3</v>
      </c>
      <c r="E208" s="6">
        <v>55</v>
      </c>
      <c r="F208" s="19" t="s">
        <v>18</v>
      </c>
      <c r="G208" s="19" t="s">
        <v>141</v>
      </c>
      <c r="H208" s="11" t="s">
        <v>315</v>
      </c>
      <c r="I208" s="19">
        <v>2025</v>
      </c>
      <c r="J208" s="19" t="s">
        <v>1145</v>
      </c>
      <c r="K208" s="19" t="s">
        <v>62</v>
      </c>
      <c r="L208" s="19" t="s">
        <v>156</v>
      </c>
      <c r="M208" s="75">
        <v>45971</v>
      </c>
      <c r="N208" s="19" t="s">
        <v>762</v>
      </c>
      <c r="O208" s="72" t="s">
        <v>58</v>
      </c>
      <c r="P208" s="6" t="s">
        <v>152</v>
      </c>
      <c r="Q208" s="6"/>
      <c r="R208" s="6" t="s">
        <v>1146</v>
      </c>
      <c r="S208" s="6" t="s">
        <v>388</v>
      </c>
      <c r="T208" s="6" t="s">
        <v>511</v>
      </c>
      <c r="U208" s="75">
        <v>45971</v>
      </c>
      <c r="V208" s="75">
        <v>46091</v>
      </c>
      <c r="W208" s="13">
        <f ca="1">V208-TODAY()</f>
        <v>6</v>
      </c>
      <c r="X208" s="5" t="str">
        <f ca="1">IF(W208&gt;=20,"Vigente",IF(AND(W208&gt;=1,W208&lt;=20),"Por Vencer","Vencido"))</f>
        <v>Por Vencer</v>
      </c>
      <c r="Y208" s="6"/>
    </row>
    <row r="209" spans="1:25" ht="65.25" hidden="1" customHeight="1">
      <c r="A209" s="6" t="s">
        <v>184</v>
      </c>
      <c r="B209" s="6" t="s">
        <v>1147</v>
      </c>
      <c r="C209" s="53">
        <v>10461637</v>
      </c>
      <c r="D209" s="18">
        <v>2</v>
      </c>
      <c r="E209" s="6">
        <v>61</v>
      </c>
      <c r="F209" s="19" t="s">
        <v>470</v>
      </c>
      <c r="G209" s="19" t="s">
        <v>141</v>
      </c>
      <c r="H209" s="11" t="s">
        <v>315</v>
      </c>
      <c r="I209" s="19">
        <v>2025</v>
      </c>
      <c r="J209" s="73">
        <v>45936</v>
      </c>
      <c r="K209" s="186" t="s">
        <v>62</v>
      </c>
      <c r="L209" s="186" t="s">
        <v>269</v>
      </c>
      <c r="M209" s="75">
        <v>45887</v>
      </c>
      <c r="N209" s="186" t="s">
        <v>628</v>
      </c>
      <c r="O209" s="72" t="s">
        <v>58</v>
      </c>
      <c r="P209" s="184" t="s">
        <v>152</v>
      </c>
      <c r="Q209" s="6"/>
      <c r="R209" s="184" t="s">
        <v>1148</v>
      </c>
      <c r="S209" s="184" t="s">
        <v>1149</v>
      </c>
      <c r="T209" s="6" t="s">
        <v>428</v>
      </c>
      <c r="U209" s="75">
        <v>46041</v>
      </c>
      <c r="V209" s="75">
        <v>46375</v>
      </c>
      <c r="W209" s="13">
        <f ca="1">V209-TODAY()</f>
        <v>290</v>
      </c>
      <c r="X209" s="5" t="str">
        <f ca="1">IF(W209&gt;=20,"Vigente",IF(AND(W209&gt;=1,W209&lt;=20),"Por Vencer","Vencido"))</f>
        <v>Vigente</v>
      </c>
    </row>
    <row r="210" spans="1:25" ht="65.25" hidden="1" customHeight="1">
      <c r="A210" s="6" t="s">
        <v>184</v>
      </c>
      <c r="B210" s="6" t="s">
        <v>1150</v>
      </c>
      <c r="C210" s="53">
        <v>10594551</v>
      </c>
      <c r="D210" s="18">
        <v>5</v>
      </c>
      <c r="E210" s="6">
        <v>69</v>
      </c>
      <c r="F210" s="19" t="s">
        <v>18</v>
      </c>
      <c r="G210" s="19" t="s">
        <v>68</v>
      </c>
      <c r="H210" s="11" t="s">
        <v>315</v>
      </c>
      <c r="I210" s="19">
        <v>2025</v>
      </c>
      <c r="J210" s="73">
        <v>45804</v>
      </c>
      <c r="K210" s="19" t="s">
        <v>62</v>
      </c>
      <c r="L210" s="19" t="s">
        <v>241</v>
      </c>
      <c r="M210" s="75">
        <v>45887</v>
      </c>
      <c r="N210" s="19" t="s">
        <v>1151</v>
      </c>
      <c r="O210" s="72" t="s">
        <v>58</v>
      </c>
      <c r="P210" s="6" t="s">
        <v>152</v>
      </c>
      <c r="Q210" s="6"/>
      <c r="R210" s="6" t="s">
        <v>1152</v>
      </c>
      <c r="S210" s="6" t="s">
        <v>276</v>
      </c>
      <c r="T210" s="6" t="s">
        <v>428</v>
      </c>
      <c r="U210" s="75">
        <v>45960</v>
      </c>
      <c r="V210" s="75">
        <v>46052</v>
      </c>
      <c r="W210" s="13">
        <f ca="1">V210-TODAY()</f>
        <v>-33</v>
      </c>
      <c r="X210" s="5" t="str">
        <f ca="1">IF(W210&gt;=20,"Vigente",IF(AND(W210&gt;=1,W210&lt;=20),"Por Vencer","Vencido"))</f>
        <v>Vencido</v>
      </c>
      <c r="Y210" s="6"/>
    </row>
    <row r="211" spans="1:25" ht="65.25" hidden="1" customHeight="1">
      <c r="A211" s="6" t="s">
        <v>184</v>
      </c>
      <c r="B211" s="6" t="s">
        <v>1153</v>
      </c>
      <c r="C211" s="53">
        <v>13976601</v>
      </c>
      <c r="D211" s="18">
        <v>6</v>
      </c>
      <c r="E211" s="6">
        <v>52</v>
      </c>
      <c r="F211" s="19" t="s">
        <v>18</v>
      </c>
      <c r="G211" s="19" t="s">
        <v>68</v>
      </c>
      <c r="H211" s="11" t="s">
        <v>315</v>
      </c>
      <c r="I211" s="19">
        <v>2025</v>
      </c>
      <c r="J211" s="73">
        <v>45806</v>
      </c>
      <c r="K211" s="19" t="s">
        <v>62</v>
      </c>
      <c r="L211" s="19" t="s">
        <v>241</v>
      </c>
      <c r="M211" s="75">
        <v>46069</v>
      </c>
      <c r="N211" s="19" t="s">
        <v>1154</v>
      </c>
      <c r="O211" s="72" t="s">
        <v>34</v>
      </c>
      <c r="P211" s="6" t="s">
        <v>152</v>
      </c>
      <c r="Q211" s="6"/>
      <c r="R211" s="6" t="s">
        <v>1155</v>
      </c>
      <c r="S211" s="6" t="s">
        <v>276</v>
      </c>
      <c r="T211" s="6" t="s">
        <v>277</v>
      </c>
      <c r="U211" s="75">
        <v>46080</v>
      </c>
      <c r="V211" s="75">
        <v>46108</v>
      </c>
      <c r="W211" s="13">
        <f ca="1">V211-TODAY()</f>
        <v>23</v>
      </c>
      <c r="X211" s="5" t="str">
        <f ca="1">IF(W211&gt;=20,"Vigente",IF(AND(W211&gt;=1,W211&lt;=20),"Por Vencer","Vencido"))</f>
        <v>Vigente</v>
      </c>
      <c r="Y211" s="107"/>
    </row>
    <row r="212" spans="1:25" ht="65.25" hidden="1" customHeight="1">
      <c r="A212" s="6" t="s">
        <v>184</v>
      </c>
      <c r="B212" s="6" t="s">
        <v>1156</v>
      </c>
      <c r="C212" s="53">
        <v>17828285</v>
      </c>
      <c r="D212" s="18">
        <v>9</v>
      </c>
      <c r="E212" s="6">
        <v>33</v>
      </c>
      <c r="F212" s="19" t="s">
        <v>738</v>
      </c>
      <c r="G212" s="19" t="s">
        <v>19</v>
      </c>
      <c r="H212" s="11" t="s">
        <v>315</v>
      </c>
      <c r="I212" s="19">
        <v>2025</v>
      </c>
      <c r="J212" s="73">
        <v>45821</v>
      </c>
      <c r="K212" s="19" t="s">
        <v>62</v>
      </c>
      <c r="L212" s="19" t="s">
        <v>241</v>
      </c>
      <c r="M212" s="75">
        <v>45831</v>
      </c>
      <c r="N212" s="19" t="s">
        <v>1157</v>
      </c>
      <c r="O212" s="72" t="s">
        <v>58</v>
      </c>
      <c r="P212" s="6" t="s">
        <v>152</v>
      </c>
      <c r="Q212" s="6"/>
      <c r="R212" s="6" t="s">
        <v>1158</v>
      </c>
      <c r="S212" s="6" t="s">
        <v>284</v>
      </c>
      <c r="T212" s="6" t="s">
        <v>511</v>
      </c>
      <c r="U212" s="75">
        <v>45933</v>
      </c>
      <c r="V212" s="75">
        <v>45964</v>
      </c>
      <c r="W212" s="13">
        <f ca="1">V212-TODAY()</f>
        <v>-121</v>
      </c>
      <c r="X212" s="5" t="str">
        <f ca="1">IF(W212&gt;=20,"Vigente",IF(AND(W212&gt;=1,W212&lt;=20),"Por Vencer","Vencido"))</f>
        <v>Vencido</v>
      </c>
      <c r="Y212" s="6"/>
    </row>
    <row r="213" spans="1:25" ht="65.25" hidden="1" customHeight="1">
      <c r="A213" s="6" t="s">
        <v>184</v>
      </c>
      <c r="B213" s="6" t="s">
        <v>1159</v>
      </c>
      <c r="C213" s="53">
        <v>5652836</v>
      </c>
      <c r="D213" s="18">
        <v>9</v>
      </c>
      <c r="E213" s="6">
        <v>78</v>
      </c>
      <c r="F213" s="19" t="s">
        <v>554</v>
      </c>
      <c r="G213" s="19" t="s">
        <v>19</v>
      </c>
      <c r="H213" s="11" t="s">
        <v>315</v>
      </c>
      <c r="I213" s="19">
        <v>2025</v>
      </c>
      <c r="J213" s="73">
        <v>45751</v>
      </c>
      <c r="K213" s="19" t="s">
        <v>62</v>
      </c>
      <c r="L213" s="19" t="s">
        <v>241</v>
      </c>
      <c r="M213" s="75">
        <v>45824</v>
      </c>
      <c r="N213" s="19" t="s">
        <v>1160</v>
      </c>
      <c r="O213" s="72" t="s">
        <v>58</v>
      </c>
      <c r="P213" s="6" t="s">
        <v>152</v>
      </c>
      <c r="Q213" s="6"/>
      <c r="R213" s="6" t="s">
        <v>1161</v>
      </c>
      <c r="S213" s="6" t="s">
        <v>284</v>
      </c>
      <c r="T213" s="6" t="s">
        <v>289</v>
      </c>
      <c r="U213" s="75">
        <v>45826</v>
      </c>
      <c r="V213" s="75">
        <v>45856</v>
      </c>
      <c r="W213" s="13">
        <f ca="1">V213-TODAY()</f>
        <v>-229</v>
      </c>
      <c r="X213" s="5" t="str">
        <f ca="1">IF(W213&gt;=20,"Vigente",IF(AND(W213&gt;=1,W213&lt;=20),"Por Vencer","Vencido"))</f>
        <v>Vencido</v>
      </c>
      <c r="Y213" s="142"/>
    </row>
    <row r="214" spans="1:25" ht="65.25" hidden="1" customHeight="1">
      <c r="A214" s="6" t="s">
        <v>184</v>
      </c>
      <c r="B214" s="6" t="s">
        <v>1162</v>
      </c>
      <c r="C214" s="53">
        <v>9874671</v>
      </c>
      <c r="D214" s="18">
        <v>4</v>
      </c>
      <c r="E214" s="6">
        <v>56</v>
      </c>
      <c r="F214" s="19" t="s">
        <v>18</v>
      </c>
      <c r="G214" s="19" t="s">
        <v>68</v>
      </c>
      <c r="H214" s="11" t="s">
        <v>315</v>
      </c>
      <c r="I214" s="19">
        <v>2025</v>
      </c>
      <c r="J214" s="73">
        <v>45803</v>
      </c>
      <c r="K214" s="19" t="s">
        <v>62</v>
      </c>
      <c r="L214" s="19" t="s">
        <v>241</v>
      </c>
      <c r="M214" s="75">
        <v>45947</v>
      </c>
      <c r="N214" s="19" t="s">
        <v>1163</v>
      </c>
      <c r="O214" s="72" t="s">
        <v>58</v>
      </c>
      <c r="P214" s="6" t="s">
        <v>152</v>
      </c>
      <c r="Q214" s="6"/>
      <c r="R214" s="6" t="s">
        <v>1164</v>
      </c>
      <c r="S214" s="6" t="s">
        <v>284</v>
      </c>
      <c r="T214" s="6" t="s">
        <v>289</v>
      </c>
      <c r="U214" s="75">
        <v>45967</v>
      </c>
      <c r="V214" s="75">
        <v>45997</v>
      </c>
      <c r="W214" s="13">
        <f ca="1">V214-TODAY()</f>
        <v>-88</v>
      </c>
      <c r="X214" s="5" t="str">
        <f ca="1">IF(W214&gt;=20,"Vigente",IF(AND(W214&gt;=1,W214&lt;=20),"Por Vencer","Vencido"))</f>
        <v>Vencido</v>
      </c>
      <c r="Y214" s="6"/>
    </row>
    <row r="215" spans="1:25" ht="65.25" hidden="1" customHeight="1">
      <c r="A215" s="6" t="s">
        <v>184</v>
      </c>
      <c r="B215" s="6" t="s">
        <v>1165</v>
      </c>
      <c r="C215" s="53">
        <v>4697114</v>
      </c>
      <c r="D215" s="18">
        <v>0</v>
      </c>
      <c r="E215" s="6">
        <v>83</v>
      </c>
      <c r="F215" s="19" t="s">
        <v>18</v>
      </c>
      <c r="G215" s="19" t="s">
        <v>68</v>
      </c>
      <c r="H215" s="11" t="s">
        <v>315</v>
      </c>
      <c r="I215" s="19">
        <v>2025</v>
      </c>
      <c r="J215" s="73">
        <v>45840</v>
      </c>
      <c r="K215" s="19" t="s">
        <v>62</v>
      </c>
      <c r="L215" s="19" t="s">
        <v>241</v>
      </c>
      <c r="M215" s="75">
        <v>45891</v>
      </c>
      <c r="N215" s="19" t="s">
        <v>1166</v>
      </c>
      <c r="O215" s="72" t="s">
        <v>58</v>
      </c>
      <c r="P215" s="6" t="s">
        <v>152</v>
      </c>
      <c r="Q215" s="6"/>
      <c r="R215" s="6" t="s">
        <v>1167</v>
      </c>
      <c r="S215" s="6" t="s">
        <v>276</v>
      </c>
      <c r="T215" s="6" t="s">
        <v>277</v>
      </c>
      <c r="U215" s="75">
        <v>45903</v>
      </c>
      <c r="V215" s="75">
        <v>45933</v>
      </c>
      <c r="W215" s="13">
        <f ca="1">V215-TODAY()</f>
        <v>-152</v>
      </c>
      <c r="X215" s="5" t="str">
        <f ca="1">IF(W215&gt;=20,"Vigente",IF(AND(W215&gt;=1,W215&lt;=20),"Por Vencer","Vencido"))</f>
        <v>Vencido</v>
      </c>
      <c r="Y215" s="142"/>
    </row>
    <row r="216" spans="1:25" ht="65.25" hidden="1" customHeight="1">
      <c r="A216" s="6" t="s">
        <v>184</v>
      </c>
      <c r="B216" s="6" t="s">
        <v>1168</v>
      </c>
      <c r="C216" s="53">
        <v>11219802</v>
      </c>
      <c r="D216" s="18">
        <v>4</v>
      </c>
      <c r="E216" s="6">
        <v>56</v>
      </c>
      <c r="F216" s="19" t="s">
        <v>18</v>
      </c>
      <c r="G216" s="19" t="s">
        <v>19</v>
      </c>
      <c r="H216" s="11" t="s">
        <v>315</v>
      </c>
      <c r="I216" s="19">
        <v>2025</v>
      </c>
      <c r="J216" s="73">
        <v>45840</v>
      </c>
      <c r="K216" s="19" t="s">
        <v>62</v>
      </c>
      <c r="L216" s="19" t="s">
        <v>241</v>
      </c>
      <c r="M216" s="75">
        <v>45971</v>
      </c>
      <c r="N216" s="19" t="s">
        <v>1169</v>
      </c>
      <c r="O216" s="72" t="s">
        <v>58</v>
      </c>
      <c r="P216" s="6" t="s">
        <v>152</v>
      </c>
      <c r="Q216" s="6"/>
      <c r="R216" s="6" t="s">
        <v>1170</v>
      </c>
      <c r="S216" s="6" t="s">
        <v>284</v>
      </c>
      <c r="T216" s="6" t="s">
        <v>511</v>
      </c>
      <c r="U216" s="75">
        <v>45972</v>
      </c>
      <c r="V216" s="75">
        <v>46002</v>
      </c>
      <c r="W216" s="13">
        <f ca="1">V216-TODAY()</f>
        <v>-83</v>
      </c>
      <c r="X216" s="5" t="str">
        <f ca="1">IF(W216&gt;=20,"Vigente",IF(AND(W216&gt;=1,W216&lt;=20),"Por Vencer","Vencido"))</f>
        <v>Vencido</v>
      </c>
      <c r="Y216" s="6"/>
    </row>
    <row r="217" spans="1:25" ht="65.25" hidden="1" customHeight="1">
      <c r="A217" s="6" t="s">
        <v>184</v>
      </c>
      <c r="B217" s="6" t="s">
        <v>1171</v>
      </c>
      <c r="C217" s="53">
        <v>5180675</v>
      </c>
      <c r="D217" s="18">
        <v>1</v>
      </c>
      <c r="E217" s="6">
        <v>81</v>
      </c>
      <c r="F217" s="19" t="s">
        <v>18</v>
      </c>
      <c r="G217" s="19" t="s">
        <v>19</v>
      </c>
      <c r="H217" s="11" t="s">
        <v>315</v>
      </c>
      <c r="I217" s="19">
        <v>2025</v>
      </c>
      <c r="J217" s="73">
        <v>45838</v>
      </c>
      <c r="K217" s="19" t="s">
        <v>62</v>
      </c>
      <c r="L217" s="186" t="s">
        <v>168</v>
      </c>
      <c r="M217" s="75">
        <v>45866</v>
      </c>
      <c r="N217" s="186" t="s">
        <v>1172</v>
      </c>
      <c r="O217" s="72" t="s">
        <v>58</v>
      </c>
      <c r="P217" s="184" t="s">
        <v>152</v>
      </c>
      <c r="Q217" s="6"/>
      <c r="R217" s="184" t="s">
        <v>1173</v>
      </c>
      <c r="S217" s="184" t="s">
        <v>557</v>
      </c>
      <c r="T217" s="6" t="s">
        <v>511</v>
      </c>
      <c r="U217" s="75">
        <v>46035</v>
      </c>
      <c r="V217" s="75">
        <v>46186</v>
      </c>
      <c r="W217" s="13">
        <f ca="1">V217-TODAY()</f>
        <v>101</v>
      </c>
      <c r="X217" s="5" t="str">
        <f ca="1">IF(W217&gt;=20,"Vigente",IF(AND(W217&gt;=1,W217&lt;=20),"Por Vencer","Vencido"))</f>
        <v>Vigente</v>
      </c>
      <c r="Y217" s="107"/>
    </row>
    <row r="218" spans="1:25" ht="65.25" hidden="1" customHeight="1">
      <c r="A218" s="6" t="s">
        <v>184</v>
      </c>
      <c r="B218" s="6" t="s">
        <v>1174</v>
      </c>
      <c r="C218" s="53">
        <v>12807385</v>
      </c>
      <c r="D218" s="18" t="s">
        <v>87</v>
      </c>
      <c r="E218" s="6">
        <v>51</v>
      </c>
      <c r="F218" s="19" t="s">
        <v>470</v>
      </c>
      <c r="G218" s="19" t="s">
        <v>19</v>
      </c>
      <c r="H218" s="11" t="s">
        <v>315</v>
      </c>
      <c r="I218" s="19">
        <v>2025</v>
      </c>
      <c r="J218" s="73">
        <v>45855</v>
      </c>
      <c r="K218" s="19" t="s">
        <v>62</v>
      </c>
      <c r="L218" s="19" t="s">
        <v>168</v>
      </c>
      <c r="M218" s="75">
        <v>45915</v>
      </c>
      <c r="N218" s="19" t="s">
        <v>1175</v>
      </c>
      <c r="O218" s="72" t="s">
        <v>34</v>
      </c>
      <c r="P218" s="184" t="s">
        <v>152</v>
      </c>
      <c r="Q218" s="6"/>
      <c r="R218" s="6" t="s">
        <v>1176</v>
      </c>
      <c r="S218" s="6" t="s">
        <v>284</v>
      </c>
      <c r="T218" s="6" t="s">
        <v>277</v>
      </c>
      <c r="U218" s="75">
        <v>45915</v>
      </c>
      <c r="V218" s="75">
        <v>45945</v>
      </c>
      <c r="W218" s="13">
        <f ca="1">V218-TODAY()</f>
        <v>-140</v>
      </c>
      <c r="X218" s="5" t="str">
        <f ca="1">IF(W218&gt;=20,"Vigente",IF(AND(W218&gt;=1,W218&lt;=20),"Por Vencer","Vencido"))</f>
        <v>Vencido</v>
      </c>
      <c r="Y218" s="142"/>
    </row>
    <row r="219" spans="1:25" ht="65.25" hidden="1" customHeight="1">
      <c r="A219" s="6" t="s">
        <v>184</v>
      </c>
      <c r="B219" s="184" t="s">
        <v>1177</v>
      </c>
      <c r="C219" s="53">
        <v>8177949</v>
      </c>
      <c r="D219" s="194" t="s">
        <v>87</v>
      </c>
      <c r="E219" s="6">
        <v>61</v>
      </c>
      <c r="F219" s="186" t="s">
        <v>18</v>
      </c>
      <c r="G219" s="186" t="s">
        <v>1178</v>
      </c>
      <c r="H219" s="11" t="s">
        <v>315</v>
      </c>
      <c r="I219" s="19">
        <v>2025</v>
      </c>
      <c r="J219" s="73">
        <v>45857</v>
      </c>
      <c r="K219" s="186" t="s">
        <v>62</v>
      </c>
      <c r="L219" s="186" t="s">
        <v>241</v>
      </c>
      <c r="M219" s="75">
        <v>45887</v>
      </c>
      <c r="N219" s="186" t="s">
        <v>1179</v>
      </c>
      <c r="O219" s="72" t="s">
        <v>58</v>
      </c>
      <c r="P219" s="184" t="s">
        <v>152</v>
      </c>
      <c r="Q219" s="6"/>
      <c r="R219" s="184" t="s">
        <v>472</v>
      </c>
      <c r="S219" s="184" t="s">
        <v>284</v>
      </c>
      <c r="T219" s="184" t="s">
        <v>1180</v>
      </c>
      <c r="U219" s="75">
        <v>45887</v>
      </c>
      <c r="V219" s="75">
        <v>45918</v>
      </c>
      <c r="W219" s="13">
        <f ca="1">V219-TODAY()</f>
        <v>-167</v>
      </c>
      <c r="X219" s="5" t="str">
        <f ca="1">IF(W219&gt;=20,"Vigente",IF(AND(W219&gt;=1,W219&lt;=20),"Por Vencer","Vencido"))</f>
        <v>Vencido</v>
      </c>
      <c r="Y219" s="6"/>
    </row>
    <row r="220" spans="1:25" ht="65.25" hidden="1" customHeight="1">
      <c r="A220" s="6" t="s">
        <v>184</v>
      </c>
      <c r="B220" s="184" t="s">
        <v>1181</v>
      </c>
      <c r="C220" s="53">
        <v>4962496</v>
      </c>
      <c r="D220" s="18">
        <v>4</v>
      </c>
      <c r="E220" s="6">
        <v>82</v>
      </c>
      <c r="F220" s="186" t="s">
        <v>64</v>
      </c>
      <c r="G220" s="186" t="s">
        <v>502</v>
      </c>
      <c r="H220" s="11" t="s">
        <v>315</v>
      </c>
      <c r="I220" s="19">
        <v>2025</v>
      </c>
      <c r="J220" s="73">
        <v>45856</v>
      </c>
      <c r="K220" s="186" t="s">
        <v>62</v>
      </c>
      <c r="L220" s="186" t="s">
        <v>156</v>
      </c>
      <c r="M220" s="75">
        <v>45922</v>
      </c>
      <c r="N220" s="186" t="s">
        <v>296</v>
      </c>
      <c r="O220" s="72" t="s">
        <v>58</v>
      </c>
      <c r="P220" s="184" t="s">
        <v>152</v>
      </c>
      <c r="Q220" s="6"/>
      <c r="R220" s="184" t="s">
        <v>1182</v>
      </c>
      <c r="S220" s="184" t="s">
        <v>288</v>
      </c>
      <c r="T220" s="184" t="s">
        <v>277</v>
      </c>
      <c r="U220" s="75">
        <v>45922</v>
      </c>
      <c r="V220" s="75">
        <v>46013</v>
      </c>
      <c r="W220" s="13">
        <f ca="1">V220-TODAY()</f>
        <v>-72</v>
      </c>
      <c r="X220" s="5" t="str">
        <f ca="1">IF(W220&gt;=20,"Vigente",IF(AND(W220&gt;=1,W220&lt;=20),"Por Vencer","Vencido"))</f>
        <v>Vencido</v>
      </c>
      <c r="Y220" s="107"/>
    </row>
    <row r="221" spans="1:25" ht="65.25" hidden="1" customHeight="1">
      <c r="A221" s="6" t="s">
        <v>184</v>
      </c>
      <c r="B221" s="6" t="s">
        <v>1183</v>
      </c>
      <c r="C221" s="53">
        <v>5092229</v>
      </c>
      <c r="D221" s="18">
        <v>4</v>
      </c>
      <c r="E221" s="6">
        <v>81</v>
      </c>
      <c r="F221" s="19" t="s">
        <v>738</v>
      </c>
      <c r="G221" s="19" t="s">
        <v>1184</v>
      </c>
      <c r="H221" s="11" t="s">
        <v>315</v>
      </c>
      <c r="I221" s="19">
        <v>2025</v>
      </c>
      <c r="J221" s="73">
        <v>45857</v>
      </c>
      <c r="K221" s="19" t="s">
        <v>62</v>
      </c>
      <c r="L221" s="186" t="s">
        <v>241</v>
      </c>
      <c r="M221" s="75">
        <v>45894</v>
      </c>
      <c r="N221" s="19" t="s">
        <v>1185</v>
      </c>
      <c r="O221" s="72" t="s">
        <v>58</v>
      </c>
      <c r="P221" s="184" t="s">
        <v>152</v>
      </c>
      <c r="Q221" s="6"/>
      <c r="R221" s="6" t="s">
        <v>1186</v>
      </c>
      <c r="S221" s="184" t="s">
        <v>284</v>
      </c>
      <c r="T221" s="184" t="s">
        <v>285</v>
      </c>
      <c r="U221" s="75">
        <v>45894</v>
      </c>
      <c r="V221" s="75">
        <v>45925</v>
      </c>
      <c r="W221" s="13">
        <f ca="1">V221-TODAY()</f>
        <v>-160</v>
      </c>
      <c r="X221" s="5" t="str">
        <f ca="1">IF(W221&gt;=20,"Vigente",IF(AND(W221&gt;=1,W221&lt;=20),"Por Vencer","Vencido"))</f>
        <v>Vencido</v>
      </c>
    </row>
    <row r="222" spans="1:25" ht="65.25" hidden="1" customHeight="1">
      <c r="A222" s="6" t="s">
        <v>184</v>
      </c>
      <c r="B222" s="6" t="s">
        <v>1187</v>
      </c>
      <c r="C222" s="53">
        <v>12771079</v>
      </c>
      <c r="D222" s="18">
        <v>1</v>
      </c>
      <c r="E222" s="6">
        <v>49</v>
      </c>
      <c r="F222" s="19" t="s">
        <v>18</v>
      </c>
      <c r="G222" s="19" t="s">
        <v>19</v>
      </c>
      <c r="H222" s="11" t="s">
        <v>315</v>
      </c>
      <c r="I222" s="19">
        <v>2025</v>
      </c>
      <c r="J222" s="73">
        <v>45887</v>
      </c>
      <c r="K222" s="19" t="s">
        <v>62</v>
      </c>
      <c r="L222" s="186" t="s">
        <v>168</v>
      </c>
      <c r="M222" s="75">
        <v>45929</v>
      </c>
      <c r="N222" s="19" t="s">
        <v>1169</v>
      </c>
      <c r="O222" s="72" t="s">
        <v>34</v>
      </c>
      <c r="P222" s="184" t="s">
        <v>152</v>
      </c>
      <c r="Q222" s="6"/>
      <c r="R222" s="6" t="s">
        <v>1188</v>
      </c>
      <c r="S222" s="6" t="s">
        <v>288</v>
      </c>
      <c r="T222" s="6" t="s">
        <v>277</v>
      </c>
      <c r="U222" s="75">
        <v>46063</v>
      </c>
      <c r="V222" s="75">
        <v>46152</v>
      </c>
      <c r="W222" s="13">
        <f ca="1">V222-TODAY()</f>
        <v>67</v>
      </c>
      <c r="X222" s="5" t="str">
        <f ca="1">IF(W222&gt;=20,"Vigente",IF(AND(W222&gt;=1,W222&lt;=20),"Por Vencer","Vencido"))</f>
        <v>Vigente</v>
      </c>
    </row>
    <row r="223" spans="1:25" ht="65.25" hidden="1" customHeight="1">
      <c r="A223" s="6" t="s">
        <v>184</v>
      </c>
      <c r="B223" s="184" t="s">
        <v>1189</v>
      </c>
      <c r="C223" s="53">
        <v>8560750</v>
      </c>
      <c r="D223" s="18">
        <v>2</v>
      </c>
      <c r="E223" s="6">
        <v>66</v>
      </c>
      <c r="F223" s="186" t="s">
        <v>554</v>
      </c>
      <c r="G223" s="186" t="s">
        <v>502</v>
      </c>
      <c r="H223" s="11" t="s">
        <v>315</v>
      </c>
      <c r="I223" s="19">
        <v>2025</v>
      </c>
      <c r="J223" s="73">
        <v>45868</v>
      </c>
      <c r="K223" s="19" t="s">
        <v>62</v>
      </c>
      <c r="L223" s="19" t="s">
        <v>1190</v>
      </c>
      <c r="M223" s="75">
        <v>45894</v>
      </c>
      <c r="N223" s="19" t="s">
        <v>1191</v>
      </c>
      <c r="O223" s="72" t="s">
        <v>34</v>
      </c>
      <c r="P223" s="6" t="s">
        <v>152</v>
      </c>
      <c r="Q223" s="6"/>
      <c r="R223" s="6" t="s">
        <v>1192</v>
      </c>
      <c r="S223" s="6" t="s">
        <v>284</v>
      </c>
      <c r="T223" s="6" t="s">
        <v>289</v>
      </c>
      <c r="U223" s="75">
        <v>45968</v>
      </c>
      <c r="V223" s="75">
        <v>45998</v>
      </c>
      <c r="W223" s="13">
        <f ca="1">V223-TODAY()</f>
        <v>-87</v>
      </c>
      <c r="X223" s="5" t="str">
        <f ca="1">IF(W223&gt;=20,"Vigente",IF(AND(W223&gt;=1,W223&lt;=20),"Por Vencer","Vencido"))</f>
        <v>Vencido</v>
      </c>
    </row>
    <row r="224" spans="1:25" ht="65.25" hidden="1" customHeight="1">
      <c r="A224" s="6" t="s">
        <v>184</v>
      </c>
      <c r="B224" s="6" t="s">
        <v>1193</v>
      </c>
      <c r="C224" s="53">
        <v>7113047</v>
      </c>
      <c r="D224" s="18">
        <v>9</v>
      </c>
      <c r="E224" s="6">
        <v>70</v>
      </c>
      <c r="F224" s="19" t="s">
        <v>18</v>
      </c>
      <c r="G224" s="19" t="s">
        <v>502</v>
      </c>
      <c r="H224" s="11" t="s">
        <v>315</v>
      </c>
      <c r="I224" s="19">
        <v>2025</v>
      </c>
      <c r="J224" s="73">
        <v>45877</v>
      </c>
      <c r="K224" s="19" t="s">
        <v>62</v>
      </c>
      <c r="L224" s="186" t="s">
        <v>168</v>
      </c>
      <c r="M224" s="75">
        <v>46055</v>
      </c>
      <c r="N224" s="186" t="s">
        <v>1194</v>
      </c>
      <c r="O224" s="193" t="s">
        <v>34</v>
      </c>
      <c r="P224" s="6" t="s">
        <v>152</v>
      </c>
      <c r="Q224" s="6"/>
      <c r="R224" s="184" t="s">
        <v>527</v>
      </c>
      <c r="S224" s="6" t="s">
        <v>284</v>
      </c>
      <c r="T224" s="184" t="s">
        <v>277</v>
      </c>
      <c r="U224" s="75">
        <v>46065</v>
      </c>
      <c r="V224" s="75">
        <v>46093</v>
      </c>
      <c r="W224" s="13">
        <f ca="1">V224-TODAY()</f>
        <v>8</v>
      </c>
      <c r="X224" s="5" t="str">
        <f ca="1">IF(W224&gt;=20,"Vigente",IF(AND(W224&gt;=1,W224&lt;=20),"Por Vencer","Vencido"))</f>
        <v>Por Vencer</v>
      </c>
    </row>
    <row r="225" spans="1:25" ht="65.25" hidden="1" customHeight="1">
      <c r="A225" s="6" t="s">
        <v>184</v>
      </c>
      <c r="B225" s="6" t="s">
        <v>1195</v>
      </c>
      <c r="C225" s="53">
        <v>15041087</v>
      </c>
      <c r="D225" s="18">
        <v>8</v>
      </c>
      <c r="E225" s="6">
        <v>43</v>
      </c>
      <c r="F225" s="19" t="s">
        <v>18</v>
      </c>
      <c r="G225" s="19" t="s">
        <v>502</v>
      </c>
      <c r="H225" s="11" t="s">
        <v>315</v>
      </c>
      <c r="I225" s="19">
        <v>2025</v>
      </c>
      <c r="J225" s="73">
        <v>45875</v>
      </c>
      <c r="K225" s="19" t="s">
        <v>62</v>
      </c>
      <c r="L225" s="19" t="s">
        <v>241</v>
      </c>
      <c r="M225" s="75">
        <v>45915</v>
      </c>
      <c r="N225" s="19" t="s">
        <v>1196</v>
      </c>
      <c r="O225" s="72" t="s">
        <v>58</v>
      </c>
      <c r="P225" s="6" t="s">
        <v>152</v>
      </c>
      <c r="Q225" s="6"/>
      <c r="R225" s="6" t="s">
        <v>524</v>
      </c>
      <c r="S225" s="6" t="s">
        <v>284</v>
      </c>
      <c r="T225" s="6" t="s">
        <v>277</v>
      </c>
      <c r="U225" s="75">
        <v>45916</v>
      </c>
      <c r="V225" s="75">
        <v>45946</v>
      </c>
      <c r="W225" s="13">
        <f ca="1">V225-TODAY()</f>
        <v>-139</v>
      </c>
      <c r="X225" s="5" t="str">
        <f ca="1">IF(W225&gt;=20,"Vigente",IF(AND(W225&gt;=1,W225&lt;=20),"Por Vencer","Vencido"))</f>
        <v>Vencido</v>
      </c>
      <c r="Y225" s="6"/>
    </row>
    <row r="226" spans="1:25" ht="65.25" hidden="1" customHeight="1">
      <c r="A226" s="6" t="s">
        <v>184</v>
      </c>
      <c r="B226" s="6" t="s">
        <v>1197</v>
      </c>
      <c r="C226" s="53">
        <v>10516855</v>
      </c>
      <c r="D226" s="18">
        <v>1</v>
      </c>
      <c r="E226" s="6">
        <v>60</v>
      </c>
      <c r="F226" s="19" t="s">
        <v>18</v>
      </c>
      <c r="G226" s="19" t="s">
        <v>502</v>
      </c>
      <c r="H226" s="11" t="s">
        <v>315</v>
      </c>
      <c r="I226" s="19">
        <v>2025</v>
      </c>
      <c r="J226" s="73">
        <v>45876</v>
      </c>
      <c r="K226" s="19" t="s">
        <v>62</v>
      </c>
      <c r="L226" s="19" t="s">
        <v>241</v>
      </c>
      <c r="M226" s="75">
        <v>45908</v>
      </c>
      <c r="N226" s="19" t="s">
        <v>1198</v>
      </c>
      <c r="O226" s="72" t="s">
        <v>34</v>
      </c>
      <c r="P226" s="6" t="s">
        <v>152</v>
      </c>
      <c r="Q226" s="6"/>
      <c r="R226" s="6" t="s">
        <v>1199</v>
      </c>
      <c r="S226" s="6" t="s">
        <v>1115</v>
      </c>
      <c r="T226" s="6" t="s">
        <v>277</v>
      </c>
      <c r="U226" s="75">
        <v>45916</v>
      </c>
      <c r="V226" s="75">
        <v>45946</v>
      </c>
      <c r="W226" s="13">
        <f ca="1">V226-TODAY()</f>
        <v>-139</v>
      </c>
      <c r="X226" s="5" t="str">
        <f ca="1">IF(W226&gt;=20,"Vigente",IF(AND(W226&gt;=1,W226&lt;=20),"Por Vencer","Vencido"))</f>
        <v>Vencido</v>
      </c>
    </row>
    <row r="227" spans="1:25" ht="65.25" hidden="1" customHeight="1">
      <c r="A227" s="6" t="s">
        <v>59</v>
      </c>
      <c r="B227" s="6" t="s">
        <v>1200</v>
      </c>
      <c r="C227" s="53">
        <v>10251633</v>
      </c>
      <c r="D227" s="18">
        <v>8</v>
      </c>
      <c r="E227" s="6">
        <v>60</v>
      </c>
      <c r="F227" s="19" t="s">
        <v>18</v>
      </c>
      <c r="G227" s="19" t="s">
        <v>1201</v>
      </c>
      <c r="H227" s="11" t="s">
        <v>315</v>
      </c>
      <c r="I227" s="19">
        <v>2025</v>
      </c>
      <c r="J227" s="73">
        <v>45902</v>
      </c>
      <c r="K227" s="19" t="s">
        <v>166</v>
      </c>
      <c r="L227" s="19" t="s">
        <v>241</v>
      </c>
      <c r="M227" s="6"/>
      <c r="N227" s="19"/>
      <c r="O227" s="72" t="s">
        <v>58</v>
      </c>
      <c r="P227" s="6"/>
      <c r="Q227" s="6"/>
      <c r="R227" s="6" t="s">
        <v>1202</v>
      </c>
      <c r="S227" s="6" t="s">
        <v>284</v>
      </c>
      <c r="T227" s="6" t="s">
        <v>428</v>
      </c>
      <c r="U227" s="75">
        <v>46013</v>
      </c>
      <c r="V227" s="75">
        <v>46044</v>
      </c>
      <c r="W227" s="13">
        <f ca="1">V227-TODAY()</f>
        <v>-41</v>
      </c>
      <c r="X227" s="5" t="str">
        <f ca="1">IF(W227&gt;=20,"Vigente",IF(AND(W227&gt;=1,W227&lt;=20),"Por Vencer","Vencido"))</f>
        <v>Vencido</v>
      </c>
    </row>
    <row r="228" spans="1:25" ht="65.25" hidden="1" customHeight="1">
      <c r="A228" s="6" t="s">
        <v>184</v>
      </c>
      <c r="B228" s="6" t="s">
        <v>1203</v>
      </c>
      <c r="C228" s="53">
        <v>13337709</v>
      </c>
      <c r="D228" s="18">
        <v>3</v>
      </c>
      <c r="E228" s="6">
        <v>47</v>
      </c>
      <c r="F228" s="19" t="s">
        <v>18</v>
      </c>
      <c r="G228" s="19" t="s">
        <v>141</v>
      </c>
      <c r="H228" s="11" t="s">
        <v>315</v>
      </c>
      <c r="I228" s="19">
        <v>2025</v>
      </c>
      <c r="J228" s="73">
        <v>45902</v>
      </c>
      <c r="K228" s="19" t="s">
        <v>62</v>
      </c>
      <c r="L228" s="19" t="s">
        <v>241</v>
      </c>
      <c r="M228" s="75">
        <v>46352</v>
      </c>
      <c r="N228" s="19" t="s">
        <v>1204</v>
      </c>
      <c r="O228" s="72" t="s">
        <v>34</v>
      </c>
      <c r="P228" s="6" t="s">
        <v>149</v>
      </c>
      <c r="Q228" s="6"/>
      <c r="R228" s="6" t="s">
        <v>1205</v>
      </c>
      <c r="S228" s="6" t="s">
        <v>276</v>
      </c>
      <c r="T228" s="6" t="s">
        <v>289</v>
      </c>
      <c r="U228" s="75">
        <v>45992</v>
      </c>
      <c r="V228" s="75">
        <v>46054</v>
      </c>
      <c r="W228" s="13">
        <f ca="1">V228-TODAY()</f>
        <v>-31</v>
      </c>
      <c r="X228" s="5" t="str">
        <f ca="1">IF(W228&gt;=20,"Vigente",IF(AND(W228&gt;=1,W228&lt;=20),"Por Vencer","Vencido"))</f>
        <v>Vencido</v>
      </c>
    </row>
    <row r="229" spans="1:25" ht="65.25" hidden="1" customHeight="1">
      <c r="A229" s="6" t="s">
        <v>184</v>
      </c>
      <c r="B229" s="184" t="s">
        <v>1206</v>
      </c>
      <c r="C229" s="53">
        <v>7187017</v>
      </c>
      <c r="D229" s="18">
        <v>0</v>
      </c>
      <c r="E229" s="6">
        <v>73</v>
      </c>
      <c r="F229" s="186" t="s">
        <v>470</v>
      </c>
      <c r="G229" s="19" t="s">
        <v>141</v>
      </c>
      <c r="H229" s="11" t="s">
        <v>315</v>
      </c>
      <c r="I229" s="19">
        <v>2025</v>
      </c>
      <c r="J229" s="73">
        <v>45889</v>
      </c>
      <c r="K229" s="186" t="s">
        <v>62</v>
      </c>
      <c r="L229" s="19" t="s">
        <v>241</v>
      </c>
      <c r="M229" s="75">
        <v>45922</v>
      </c>
      <c r="N229" s="186" t="s">
        <v>1207</v>
      </c>
      <c r="O229" s="72" t="s">
        <v>58</v>
      </c>
      <c r="P229" s="6" t="s">
        <v>152</v>
      </c>
      <c r="Q229" s="6"/>
      <c r="R229" s="184" t="s">
        <v>1208</v>
      </c>
      <c r="S229" s="184" t="s">
        <v>388</v>
      </c>
      <c r="T229" s="184" t="s">
        <v>277</v>
      </c>
      <c r="U229" s="75">
        <v>46034</v>
      </c>
      <c r="V229" s="75">
        <v>46154</v>
      </c>
      <c r="W229" s="13">
        <f ca="1">V229-TODAY()</f>
        <v>69</v>
      </c>
      <c r="X229" s="5" t="str">
        <f ca="1">IF(W229&gt;=20,"Vigente",IF(AND(W229&gt;=1,W229&lt;=20),"Por Vencer","Vencido"))</f>
        <v>Vigente</v>
      </c>
    </row>
    <row r="230" spans="1:25" ht="65.25" hidden="1" customHeight="1">
      <c r="A230" s="6" t="s">
        <v>184</v>
      </c>
      <c r="B230" s="184" t="s">
        <v>1209</v>
      </c>
      <c r="C230" s="53">
        <v>4690188</v>
      </c>
      <c r="D230" s="18">
        <v>6</v>
      </c>
      <c r="E230" s="6">
        <v>83</v>
      </c>
      <c r="F230" s="186" t="s">
        <v>18</v>
      </c>
      <c r="G230" s="19" t="s">
        <v>141</v>
      </c>
      <c r="H230" s="11" t="s">
        <v>315</v>
      </c>
      <c r="I230" s="19">
        <v>2025</v>
      </c>
      <c r="J230" s="73">
        <v>45862</v>
      </c>
      <c r="K230" s="186" t="s">
        <v>62</v>
      </c>
      <c r="L230" s="186" t="s">
        <v>168</v>
      </c>
      <c r="M230" s="75">
        <v>45964</v>
      </c>
      <c r="N230" s="19" t="s">
        <v>1210</v>
      </c>
      <c r="O230" s="72" t="s">
        <v>58</v>
      </c>
      <c r="P230" s="184" t="s">
        <v>152</v>
      </c>
      <c r="Q230" s="6"/>
      <c r="R230" s="184" t="s">
        <v>1211</v>
      </c>
      <c r="S230" s="184" t="s">
        <v>284</v>
      </c>
      <c r="T230" s="184" t="s">
        <v>428</v>
      </c>
      <c r="U230" s="75">
        <v>45971</v>
      </c>
      <c r="V230" s="75">
        <v>46001</v>
      </c>
      <c r="W230" s="6">
        <f ca="1">V230-TODAY()</f>
        <v>-84</v>
      </c>
      <c r="X230" s="5" t="str">
        <f ca="1">IF(W230&gt;=20,"Vigente",IF(AND(W230&gt;=1,W230&lt;=20),"Por Vencer","Vencido"))</f>
        <v>Vencido</v>
      </c>
    </row>
    <row r="231" spans="1:25" ht="65.25" hidden="1" customHeight="1">
      <c r="A231" s="6" t="s">
        <v>184</v>
      </c>
      <c r="B231" s="6" t="s">
        <v>1212</v>
      </c>
      <c r="C231" s="53">
        <v>10136250</v>
      </c>
      <c r="D231" s="18">
        <v>7</v>
      </c>
      <c r="E231" s="6">
        <v>61</v>
      </c>
      <c r="F231" s="186" t="s">
        <v>18</v>
      </c>
      <c r="G231" s="19" t="s">
        <v>141</v>
      </c>
      <c r="H231" s="11" t="s">
        <v>315</v>
      </c>
      <c r="I231" s="19">
        <v>2025</v>
      </c>
      <c r="J231" s="73">
        <v>45917</v>
      </c>
      <c r="K231" s="19" t="s">
        <v>62</v>
      </c>
      <c r="L231" s="186" t="s">
        <v>168</v>
      </c>
      <c r="M231" s="75">
        <v>45931</v>
      </c>
      <c r="N231" s="19" t="s">
        <v>1213</v>
      </c>
      <c r="O231" s="72" t="s">
        <v>34</v>
      </c>
      <c r="P231" s="6" t="s">
        <v>152</v>
      </c>
      <c r="Q231" s="6"/>
      <c r="R231" s="6" t="s">
        <v>1214</v>
      </c>
      <c r="S231" s="6" t="s">
        <v>284</v>
      </c>
      <c r="T231" s="6" t="s">
        <v>289</v>
      </c>
      <c r="U231" s="75">
        <v>45933</v>
      </c>
      <c r="V231" s="75">
        <v>45964</v>
      </c>
      <c r="W231" s="6">
        <f ca="1">V231-TODAY()</f>
        <v>-121</v>
      </c>
      <c r="X231" s="5" t="str">
        <f ca="1">IF(W231&gt;=20,"Vigente",IF(AND(W231&gt;=1,W231&lt;=20),"Por Vencer","Vencido"))</f>
        <v>Vencido</v>
      </c>
    </row>
    <row r="232" spans="1:25" ht="65.25" hidden="1" customHeight="1">
      <c r="A232" s="6" t="s">
        <v>184</v>
      </c>
      <c r="B232" s="6" t="s">
        <v>1215</v>
      </c>
      <c r="C232" s="53">
        <v>7229632</v>
      </c>
      <c r="D232" s="18" t="s">
        <v>87</v>
      </c>
      <c r="E232" s="6">
        <v>72</v>
      </c>
      <c r="F232" s="19" t="s">
        <v>470</v>
      </c>
      <c r="G232" s="19" t="s">
        <v>141</v>
      </c>
      <c r="H232" s="11" t="s">
        <v>315</v>
      </c>
      <c r="I232" s="19">
        <v>2025</v>
      </c>
      <c r="J232" s="73">
        <v>45916</v>
      </c>
      <c r="K232" s="19" t="s">
        <v>62</v>
      </c>
      <c r="L232" s="19" t="s">
        <v>269</v>
      </c>
      <c r="M232" s="75">
        <v>45929</v>
      </c>
      <c r="N232" s="19" t="s">
        <v>362</v>
      </c>
      <c r="O232" s="72" t="s">
        <v>58</v>
      </c>
      <c r="P232" s="6"/>
      <c r="Q232" s="6"/>
      <c r="R232" s="6" t="s">
        <v>312</v>
      </c>
      <c r="S232" s="6" t="s">
        <v>288</v>
      </c>
      <c r="T232" s="6" t="s">
        <v>289</v>
      </c>
      <c r="U232" s="75">
        <v>45930</v>
      </c>
      <c r="V232" s="75">
        <v>46021</v>
      </c>
      <c r="W232" s="6">
        <f ca="1">V232-TODAY()</f>
        <v>-64</v>
      </c>
      <c r="X232" s="5" t="str">
        <f ca="1">IF(W232&gt;=20,"Vigente",IF(AND(W232&gt;=1,W232&lt;=20),"Por Vencer","Vencido"))</f>
        <v>Vencido</v>
      </c>
    </row>
    <row r="233" spans="1:25" ht="65.25" hidden="1" customHeight="1">
      <c r="A233" s="6" t="s">
        <v>184</v>
      </c>
      <c r="B233" s="6" t="s">
        <v>1216</v>
      </c>
      <c r="C233" s="53">
        <v>16596251</v>
      </c>
      <c r="D233" s="18">
        <v>6</v>
      </c>
      <c r="E233" s="6">
        <v>38</v>
      </c>
      <c r="F233" s="19" t="s">
        <v>18</v>
      </c>
      <c r="G233" s="19" t="s">
        <v>141</v>
      </c>
      <c r="H233" s="11" t="s">
        <v>315</v>
      </c>
      <c r="I233" s="19">
        <v>2025</v>
      </c>
      <c r="J233" s="73">
        <v>45775</v>
      </c>
      <c r="K233" s="19" t="s">
        <v>62</v>
      </c>
      <c r="L233" s="19" t="s">
        <v>269</v>
      </c>
      <c r="M233" s="75">
        <v>45978</v>
      </c>
      <c r="N233" s="19" t="s">
        <v>1029</v>
      </c>
      <c r="O233" s="72" t="s">
        <v>58</v>
      </c>
      <c r="P233" s="6" t="s">
        <v>152</v>
      </c>
      <c r="Q233" s="6"/>
      <c r="R233" s="6" t="s">
        <v>1217</v>
      </c>
      <c r="S233" s="6" t="s">
        <v>595</v>
      </c>
      <c r="T233" s="6" t="s">
        <v>511</v>
      </c>
      <c r="U233" s="75">
        <v>45986</v>
      </c>
      <c r="V233" s="75">
        <v>46137</v>
      </c>
      <c r="W233" s="6">
        <f ca="1">V233-TODAY()</f>
        <v>52</v>
      </c>
      <c r="X233" s="5" t="str">
        <f ca="1">IF(W233&gt;=20,"Vigente",IF(AND(W233&gt;=1,W233&lt;=20),"Por Vencer","Vencido"))</f>
        <v>Vigente</v>
      </c>
    </row>
    <row r="234" spans="1:25" ht="65.25" hidden="1" customHeight="1">
      <c r="A234" s="6" t="s">
        <v>184</v>
      </c>
      <c r="B234" s="6" t="s">
        <v>1218</v>
      </c>
      <c r="C234" s="53">
        <v>7837813</v>
      </c>
      <c r="D234" s="18">
        <v>1</v>
      </c>
      <c r="E234" s="6">
        <v>70</v>
      </c>
      <c r="F234" s="19" t="s">
        <v>18</v>
      </c>
      <c r="G234" s="19" t="s">
        <v>141</v>
      </c>
      <c r="H234" s="11" t="s">
        <v>315</v>
      </c>
      <c r="I234" s="19">
        <v>2025</v>
      </c>
      <c r="J234" s="19"/>
      <c r="K234" s="19" t="s">
        <v>166</v>
      </c>
      <c r="L234" s="19" t="s">
        <v>168</v>
      </c>
      <c r="M234" s="75">
        <v>45929</v>
      </c>
      <c r="N234" s="19" t="s">
        <v>1219</v>
      </c>
      <c r="O234" s="72" t="s">
        <v>58</v>
      </c>
      <c r="P234" s="6"/>
      <c r="Q234" s="6"/>
      <c r="R234" s="6" t="s">
        <v>1220</v>
      </c>
      <c r="S234" s="6" t="s">
        <v>284</v>
      </c>
      <c r="T234" s="6" t="s">
        <v>277</v>
      </c>
      <c r="U234" s="75">
        <v>45932</v>
      </c>
      <c r="V234" s="75">
        <v>45963</v>
      </c>
      <c r="W234" s="6">
        <f ca="1">V234-TODAY()</f>
        <v>-122</v>
      </c>
      <c r="X234" s="5" t="str">
        <f ca="1">IF(W234&gt;=20,"Vigente",IF(AND(W234&gt;=1,W234&lt;=20),"Por Vencer","Vencido"))</f>
        <v>Vencido</v>
      </c>
    </row>
    <row r="235" spans="1:25" ht="65.25" hidden="1" customHeight="1">
      <c r="A235" s="6" t="s">
        <v>59</v>
      </c>
      <c r="B235" s="6" t="s">
        <v>1221</v>
      </c>
      <c r="C235" s="53">
        <v>5692239</v>
      </c>
      <c r="D235" s="18">
        <v>3</v>
      </c>
      <c r="E235" s="6">
        <v>76</v>
      </c>
      <c r="F235" s="19" t="s">
        <v>18</v>
      </c>
      <c r="G235" s="19" t="s">
        <v>1222</v>
      </c>
      <c r="H235" s="11" t="s">
        <v>315</v>
      </c>
      <c r="I235" s="19">
        <v>2025</v>
      </c>
      <c r="J235" s="73">
        <v>45936</v>
      </c>
      <c r="K235" s="19" t="s">
        <v>62</v>
      </c>
      <c r="L235" s="19" t="s">
        <v>1223</v>
      </c>
      <c r="M235" s="75">
        <v>46055</v>
      </c>
      <c r="N235" s="19" t="s">
        <v>312</v>
      </c>
      <c r="O235" s="72" t="s">
        <v>58</v>
      </c>
      <c r="P235" s="6" t="s">
        <v>152</v>
      </c>
      <c r="Q235" s="6"/>
      <c r="R235" s="6" t="s">
        <v>312</v>
      </c>
      <c r="S235" s="6" t="s">
        <v>288</v>
      </c>
      <c r="T235" s="6" t="s">
        <v>289</v>
      </c>
      <c r="U235" s="75">
        <v>46063</v>
      </c>
      <c r="V235" s="75">
        <v>46152</v>
      </c>
      <c r="W235" s="6">
        <f ca="1">V235-TODAY()</f>
        <v>67</v>
      </c>
      <c r="X235" s="5" t="str">
        <f ca="1">IF(W235&gt;=20,"Vigente",IF(AND(W235&gt;=1,W235&lt;=20),"Por Vencer","Vencido"))</f>
        <v>Vigente</v>
      </c>
    </row>
    <row r="236" spans="1:25" ht="65.25" hidden="1" customHeight="1">
      <c r="A236" s="6" t="s">
        <v>184</v>
      </c>
      <c r="B236" s="6" t="s">
        <v>1224</v>
      </c>
      <c r="C236" s="53">
        <v>6627646</v>
      </c>
      <c r="D236" s="18">
        <v>5</v>
      </c>
      <c r="E236" s="6">
        <v>73</v>
      </c>
      <c r="F236" s="19" t="s">
        <v>18</v>
      </c>
      <c r="G236" s="19" t="s">
        <v>141</v>
      </c>
      <c r="H236" s="45" t="s">
        <v>335</v>
      </c>
      <c r="I236" s="19">
        <v>2025</v>
      </c>
      <c r="J236" s="73">
        <v>45936</v>
      </c>
      <c r="K236" s="19" t="s">
        <v>62</v>
      </c>
      <c r="L236" s="19" t="s">
        <v>168</v>
      </c>
      <c r="M236" s="75">
        <v>46006</v>
      </c>
      <c r="N236" s="19" t="s">
        <v>1225</v>
      </c>
      <c r="O236" s="72" t="s">
        <v>58</v>
      </c>
      <c r="P236" s="6" t="s">
        <v>152</v>
      </c>
      <c r="Q236" s="6"/>
      <c r="R236" s="6" t="s">
        <v>1226</v>
      </c>
      <c r="S236" s="6" t="s">
        <v>284</v>
      </c>
      <c r="T236" s="6" t="s">
        <v>511</v>
      </c>
      <c r="U236" s="75">
        <v>46006</v>
      </c>
      <c r="V236" s="75">
        <v>46037</v>
      </c>
      <c r="W236" s="6">
        <f ca="1">V236-TODAY()</f>
        <v>-48</v>
      </c>
      <c r="X236" s="5" t="str">
        <f ca="1">IF(W236&gt;=20,"Vigente",IF(AND(W236&gt;=1,W236&lt;=20),"Por Vencer","Vencido"))</f>
        <v>Vencido</v>
      </c>
    </row>
    <row r="237" spans="1:25" ht="65.25" hidden="1" customHeight="1">
      <c r="A237" s="6" t="s">
        <v>184</v>
      </c>
      <c r="B237" s="6" t="s">
        <v>1227</v>
      </c>
      <c r="C237" s="53">
        <v>5562597</v>
      </c>
      <c r="D237" s="18">
        <v>2</v>
      </c>
      <c r="E237" s="6">
        <v>80</v>
      </c>
      <c r="F237" s="19" t="s">
        <v>738</v>
      </c>
      <c r="G237" s="19" t="s">
        <v>141</v>
      </c>
      <c r="H237" s="11" t="s">
        <v>315</v>
      </c>
      <c r="I237" s="19">
        <v>2025</v>
      </c>
      <c r="J237" s="73">
        <v>45959</v>
      </c>
      <c r="K237" s="19" t="s">
        <v>62</v>
      </c>
      <c r="L237" s="19" t="s">
        <v>156</v>
      </c>
      <c r="M237" s="75">
        <v>46048</v>
      </c>
      <c r="N237" s="19" t="s">
        <v>1228</v>
      </c>
      <c r="O237" s="72" t="s">
        <v>58</v>
      </c>
      <c r="P237" s="6" t="s">
        <v>152</v>
      </c>
      <c r="Q237" s="6"/>
      <c r="R237" s="6" t="s">
        <v>383</v>
      </c>
      <c r="S237" s="6" t="s">
        <v>288</v>
      </c>
      <c r="T237" s="6" t="s">
        <v>289</v>
      </c>
      <c r="U237" s="75">
        <v>46063</v>
      </c>
      <c r="V237" s="75">
        <v>46152</v>
      </c>
      <c r="W237" s="6">
        <f ca="1">V237-TODAY()</f>
        <v>67</v>
      </c>
      <c r="X237" s="5" t="str">
        <f ca="1">IF(W237&gt;=20,"Vigente",IF(AND(W237&gt;=1,W237&lt;=20),"Por Vencer","Vencido"))</f>
        <v>Vigente</v>
      </c>
    </row>
    <row r="238" spans="1:25" ht="65.25" hidden="1" customHeight="1">
      <c r="A238" s="6" t="s">
        <v>184</v>
      </c>
      <c r="B238" s="6" t="s">
        <v>1229</v>
      </c>
      <c r="C238" s="53">
        <v>7497375</v>
      </c>
      <c r="D238" s="18">
        <v>2</v>
      </c>
      <c r="E238" s="6">
        <v>69</v>
      </c>
      <c r="F238" s="19" t="s">
        <v>470</v>
      </c>
      <c r="G238" s="19" t="s">
        <v>141</v>
      </c>
      <c r="H238" s="11" t="s">
        <v>315</v>
      </c>
      <c r="I238" s="19">
        <v>2025</v>
      </c>
      <c r="J238" s="73">
        <v>45952</v>
      </c>
      <c r="K238" s="19" t="s">
        <v>62</v>
      </c>
      <c r="L238" s="19" t="s">
        <v>168</v>
      </c>
      <c r="M238" s="75">
        <v>46055</v>
      </c>
      <c r="N238" s="19" t="s">
        <v>1169</v>
      </c>
      <c r="O238" s="72" t="s">
        <v>34</v>
      </c>
      <c r="P238" s="184" t="s">
        <v>152</v>
      </c>
      <c r="Q238" s="6"/>
      <c r="R238" s="6" t="s">
        <v>1230</v>
      </c>
      <c r="S238" s="6" t="s">
        <v>284</v>
      </c>
      <c r="T238" s="6" t="s">
        <v>277</v>
      </c>
      <c r="U238" s="75">
        <v>46063</v>
      </c>
      <c r="V238" s="75">
        <v>46091</v>
      </c>
      <c r="W238" s="6">
        <f ca="1">V238-TODAY()</f>
        <v>6</v>
      </c>
      <c r="X238" s="5" t="str">
        <f ca="1">IF(W238&gt;=20,"Vigente",IF(AND(W238&gt;=1,W238&lt;=20),"Por Vencer","Vencido"))</f>
        <v>Por Vencer</v>
      </c>
    </row>
    <row r="239" spans="1:25" ht="65.25" hidden="1" customHeight="1">
      <c r="A239" s="6" t="s">
        <v>184</v>
      </c>
      <c r="B239" s="6" t="s">
        <v>1231</v>
      </c>
      <c r="C239" s="53">
        <v>17901924</v>
      </c>
      <c r="D239" s="18">
        <v>8</v>
      </c>
      <c r="E239" s="6">
        <v>34</v>
      </c>
      <c r="F239" s="19" t="s">
        <v>470</v>
      </c>
      <c r="G239" s="19" t="s">
        <v>1232</v>
      </c>
      <c r="H239" s="11" t="s">
        <v>315</v>
      </c>
      <c r="I239" s="19">
        <v>2025</v>
      </c>
      <c r="J239" s="73">
        <v>45953</v>
      </c>
      <c r="K239" s="19" t="s">
        <v>166</v>
      </c>
      <c r="L239" s="19" t="s">
        <v>262</v>
      </c>
      <c r="M239" s="6"/>
      <c r="N239" s="19"/>
      <c r="O239" s="72" t="s">
        <v>58</v>
      </c>
      <c r="P239" s="6"/>
      <c r="Q239" s="6"/>
      <c r="R239" s="6" t="s">
        <v>1233</v>
      </c>
      <c r="S239" s="6" t="s">
        <v>284</v>
      </c>
      <c r="T239" s="6" t="s">
        <v>511</v>
      </c>
      <c r="U239" s="75">
        <v>45967</v>
      </c>
      <c r="V239" s="75">
        <v>45997</v>
      </c>
      <c r="W239" s="6">
        <f ca="1">V239-TODAY()</f>
        <v>-88</v>
      </c>
      <c r="X239" s="5" t="str">
        <f ca="1">IF(W239&gt;=20,"Vigente",IF(AND(W239&gt;=1,W239&lt;=20),"Por Vencer","Vencido"))</f>
        <v>Vencido</v>
      </c>
    </row>
    <row r="240" spans="1:25" ht="65.25" hidden="1" customHeight="1">
      <c r="A240" s="6" t="s">
        <v>184</v>
      </c>
      <c r="B240" s="6" t="s">
        <v>1234</v>
      </c>
      <c r="C240" s="53">
        <v>7485522</v>
      </c>
      <c r="D240" s="18">
        <v>9</v>
      </c>
      <c r="E240" s="6">
        <v>73</v>
      </c>
      <c r="F240" s="19" t="s">
        <v>470</v>
      </c>
      <c r="G240" s="19" t="s">
        <v>19</v>
      </c>
      <c r="H240" s="11" t="s">
        <v>315</v>
      </c>
      <c r="I240" s="19">
        <v>2025</v>
      </c>
      <c r="J240" s="73">
        <v>45951</v>
      </c>
      <c r="K240" s="19" t="s">
        <v>62</v>
      </c>
      <c r="L240" s="19" t="s">
        <v>156</v>
      </c>
      <c r="M240" s="75">
        <v>46006</v>
      </c>
      <c r="N240" s="19" t="s">
        <v>762</v>
      </c>
      <c r="O240" s="72" t="s">
        <v>58</v>
      </c>
      <c r="P240" s="6" t="s">
        <v>152</v>
      </c>
      <c r="Q240" s="6"/>
      <c r="R240" s="6" t="s">
        <v>1235</v>
      </c>
      <c r="S240" s="6" t="s">
        <v>557</v>
      </c>
      <c r="T240" s="6" t="s">
        <v>511</v>
      </c>
      <c r="U240" s="75">
        <v>46006</v>
      </c>
      <c r="V240" s="75">
        <v>46218</v>
      </c>
      <c r="W240" s="6">
        <f ca="1">V240-TODAY()</f>
        <v>133</v>
      </c>
      <c r="X240" s="5" t="str">
        <f ca="1">IF(W240&gt;=20,"Vigente",IF(AND(W240&gt;=1,W240&lt;=20),"Por Vencer","Vencido"))</f>
        <v>Vigente</v>
      </c>
    </row>
    <row r="241" spans="1:24" ht="65.25" hidden="1" customHeight="1">
      <c r="A241" s="6" t="s">
        <v>184</v>
      </c>
      <c r="B241" s="6" t="s">
        <v>1236</v>
      </c>
      <c r="C241" s="53">
        <v>12132893</v>
      </c>
      <c r="D241" s="18">
        <v>3</v>
      </c>
      <c r="E241" s="6">
        <v>56</v>
      </c>
      <c r="F241" s="19" t="s">
        <v>18</v>
      </c>
      <c r="G241" s="19" t="s">
        <v>141</v>
      </c>
      <c r="H241" s="11" t="s">
        <v>315</v>
      </c>
      <c r="I241" s="19">
        <v>2025</v>
      </c>
      <c r="J241" s="73">
        <v>46014</v>
      </c>
      <c r="K241" s="19" t="s">
        <v>62</v>
      </c>
      <c r="L241" s="19" t="s">
        <v>156</v>
      </c>
      <c r="M241" s="75">
        <v>46048</v>
      </c>
      <c r="N241" s="19" t="s">
        <v>683</v>
      </c>
      <c r="O241" s="72" t="s">
        <v>58</v>
      </c>
      <c r="P241" s="6" t="s">
        <v>152</v>
      </c>
      <c r="Q241" s="6"/>
      <c r="R241" s="6" t="s">
        <v>1237</v>
      </c>
      <c r="S241" s="6" t="s">
        <v>388</v>
      </c>
      <c r="T241" s="6" t="s">
        <v>511</v>
      </c>
      <c r="U241" s="75">
        <v>46049</v>
      </c>
      <c r="V241" s="75">
        <v>46169</v>
      </c>
      <c r="W241" s="6">
        <f ca="1">V241-TODAY()</f>
        <v>84</v>
      </c>
      <c r="X241" s="5" t="str">
        <f ca="1">IF(W241&gt;=20,"Vigente",IF(AND(W241&gt;=1,W241&lt;=20),"Por Vencer","Vencido"))</f>
        <v>Vigente</v>
      </c>
    </row>
    <row r="242" spans="1:24" ht="65.25" hidden="1" customHeight="1">
      <c r="A242" s="6" t="s">
        <v>184</v>
      </c>
      <c r="B242" s="6" t="s">
        <v>1238</v>
      </c>
      <c r="C242" s="53">
        <v>10018040</v>
      </c>
      <c r="D242" s="18">
        <v>6</v>
      </c>
      <c r="E242" s="6">
        <v>62</v>
      </c>
      <c r="F242" s="19" t="s">
        <v>64</v>
      </c>
      <c r="G242" s="19" t="s">
        <v>141</v>
      </c>
      <c r="H242" s="19" t="s">
        <v>315</v>
      </c>
      <c r="I242" s="19">
        <v>2025</v>
      </c>
      <c r="J242" s="73">
        <v>45915</v>
      </c>
      <c r="K242" s="19" t="s">
        <v>62</v>
      </c>
      <c r="L242" s="19" t="s">
        <v>168</v>
      </c>
      <c r="M242" s="75">
        <v>45971</v>
      </c>
      <c r="N242" s="19" t="s">
        <v>1239</v>
      </c>
      <c r="O242" s="72" t="s">
        <v>58</v>
      </c>
      <c r="P242" s="6" t="s">
        <v>152</v>
      </c>
      <c r="Q242" s="6"/>
      <c r="R242" s="6" t="s">
        <v>1240</v>
      </c>
      <c r="S242" s="6" t="s">
        <v>284</v>
      </c>
      <c r="T242" s="6" t="s">
        <v>277</v>
      </c>
      <c r="U242" s="75">
        <v>46025</v>
      </c>
      <c r="V242" s="75">
        <v>46056</v>
      </c>
      <c r="W242" s="6">
        <f ca="1">V242-TODAY()</f>
        <v>-29</v>
      </c>
      <c r="X242" s="5" t="str">
        <f ca="1">IF(W242&gt;=20,"Vigente",IF(AND(W242&gt;=1,W242&lt;=20),"Por Vencer","Vencido"))</f>
        <v>Vencido</v>
      </c>
    </row>
    <row r="243" spans="1:24" ht="65.25" hidden="1" customHeight="1">
      <c r="A243" s="6" t="s">
        <v>184</v>
      </c>
      <c r="B243" s="6" t="s">
        <v>1241</v>
      </c>
      <c r="C243" s="53">
        <v>14263942</v>
      </c>
      <c r="D243" s="18">
        <v>4</v>
      </c>
      <c r="E243" s="6">
        <v>55</v>
      </c>
      <c r="F243" s="19" t="s">
        <v>64</v>
      </c>
      <c r="G243" s="19" t="s">
        <v>502</v>
      </c>
      <c r="H243" s="19" t="s">
        <v>315</v>
      </c>
      <c r="I243" s="19">
        <v>2025</v>
      </c>
      <c r="J243" s="19"/>
      <c r="K243" s="19" t="s">
        <v>62</v>
      </c>
      <c r="L243" s="19" t="s">
        <v>143</v>
      </c>
      <c r="M243" s="6"/>
      <c r="N243" s="19"/>
      <c r="O243" s="72" t="s">
        <v>58</v>
      </c>
      <c r="P243" s="6"/>
      <c r="Q243" s="6"/>
      <c r="R243" s="6" t="s">
        <v>1242</v>
      </c>
      <c r="S243" s="6" t="s">
        <v>284</v>
      </c>
      <c r="T243" s="6" t="s">
        <v>285</v>
      </c>
      <c r="U243" s="75">
        <v>45971</v>
      </c>
      <c r="V243" s="75">
        <v>46001</v>
      </c>
      <c r="W243" s="6">
        <f ca="1">V243-TODAY()</f>
        <v>-84</v>
      </c>
      <c r="X243" s="5" t="str">
        <f ca="1">IF(W243&gt;=20,"Vigente",IF(AND(W243&gt;=1,W243&lt;=20),"Por Vencer","Vencido"))</f>
        <v>Vencido</v>
      </c>
    </row>
    <row r="244" spans="1:24" ht="65.25" hidden="1" customHeight="1">
      <c r="A244" s="6" t="s">
        <v>184</v>
      </c>
      <c r="B244" s="6" t="s">
        <v>1243</v>
      </c>
      <c r="C244" s="53">
        <v>7979017</v>
      </c>
      <c r="D244" s="18">
        <v>6</v>
      </c>
      <c r="E244" s="6">
        <v>68</v>
      </c>
      <c r="F244" s="19" t="s">
        <v>18</v>
      </c>
      <c r="G244" s="19" t="s">
        <v>141</v>
      </c>
      <c r="H244" s="19" t="s">
        <v>315</v>
      </c>
      <c r="I244" s="19">
        <v>2025</v>
      </c>
      <c r="J244" s="73">
        <v>45964</v>
      </c>
      <c r="K244" s="19" t="s">
        <v>62</v>
      </c>
      <c r="L244" s="19" t="s">
        <v>168</v>
      </c>
      <c r="M244" s="75">
        <v>46027</v>
      </c>
      <c r="N244" s="19" t="s">
        <v>1244</v>
      </c>
      <c r="O244" s="72" t="s">
        <v>58</v>
      </c>
      <c r="P244" s="6" t="s">
        <v>152</v>
      </c>
      <c r="Q244" s="6"/>
      <c r="R244" s="6" t="s">
        <v>1245</v>
      </c>
      <c r="S244" s="6" t="s">
        <v>284</v>
      </c>
      <c r="T244" s="6" t="s">
        <v>511</v>
      </c>
      <c r="U244" s="75">
        <v>46027</v>
      </c>
      <c r="V244" s="75">
        <v>46058</v>
      </c>
      <c r="W244" s="6">
        <f ca="1">V244-TODAY()</f>
        <v>-27</v>
      </c>
      <c r="X244" s="5" t="str">
        <f ca="1">IF(W244&gt;=20,"Vigente",IF(AND(W244&gt;=1,W244&lt;=20),"Por Vencer","Vencido"))</f>
        <v>Vencido</v>
      </c>
    </row>
    <row r="245" spans="1:24" ht="65.25" hidden="1" customHeight="1">
      <c r="A245" s="6" t="s">
        <v>184</v>
      </c>
      <c r="B245" s="6" t="s">
        <v>1246</v>
      </c>
      <c r="C245" s="53">
        <v>7177261</v>
      </c>
      <c r="D245" s="18">
        <v>6</v>
      </c>
      <c r="E245" s="6">
        <v>70</v>
      </c>
      <c r="F245" s="19" t="s">
        <v>18</v>
      </c>
      <c r="G245" s="19" t="s">
        <v>141</v>
      </c>
      <c r="H245" s="19" t="s">
        <v>315</v>
      </c>
      <c r="I245" s="19">
        <v>2025</v>
      </c>
      <c r="J245" s="73">
        <v>45966</v>
      </c>
      <c r="K245" s="19" t="s">
        <v>62</v>
      </c>
      <c r="L245" s="19" t="s">
        <v>143</v>
      </c>
      <c r="M245" s="75">
        <v>46006</v>
      </c>
      <c r="N245" s="19" t="s">
        <v>1247</v>
      </c>
      <c r="O245" s="72" t="s">
        <v>58</v>
      </c>
      <c r="P245" s="6" t="s">
        <v>152</v>
      </c>
      <c r="Q245" s="6"/>
      <c r="R245" s="6" t="s">
        <v>1248</v>
      </c>
      <c r="S245" s="6" t="s">
        <v>284</v>
      </c>
      <c r="T245" s="6" t="s">
        <v>511</v>
      </c>
      <c r="U245" s="75">
        <v>46007</v>
      </c>
      <c r="V245" s="75">
        <v>46038</v>
      </c>
      <c r="W245" s="6">
        <f ca="1">V245-TODAY()</f>
        <v>-47</v>
      </c>
      <c r="X245" s="5" t="str">
        <f ca="1">IF(W245&gt;=20,"Vigente",IF(AND(W245&gt;=1,W245&lt;=20),"Por Vencer","Vencido"))</f>
        <v>Vencido</v>
      </c>
    </row>
    <row r="246" spans="1:24" ht="65.25" hidden="1" customHeight="1">
      <c r="A246" s="6" t="s">
        <v>184</v>
      </c>
      <c r="B246" s="6" t="s">
        <v>1249</v>
      </c>
      <c r="C246" s="53">
        <v>6901749</v>
      </c>
      <c r="D246" s="18">
        <v>5</v>
      </c>
      <c r="E246" s="6">
        <v>73</v>
      </c>
      <c r="F246" s="19" t="s">
        <v>18</v>
      </c>
      <c r="G246" s="19" t="s">
        <v>141</v>
      </c>
      <c r="H246" s="19" t="s">
        <v>315</v>
      </c>
      <c r="I246" s="19">
        <v>2025</v>
      </c>
      <c r="J246" s="73">
        <v>45908</v>
      </c>
      <c r="K246" s="19" t="s">
        <v>62</v>
      </c>
      <c r="L246" s="19" t="s">
        <v>143</v>
      </c>
      <c r="M246" s="75">
        <v>46006</v>
      </c>
      <c r="N246" s="19" t="s">
        <v>1250</v>
      </c>
      <c r="O246" s="72" t="s">
        <v>58</v>
      </c>
      <c r="P246" s="6" t="s">
        <v>152</v>
      </c>
      <c r="Q246" s="6"/>
      <c r="R246" s="6" t="s">
        <v>1251</v>
      </c>
      <c r="S246" s="6" t="s">
        <v>284</v>
      </c>
      <c r="T246" s="6" t="s">
        <v>428</v>
      </c>
      <c r="U246" s="75">
        <v>46013</v>
      </c>
      <c r="V246" s="75">
        <v>46044</v>
      </c>
      <c r="W246" s="6">
        <f ca="1">V246-TODAY()</f>
        <v>-41</v>
      </c>
      <c r="X246" s="5" t="str">
        <f ca="1">IF(W246&gt;=20,"Vigente",IF(AND(W246&gt;=1,W246&lt;=20),"Por Vencer","Vencido"))</f>
        <v>Vencido</v>
      </c>
    </row>
    <row r="247" spans="1:24" ht="65.25" hidden="1" customHeight="1">
      <c r="A247" s="6" t="s">
        <v>184</v>
      </c>
      <c r="B247" s="6" t="s">
        <v>1252</v>
      </c>
      <c r="C247" s="53">
        <v>7267490</v>
      </c>
      <c r="D247" s="18">
        <v>1</v>
      </c>
      <c r="E247" s="6">
        <v>74</v>
      </c>
      <c r="F247" s="19" t="s">
        <v>18</v>
      </c>
      <c r="G247" s="19" t="s">
        <v>141</v>
      </c>
      <c r="H247" s="19" t="s">
        <v>315</v>
      </c>
      <c r="I247" s="19">
        <v>2025</v>
      </c>
      <c r="J247" s="73">
        <v>45966</v>
      </c>
      <c r="K247" s="19" t="s">
        <v>62</v>
      </c>
      <c r="L247" s="19" t="s">
        <v>241</v>
      </c>
      <c r="M247" s="75">
        <v>45985</v>
      </c>
      <c r="N247" s="19" t="s">
        <v>1253</v>
      </c>
      <c r="O247" s="72" t="s">
        <v>34</v>
      </c>
      <c r="P247" s="6" t="s">
        <v>149</v>
      </c>
      <c r="Q247" s="6"/>
      <c r="R247" s="6" t="s">
        <v>1254</v>
      </c>
      <c r="S247" s="6" t="s">
        <v>797</v>
      </c>
      <c r="T247" s="6" t="s">
        <v>277</v>
      </c>
      <c r="U247" s="75">
        <v>46020</v>
      </c>
      <c r="V247" s="75">
        <v>46051</v>
      </c>
      <c r="W247" s="6">
        <f ca="1">V247-TODAY()</f>
        <v>-34</v>
      </c>
      <c r="X247" s="5" t="str">
        <f ca="1">IF(W247&gt;=20,"Vigente",IF(AND(W247&gt;=1,W247&lt;=20),"Por Vencer","Vencido"))</f>
        <v>Vencido</v>
      </c>
    </row>
    <row r="248" spans="1:24" ht="65.25" hidden="1" customHeight="1">
      <c r="A248" s="6" t="s">
        <v>184</v>
      </c>
      <c r="B248" s="6" t="s">
        <v>1255</v>
      </c>
      <c r="C248" s="53">
        <v>6200029</v>
      </c>
      <c r="D248" s="18">
        <v>5</v>
      </c>
      <c r="E248" s="6">
        <v>74</v>
      </c>
      <c r="F248" s="19" t="s">
        <v>18</v>
      </c>
      <c r="G248" s="19" t="s">
        <v>141</v>
      </c>
      <c r="H248" s="19" t="s">
        <v>315</v>
      </c>
      <c r="I248" s="19">
        <v>2025</v>
      </c>
      <c r="J248" s="73">
        <v>45973</v>
      </c>
      <c r="K248" s="19" t="s">
        <v>62</v>
      </c>
      <c r="L248" s="19" t="s">
        <v>269</v>
      </c>
      <c r="M248" s="75">
        <v>45985</v>
      </c>
      <c r="N248" s="19" t="s">
        <v>1256</v>
      </c>
      <c r="O248" s="72" t="s">
        <v>58</v>
      </c>
      <c r="P248" s="6"/>
      <c r="Q248" s="6"/>
      <c r="R248" s="6" t="s">
        <v>383</v>
      </c>
      <c r="S248" s="6" t="s">
        <v>284</v>
      </c>
      <c r="T248" s="6" t="s">
        <v>289</v>
      </c>
      <c r="U248" s="75">
        <v>45985</v>
      </c>
      <c r="V248" s="75">
        <v>46077</v>
      </c>
      <c r="W248" s="6">
        <f ca="1">V248-TODAY()</f>
        <v>-8</v>
      </c>
      <c r="X248" s="5" t="str">
        <f ca="1">IF(W248&gt;=20,"Vigente",IF(AND(W248&gt;=1,W248&lt;=20),"Por Vencer","Vencido"))</f>
        <v>Vencido</v>
      </c>
    </row>
    <row r="249" spans="1:24" ht="65.25" hidden="1" customHeight="1">
      <c r="A249" s="6" t="s">
        <v>184</v>
      </c>
      <c r="B249" s="6" t="s">
        <v>1257</v>
      </c>
      <c r="C249" s="53">
        <v>28190270</v>
      </c>
      <c r="D249" s="18">
        <v>9</v>
      </c>
      <c r="E249" s="6">
        <v>69</v>
      </c>
      <c r="F249" s="19" t="s">
        <v>18</v>
      </c>
      <c r="G249" s="19" t="s">
        <v>502</v>
      </c>
      <c r="H249" s="19" t="s">
        <v>315</v>
      </c>
      <c r="I249" s="19">
        <v>2025</v>
      </c>
      <c r="J249" s="73">
        <v>45967</v>
      </c>
      <c r="K249" s="19" t="s">
        <v>62</v>
      </c>
      <c r="L249" s="19" t="s">
        <v>168</v>
      </c>
      <c r="M249" s="75">
        <v>45989</v>
      </c>
      <c r="N249" s="19" t="s">
        <v>1258</v>
      </c>
      <c r="O249" s="72" t="s">
        <v>58</v>
      </c>
      <c r="P249" s="27"/>
      <c r="Q249" s="6"/>
      <c r="R249" s="6" t="s">
        <v>1259</v>
      </c>
      <c r="S249" s="6" t="s">
        <v>284</v>
      </c>
      <c r="T249" s="6" t="s">
        <v>277</v>
      </c>
      <c r="U249" s="75">
        <v>45992</v>
      </c>
      <c r="V249" s="75">
        <v>46023</v>
      </c>
      <c r="W249" s="6">
        <f ca="1">V249-TODAY()</f>
        <v>-62</v>
      </c>
      <c r="X249" s="5" t="str">
        <f t="shared" ref="X249:X284" ca="1" si="2">IF(W249&gt;=20,"Vigente",IF(AND(W249&gt;=1,W249&lt;=20),"Por Vencer","Vencido"))</f>
        <v>Vencido</v>
      </c>
    </row>
    <row r="250" spans="1:24" ht="65.25" hidden="1" customHeight="1">
      <c r="A250" s="6" t="s">
        <v>184</v>
      </c>
      <c r="B250" s="6" t="s">
        <v>1260</v>
      </c>
      <c r="C250" s="53">
        <v>6180831</v>
      </c>
      <c r="D250" s="18">
        <v>0</v>
      </c>
      <c r="E250" s="6">
        <v>73</v>
      </c>
      <c r="F250" s="19" t="s">
        <v>18</v>
      </c>
      <c r="G250" s="19" t="s">
        <v>502</v>
      </c>
      <c r="H250" s="19" t="s">
        <v>315</v>
      </c>
      <c r="I250" s="19">
        <v>2025</v>
      </c>
      <c r="J250" s="73">
        <v>45945</v>
      </c>
      <c r="K250" s="19" t="s">
        <v>161</v>
      </c>
      <c r="L250" s="19" t="s">
        <v>241</v>
      </c>
      <c r="M250" s="75">
        <v>46055</v>
      </c>
      <c r="N250" s="19" t="s">
        <v>1261</v>
      </c>
      <c r="O250" s="72" t="s">
        <v>58</v>
      </c>
      <c r="P250" s="6" t="s">
        <v>149</v>
      </c>
      <c r="Q250" s="6"/>
      <c r="R250" s="34" t="s">
        <v>1262</v>
      </c>
      <c r="S250" s="6" t="s">
        <v>797</v>
      </c>
      <c r="T250" s="6" t="s">
        <v>285</v>
      </c>
      <c r="U250" s="75" t="s">
        <v>1263</v>
      </c>
      <c r="V250" s="75">
        <v>46083</v>
      </c>
      <c r="W250" s="6">
        <f t="shared" ref="W250:W284" ca="1" si="3">V250-TODAY()</f>
        <v>-2</v>
      </c>
      <c r="X250" s="5" t="str">
        <f t="shared" ca="1" si="2"/>
        <v>Vencido</v>
      </c>
    </row>
    <row r="251" spans="1:24" ht="65.25" hidden="1" customHeight="1">
      <c r="A251" s="142" t="s">
        <v>184</v>
      </c>
      <c r="B251" s="142" t="s">
        <v>1264</v>
      </c>
      <c r="C251" s="143">
        <v>7152115</v>
      </c>
      <c r="D251" s="144" t="s">
        <v>87</v>
      </c>
      <c r="E251" s="142">
        <v>69</v>
      </c>
      <c r="F251" s="61" t="s">
        <v>18</v>
      </c>
      <c r="G251" s="61" t="s">
        <v>68</v>
      </c>
      <c r="H251" s="61" t="s">
        <v>335</v>
      </c>
      <c r="I251" s="61">
        <v>2025</v>
      </c>
      <c r="J251" s="153">
        <v>45964</v>
      </c>
      <c r="K251" s="61" t="s">
        <v>62</v>
      </c>
      <c r="L251" s="61" t="s">
        <v>143</v>
      </c>
      <c r="M251" s="154">
        <v>46006</v>
      </c>
      <c r="N251" s="61" t="s">
        <v>1265</v>
      </c>
      <c r="O251" s="200" t="s">
        <v>58</v>
      </c>
      <c r="P251" s="142" t="s">
        <v>152</v>
      </c>
      <c r="Q251" s="142"/>
      <c r="R251" s="142" t="s">
        <v>1266</v>
      </c>
      <c r="S251" s="142" t="s">
        <v>797</v>
      </c>
      <c r="T251" s="142" t="s">
        <v>511</v>
      </c>
      <c r="U251" s="154">
        <v>46006</v>
      </c>
      <c r="V251" s="154">
        <v>46037</v>
      </c>
      <c r="W251" s="142">
        <f t="shared" ca="1" si="3"/>
        <v>-48</v>
      </c>
      <c r="X251" s="201" t="str">
        <f t="shared" ca="1" si="2"/>
        <v>Vencido</v>
      </c>
    </row>
    <row r="252" spans="1:24" ht="65.25" hidden="1" customHeight="1">
      <c r="A252" s="142" t="s">
        <v>184</v>
      </c>
      <c r="B252" s="195" t="s">
        <v>1267</v>
      </c>
      <c r="C252" s="196">
        <v>7769013</v>
      </c>
      <c r="D252" s="197">
        <v>1</v>
      </c>
      <c r="E252" s="195">
        <v>70</v>
      </c>
      <c r="F252" s="198" t="s">
        <v>64</v>
      </c>
      <c r="G252" s="198" t="s">
        <v>502</v>
      </c>
      <c r="H252" s="61" t="s">
        <v>335</v>
      </c>
      <c r="I252" s="198">
        <v>2025</v>
      </c>
      <c r="J252" s="202">
        <v>45988</v>
      </c>
      <c r="K252" s="198" t="s">
        <v>161</v>
      </c>
      <c r="L252" s="61" t="s">
        <v>143</v>
      </c>
      <c r="M252" s="195"/>
      <c r="N252" s="198"/>
      <c r="O252" s="200" t="s">
        <v>58</v>
      </c>
      <c r="P252" s="195"/>
      <c r="Q252" s="195"/>
      <c r="R252" s="195" t="s">
        <v>1268</v>
      </c>
      <c r="S252" s="195" t="s">
        <v>797</v>
      </c>
      <c r="T252" s="195" t="s">
        <v>511</v>
      </c>
      <c r="U252" s="199">
        <v>46002</v>
      </c>
      <c r="V252" s="199">
        <v>46033</v>
      </c>
      <c r="W252" s="142">
        <f t="shared" ca="1" si="3"/>
        <v>-52</v>
      </c>
      <c r="X252" s="201" t="str">
        <f t="shared" ca="1" si="2"/>
        <v>Vencido</v>
      </c>
    </row>
    <row r="253" spans="1:24" ht="65.25" hidden="1" customHeight="1">
      <c r="A253" s="142" t="s">
        <v>184</v>
      </c>
      <c r="B253" s="195" t="s">
        <v>1269</v>
      </c>
      <c r="C253" s="196">
        <v>5235064</v>
      </c>
      <c r="D253" s="197">
        <v>4</v>
      </c>
      <c r="E253" s="195">
        <v>80</v>
      </c>
      <c r="F253" s="198" t="s">
        <v>250</v>
      </c>
      <c r="G253" s="198" t="s">
        <v>141</v>
      </c>
      <c r="H253" s="61" t="s">
        <v>335</v>
      </c>
      <c r="I253" s="198">
        <v>2025</v>
      </c>
      <c r="J253" s="202">
        <v>45981</v>
      </c>
      <c r="K253" s="198" t="s">
        <v>161</v>
      </c>
      <c r="L253" s="61" t="s">
        <v>168</v>
      </c>
      <c r="M253" s="199">
        <v>46007</v>
      </c>
      <c r="N253" s="198" t="s">
        <v>1270</v>
      </c>
      <c r="O253" s="200" t="s">
        <v>58</v>
      </c>
      <c r="P253" s="195" t="s">
        <v>149</v>
      </c>
      <c r="Q253" s="195"/>
      <c r="R253" s="195" t="s">
        <v>1271</v>
      </c>
      <c r="S253" s="195" t="s">
        <v>797</v>
      </c>
      <c r="T253" s="195" t="s">
        <v>511</v>
      </c>
      <c r="U253" s="199">
        <v>46006</v>
      </c>
      <c r="V253" s="199">
        <v>46037</v>
      </c>
      <c r="W253" s="142">
        <f t="shared" ca="1" si="3"/>
        <v>-48</v>
      </c>
      <c r="X253" s="201" t="str">
        <f t="shared" ca="1" si="2"/>
        <v>Vencido</v>
      </c>
    </row>
    <row r="254" spans="1:24" ht="65.25" hidden="1" customHeight="1">
      <c r="A254" s="142" t="s">
        <v>184</v>
      </c>
      <c r="B254" s="195" t="s">
        <v>1272</v>
      </c>
      <c r="C254" s="196">
        <v>7451447</v>
      </c>
      <c r="D254" s="197">
        <v>2</v>
      </c>
      <c r="E254" s="195">
        <v>70</v>
      </c>
      <c r="F254" s="198" t="s">
        <v>18</v>
      </c>
      <c r="G254" s="198" t="s">
        <v>19</v>
      </c>
      <c r="H254" s="198" t="s">
        <v>335</v>
      </c>
      <c r="I254" s="198">
        <v>2025</v>
      </c>
      <c r="J254" s="202">
        <v>46003</v>
      </c>
      <c r="K254" s="198" t="s">
        <v>166</v>
      </c>
      <c r="L254" s="198" t="s">
        <v>156</v>
      </c>
      <c r="M254" s="199">
        <v>46013</v>
      </c>
      <c r="N254" s="198" t="s">
        <v>1273</v>
      </c>
      <c r="O254" s="200" t="s">
        <v>58</v>
      </c>
      <c r="P254" s="195" t="s">
        <v>149</v>
      </c>
      <c r="Q254" s="195"/>
      <c r="R254" s="195" t="s">
        <v>1274</v>
      </c>
      <c r="S254" s="195" t="s">
        <v>670</v>
      </c>
      <c r="T254" s="195" t="s">
        <v>428</v>
      </c>
      <c r="U254" s="199">
        <v>46013</v>
      </c>
      <c r="V254" s="199">
        <v>46338</v>
      </c>
      <c r="W254" s="142">
        <f t="shared" ca="1" si="3"/>
        <v>253</v>
      </c>
      <c r="X254" s="201" t="str">
        <f t="shared" ca="1" si="2"/>
        <v>Vigente</v>
      </c>
    </row>
    <row r="255" spans="1:24" ht="65.25" hidden="1" customHeight="1">
      <c r="A255" s="195" t="s">
        <v>184</v>
      </c>
      <c r="B255" s="195" t="s">
        <v>1275</v>
      </c>
      <c r="C255" s="196">
        <v>26419719</v>
      </c>
      <c r="D255" s="197">
        <v>8</v>
      </c>
      <c r="E255" s="195">
        <v>41</v>
      </c>
      <c r="F255" s="198" t="s">
        <v>18</v>
      </c>
      <c r="G255" s="198" t="s">
        <v>19</v>
      </c>
      <c r="H255" s="198" t="s">
        <v>335</v>
      </c>
      <c r="I255" s="198">
        <v>2025</v>
      </c>
      <c r="J255" s="202">
        <v>46008</v>
      </c>
      <c r="K255" s="198" t="s">
        <v>161</v>
      </c>
      <c r="L255" s="198" t="s">
        <v>168</v>
      </c>
      <c r="M255" s="199">
        <v>46027</v>
      </c>
      <c r="N255" s="198" t="s">
        <v>1244</v>
      </c>
      <c r="O255" s="200" t="s">
        <v>58</v>
      </c>
      <c r="P255" s="195" t="s">
        <v>149</v>
      </c>
      <c r="Q255" s="195"/>
      <c r="R255" s="195" t="s">
        <v>1276</v>
      </c>
      <c r="S255" s="195" t="s">
        <v>797</v>
      </c>
      <c r="T255" s="195" t="s">
        <v>511</v>
      </c>
      <c r="U255" s="199">
        <v>46027</v>
      </c>
      <c r="V255" s="199">
        <v>46058</v>
      </c>
      <c r="W255" s="142">
        <f t="shared" ca="1" si="3"/>
        <v>-27</v>
      </c>
      <c r="X255" s="201" t="str">
        <f t="shared" ca="1" si="2"/>
        <v>Vencido</v>
      </c>
    </row>
    <row r="256" spans="1:24" ht="65.25" hidden="1" customHeight="1">
      <c r="A256" s="195" t="s">
        <v>184</v>
      </c>
      <c r="B256" s="195" t="s">
        <v>1277</v>
      </c>
      <c r="C256" s="196">
        <v>4021889</v>
      </c>
      <c r="D256" s="197">
        <v>0</v>
      </c>
      <c r="E256" s="195">
        <v>89</v>
      </c>
      <c r="F256" s="198" t="s">
        <v>18</v>
      </c>
      <c r="G256" s="198" t="s">
        <v>502</v>
      </c>
      <c r="H256" s="198" t="s">
        <v>335</v>
      </c>
      <c r="I256" s="198">
        <v>2025</v>
      </c>
      <c r="J256" s="202">
        <v>46014</v>
      </c>
      <c r="K256" s="198" t="s">
        <v>161</v>
      </c>
      <c r="L256" s="198" t="s">
        <v>143</v>
      </c>
      <c r="M256" s="195"/>
      <c r="N256" s="198"/>
      <c r="O256" s="200" t="s">
        <v>58</v>
      </c>
      <c r="P256" s="195"/>
      <c r="Q256" s="195"/>
      <c r="R256" s="195" t="s">
        <v>1278</v>
      </c>
      <c r="S256" s="195" t="s">
        <v>797</v>
      </c>
      <c r="T256" s="195" t="s">
        <v>428</v>
      </c>
      <c r="U256" s="199">
        <v>46028</v>
      </c>
      <c r="V256" s="199">
        <v>46059</v>
      </c>
      <c r="W256" s="142">
        <f t="shared" ca="1" si="3"/>
        <v>-26</v>
      </c>
      <c r="X256" s="201" t="str">
        <f t="shared" ca="1" si="2"/>
        <v>Vencido</v>
      </c>
    </row>
    <row r="257" spans="1:24" ht="65.25" hidden="1" customHeight="1">
      <c r="A257" s="195" t="s">
        <v>184</v>
      </c>
      <c r="B257" s="195" t="s">
        <v>1279</v>
      </c>
      <c r="C257" s="196">
        <v>5887586</v>
      </c>
      <c r="D257" s="197">
        <v>4</v>
      </c>
      <c r="E257" s="195">
        <v>61</v>
      </c>
      <c r="F257" s="198" t="s">
        <v>64</v>
      </c>
      <c r="G257" s="198" t="s">
        <v>141</v>
      </c>
      <c r="H257" s="198" t="s">
        <v>335</v>
      </c>
      <c r="I257" s="198">
        <v>2025</v>
      </c>
      <c r="J257" s="202">
        <v>45955</v>
      </c>
      <c r="K257" s="198" t="s">
        <v>161</v>
      </c>
      <c r="L257" s="198" t="s">
        <v>168</v>
      </c>
      <c r="M257" s="195"/>
      <c r="N257" s="198"/>
      <c r="O257" s="200" t="s">
        <v>58</v>
      </c>
      <c r="P257" s="195" t="s">
        <v>149</v>
      </c>
      <c r="Q257" s="195"/>
      <c r="R257" s="195" t="s">
        <v>1276</v>
      </c>
      <c r="S257" s="195" t="s">
        <v>797</v>
      </c>
      <c r="T257" s="195" t="s">
        <v>428</v>
      </c>
      <c r="U257" s="199">
        <v>46027</v>
      </c>
      <c r="V257" s="199">
        <v>46058</v>
      </c>
      <c r="W257" s="142">
        <f t="shared" ca="1" si="3"/>
        <v>-27</v>
      </c>
      <c r="X257" s="201" t="str">
        <f t="shared" ca="1" si="2"/>
        <v>Vencido</v>
      </c>
    </row>
    <row r="258" spans="1:24" ht="65.25" hidden="1" customHeight="1">
      <c r="A258" s="195" t="s">
        <v>184</v>
      </c>
      <c r="B258" s="195" t="s">
        <v>1280</v>
      </c>
      <c r="C258" s="196">
        <v>6478658</v>
      </c>
      <c r="D258" s="197" t="s">
        <v>87</v>
      </c>
      <c r="E258" s="195">
        <v>75</v>
      </c>
      <c r="F258" s="198" t="s">
        <v>18</v>
      </c>
      <c r="G258" s="198" t="s">
        <v>141</v>
      </c>
      <c r="H258" s="198" t="s">
        <v>335</v>
      </c>
      <c r="I258" s="198" t="s">
        <v>1281</v>
      </c>
      <c r="J258" s="198" t="s">
        <v>475</v>
      </c>
      <c r="K258" s="198" t="s">
        <v>161</v>
      </c>
      <c r="L258" s="198" t="s">
        <v>156</v>
      </c>
      <c r="M258" s="195"/>
      <c r="N258" s="198"/>
      <c r="O258" s="200" t="s">
        <v>58</v>
      </c>
      <c r="P258" s="195" t="s">
        <v>149</v>
      </c>
      <c r="Q258" s="195"/>
      <c r="R258" s="195" t="s">
        <v>1282</v>
      </c>
      <c r="S258" s="195" t="s">
        <v>276</v>
      </c>
      <c r="T258" s="195" t="s">
        <v>428</v>
      </c>
      <c r="U258" s="199">
        <v>46027</v>
      </c>
      <c r="V258" s="199">
        <v>46086</v>
      </c>
      <c r="W258" s="142">
        <f t="shared" ca="1" si="3"/>
        <v>1</v>
      </c>
      <c r="X258" s="201" t="str">
        <f t="shared" ca="1" si="2"/>
        <v>Por Vencer</v>
      </c>
    </row>
    <row r="259" spans="1:24" ht="65.25" hidden="1" customHeight="1">
      <c r="A259" s="195" t="s">
        <v>184</v>
      </c>
      <c r="B259" s="195" t="s">
        <v>1283</v>
      </c>
      <c r="C259" s="196">
        <v>8295492</v>
      </c>
      <c r="D259" s="197">
        <v>9</v>
      </c>
      <c r="E259" s="195">
        <v>69</v>
      </c>
      <c r="F259" s="198" t="s">
        <v>18</v>
      </c>
      <c r="G259" s="198" t="s">
        <v>502</v>
      </c>
      <c r="H259" s="198" t="s">
        <v>335</v>
      </c>
      <c r="I259" s="198">
        <v>2025</v>
      </c>
      <c r="J259" s="202">
        <v>46021</v>
      </c>
      <c r="K259" s="198" t="s">
        <v>161</v>
      </c>
      <c r="L259" s="198" t="s">
        <v>143</v>
      </c>
      <c r="M259" s="195"/>
      <c r="N259" s="198"/>
      <c r="O259" s="200" t="s">
        <v>58</v>
      </c>
      <c r="P259" s="195"/>
      <c r="Q259" s="195"/>
      <c r="R259" s="195" t="s">
        <v>1284</v>
      </c>
      <c r="S259" s="195" t="s">
        <v>797</v>
      </c>
      <c r="T259" s="195" t="s">
        <v>428</v>
      </c>
      <c r="U259" s="199">
        <v>46034</v>
      </c>
      <c r="V259" s="199">
        <v>46065</v>
      </c>
      <c r="W259" s="142">
        <f t="shared" ca="1" si="3"/>
        <v>-20</v>
      </c>
      <c r="X259" s="201" t="str">
        <f t="shared" ca="1" si="2"/>
        <v>Vencido</v>
      </c>
    </row>
    <row r="260" spans="1:24" ht="65.25" hidden="1" customHeight="1">
      <c r="A260" s="195" t="s">
        <v>184</v>
      </c>
      <c r="B260" s="195" t="s">
        <v>1285</v>
      </c>
      <c r="C260" s="196">
        <v>10229177</v>
      </c>
      <c r="D260" s="197">
        <v>8</v>
      </c>
      <c r="E260" s="195">
        <v>58</v>
      </c>
      <c r="F260" s="198" t="s">
        <v>64</v>
      </c>
      <c r="G260" s="198" t="s">
        <v>502</v>
      </c>
      <c r="H260" s="198" t="s">
        <v>335</v>
      </c>
      <c r="I260" s="198">
        <v>2026</v>
      </c>
      <c r="J260" s="202">
        <v>46035</v>
      </c>
      <c r="K260" s="198"/>
      <c r="L260" s="198" t="s">
        <v>143</v>
      </c>
      <c r="M260" s="195"/>
      <c r="N260" s="198"/>
      <c r="O260" s="200" t="s">
        <v>58</v>
      </c>
      <c r="P260" s="195"/>
      <c r="Q260" s="195"/>
      <c r="R260" s="195" t="s">
        <v>1278</v>
      </c>
      <c r="S260" s="195" t="s">
        <v>797</v>
      </c>
      <c r="T260" s="195" t="s">
        <v>428</v>
      </c>
      <c r="U260" s="199">
        <v>46042</v>
      </c>
      <c r="V260" s="199">
        <v>46073</v>
      </c>
      <c r="W260" s="142">
        <f t="shared" ca="1" si="3"/>
        <v>-12</v>
      </c>
      <c r="X260" s="201" t="str">
        <f t="shared" ca="1" si="2"/>
        <v>Vencido</v>
      </c>
    </row>
    <row r="261" spans="1:24" ht="65.25" hidden="1" customHeight="1">
      <c r="A261" s="195" t="s">
        <v>184</v>
      </c>
      <c r="B261" s="195" t="s">
        <v>1286</v>
      </c>
      <c r="C261" s="196">
        <v>4918973</v>
      </c>
      <c r="D261" s="197">
        <v>7</v>
      </c>
      <c r="E261" s="195">
        <v>80</v>
      </c>
      <c r="F261" s="198" t="s">
        <v>18</v>
      </c>
      <c r="G261" s="198" t="s">
        <v>141</v>
      </c>
      <c r="H261" s="198" t="s">
        <v>335</v>
      </c>
      <c r="I261" s="198">
        <v>2026</v>
      </c>
      <c r="J261" s="202">
        <v>46029</v>
      </c>
      <c r="K261" s="198" t="s">
        <v>62</v>
      </c>
      <c r="L261" s="198" t="s">
        <v>143</v>
      </c>
      <c r="M261" s="195"/>
      <c r="N261" s="198"/>
      <c r="O261" s="200" t="s">
        <v>58</v>
      </c>
      <c r="P261" s="195"/>
      <c r="Q261" s="195"/>
      <c r="R261" s="195" t="s">
        <v>1202</v>
      </c>
      <c r="S261" s="195" t="s">
        <v>797</v>
      </c>
      <c r="T261" s="195" t="s">
        <v>428</v>
      </c>
      <c r="U261" s="199">
        <v>46076</v>
      </c>
      <c r="V261" s="199">
        <v>46104</v>
      </c>
      <c r="W261" s="142">
        <f t="shared" ca="1" si="3"/>
        <v>19</v>
      </c>
      <c r="X261" s="201" t="str">
        <f t="shared" ca="1" si="2"/>
        <v>Por Vencer</v>
      </c>
    </row>
    <row r="262" spans="1:24" ht="65.25" hidden="1" customHeight="1">
      <c r="A262" s="195" t="s">
        <v>184</v>
      </c>
      <c r="B262" s="195" t="s">
        <v>1287</v>
      </c>
      <c r="C262" s="196">
        <v>13530898</v>
      </c>
      <c r="D262" s="197">
        <v>6</v>
      </c>
      <c r="E262" s="195">
        <v>49</v>
      </c>
      <c r="F262" s="198" t="s">
        <v>18</v>
      </c>
      <c r="G262" s="198" t="s">
        <v>141</v>
      </c>
      <c r="H262" s="207" t="s">
        <v>335</v>
      </c>
      <c r="I262" s="198">
        <v>2025</v>
      </c>
      <c r="J262" s="202">
        <v>46015</v>
      </c>
      <c r="K262" s="198"/>
      <c r="L262" s="198" t="s">
        <v>143</v>
      </c>
      <c r="M262" s="195"/>
      <c r="N262" s="198"/>
      <c r="O262" s="200" t="s">
        <v>58</v>
      </c>
      <c r="P262" s="195"/>
      <c r="Q262" s="195"/>
      <c r="R262" s="195"/>
      <c r="S262" s="195" t="s">
        <v>797</v>
      </c>
      <c r="T262" s="195" t="s">
        <v>428</v>
      </c>
      <c r="U262" s="199">
        <v>46042</v>
      </c>
      <c r="V262" s="199">
        <v>46073</v>
      </c>
      <c r="W262" s="142">
        <f t="shared" ca="1" si="3"/>
        <v>-12</v>
      </c>
      <c r="X262" s="203" t="str">
        <f t="shared" ca="1" si="2"/>
        <v>Vencido</v>
      </c>
    </row>
    <row r="263" spans="1:24" ht="65.25" hidden="1" customHeight="1">
      <c r="A263" s="195" t="s">
        <v>184</v>
      </c>
      <c r="B263" s="195" t="s">
        <v>1288</v>
      </c>
      <c r="C263" s="196">
        <v>9164524</v>
      </c>
      <c r="D263" s="197">
        <v>6</v>
      </c>
      <c r="E263" s="195">
        <v>63</v>
      </c>
      <c r="F263" s="198" t="s">
        <v>18</v>
      </c>
      <c r="G263" s="198" t="s">
        <v>141</v>
      </c>
      <c r="H263" s="207" t="s">
        <v>335</v>
      </c>
      <c r="I263" s="198">
        <v>2025</v>
      </c>
      <c r="J263" s="202">
        <v>45983</v>
      </c>
      <c r="K263" s="198" t="s">
        <v>161</v>
      </c>
      <c r="L263" s="198" t="s">
        <v>168</v>
      </c>
      <c r="M263" s="195"/>
      <c r="N263" s="198"/>
      <c r="O263" s="200" t="s">
        <v>58</v>
      </c>
      <c r="P263" s="195"/>
      <c r="Q263" s="195"/>
      <c r="R263" s="195"/>
      <c r="S263" s="195"/>
      <c r="T263" s="195"/>
      <c r="U263" s="195"/>
      <c r="V263" s="199"/>
      <c r="W263" s="142">
        <f t="shared" ca="1" si="3"/>
        <v>-46085</v>
      </c>
      <c r="X263" s="203" t="str">
        <f t="shared" ca="1" si="2"/>
        <v>Vencido</v>
      </c>
    </row>
    <row r="264" spans="1:24" ht="65.25" hidden="1" customHeight="1">
      <c r="A264" s="195" t="s">
        <v>184</v>
      </c>
      <c r="B264" s="195" t="s">
        <v>1289</v>
      </c>
      <c r="C264" s="196">
        <v>7343739</v>
      </c>
      <c r="D264" s="197">
        <v>3</v>
      </c>
      <c r="E264" s="195">
        <v>70</v>
      </c>
      <c r="F264" s="198" t="s">
        <v>18</v>
      </c>
      <c r="G264" s="198" t="s">
        <v>68</v>
      </c>
      <c r="H264" s="198" t="s">
        <v>335</v>
      </c>
      <c r="I264" s="198">
        <v>2025</v>
      </c>
      <c r="J264" s="202">
        <v>45943</v>
      </c>
      <c r="K264" s="198" t="s">
        <v>161</v>
      </c>
      <c r="L264" s="198" t="s">
        <v>143</v>
      </c>
      <c r="M264" s="195"/>
      <c r="N264" s="198"/>
      <c r="O264" s="200" t="s">
        <v>58</v>
      </c>
      <c r="P264" s="195"/>
      <c r="Q264" s="195"/>
      <c r="R264" s="195" t="s">
        <v>1290</v>
      </c>
      <c r="S264" s="195" t="s">
        <v>797</v>
      </c>
      <c r="T264" s="195" t="s">
        <v>428</v>
      </c>
      <c r="U264" s="199">
        <v>46076</v>
      </c>
      <c r="V264" s="199">
        <v>46104</v>
      </c>
      <c r="W264" s="142">
        <f t="shared" ca="1" si="3"/>
        <v>19</v>
      </c>
      <c r="X264" s="203" t="str">
        <f t="shared" ca="1" si="2"/>
        <v>Por Vencer</v>
      </c>
    </row>
    <row r="265" spans="1:24" ht="65.25" hidden="1" customHeight="1">
      <c r="A265" s="204" t="s">
        <v>184</v>
      </c>
      <c r="B265" s="204" t="s">
        <v>1291</v>
      </c>
      <c r="C265" s="205">
        <v>7408472</v>
      </c>
      <c r="D265" s="206">
        <v>9</v>
      </c>
      <c r="E265" s="204">
        <v>67</v>
      </c>
      <c r="F265" s="207" t="s">
        <v>64</v>
      </c>
      <c r="G265" s="207" t="s">
        <v>141</v>
      </c>
      <c r="H265" s="207" t="s">
        <v>335</v>
      </c>
      <c r="I265" s="207">
        <v>2025</v>
      </c>
      <c r="J265" s="207"/>
      <c r="K265" s="207"/>
      <c r="L265" s="207" t="s">
        <v>156</v>
      </c>
      <c r="M265" s="204"/>
      <c r="N265" s="207"/>
      <c r="O265" s="200" t="s">
        <v>58</v>
      </c>
      <c r="P265" s="204"/>
      <c r="Q265" s="204"/>
      <c r="R265" s="204" t="s">
        <v>1292</v>
      </c>
      <c r="S265" s="204" t="s">
        <v>797</v>
      </c>
      <c r="T265" s="204" t="s">
        <v>428</v>
      </c>
      <c r="U265" s="208">
        <v>46048</v>
      </c>
      <c r="V265" s="210">
        <v>46079</v>
      </c>
      <c r="W265" s="204">
        <f t="shared" ca="1" si="3"/>
        <v>-6</v>
      </c>
      <c r="X265" s="203" t="str">
        <f t="shared" ca="1" si="2"/>
        <v>Vencido</v>
      </c>
    </row>
    <row r="266" spans="1:24" ht="65.25" customHeight="1">
      <c r="A266" s="204" t="s">
        <v>184</v>
      </c>
      <c r="B266" s="195" t="s">
        <v>1293</v>
      </c>
      <c r="C266" s="196">
        <v>4645625</v>
      </c>
      <c r="D266" s="197">
        <v>4</v>
      </c>
      <c r="E266" s="195">
        <v>82</v>
      </c>
      <c r="F266" s="198" t="s">
        <v>18</v>
      </c>
      <c r="G266" s="198" t="s">
        <v>1294</v>
      </c>
      <c r="H266" s="207" t="s">
        <v>335</v>
      </c>
      <c r="I266" s="198">
        <v>2025</v>
      </c>
      <c r="J266" s="202">
        <v>45676</v>
      </c>
      <c r="K266" s="198" t="s">
        <v>166</v>
      </c>
      <c r="L266" s="198" t="s">
        <v>143</v>
      </c>
      <c r="M266" s="195"/>
      <c r="N266" s="198"/>
      <c r="O266" s="200" t="s">
        <v>58</v>
      </c>
      <c r="P266" s="195"/>
      <c r="Q266" s="195"/>
      <c r="R266" s="195" t="s">
        <v>1202</v>
      </c>
      <c r="S266" s="195" t="s">
        <v>797</v>
      </c>
      <c r="T266" s="195" t="s">
        <v>511</v>
      </c>
      <c r="U266" s="199">
        <v>46044</v>
      </c>
      <c r="V266" s="199">
        <v>46075</v>
      </c>
      <c r="W266" s="204">
        <f t="shared" ca="1" si="3"/>
        <v>-10</v>
      </c>
      <c r="X266" s="209" t="str">
        <f t="shared" ca="1" si="2"/>
        <v>Vencido</v>
      </c>
    </row>
    <row r="267" spans="1:24" ht="65.25" hidden="1" customHeight="1">
      <c r="A267" s="204" t="s">
        <v>184</v>
      </c>
      <c r="B267" s="195" t="s">
        <v>1295</v>
      </c>
      <c r="C267" s="196">
        <v>13747759</v>
      </c>
      <c r="D267" s="197">
        <v>9</v>
      </c>
      <c r="E267" s="195">
        <v>46</v>
      </c>
      <c r="F267" s="198" t="s">
        <v>18</v>
      </c>
      <c r="G267" s="198" t="s">
        <v>1294</v>
      </c>
      <c r="H267" s="207" t="s">
        <v>335</v>
      </c>
      <c r="I267" s="198">
        <v>2025</v>
      </c>
      <c r="J267" s="202">
        <v>45676</v>
      </c>
      <c r="K267" s="198" t="s">
        <v>166</v>
      </c>
      <c r="L267" s="198" t="s">
        <v>143</v>
      </c>
      <c r="M267" s="195"/>
      <c r="N267" s="198"/>
      <c r="O267" s="200" t="s">
        <v>58</v>
      </c>
      <c r="P267" s="195" t="s">
        <v>152</v>
      </c>
      <c r="Q267" s="195"/>
      <c r="R267" s="195" t="s">
        <v>1296</v>
      </c>
      <c r="S267" s="195" t="s">
        <v>284</v>
      </c>
      <c r="T267" s="195" t="s">
        <v>511</v>
      </c>
      <c r="U267" s="199">
        <v>46076</v>
      </c>
      <c r="V267" s="199">
        <v>46104</v>
      </c>
      <c r="W267" s="204">
        <f t="shared" ca="1" si="3"/>
        <v>19</v>
      </c>
      <c r="X267" s="209" t="str">
        <f t="shared" ca="1" si="2"/>
        <v>Por Vencer</v>
      </c>
    </row>
    <row r="268" spans="1:24" ht="65.25" hidden="1" customHeight="1">
      <c r="A268" s="204" t="s">
        <v>184</v>
      </c>
      <c r="B268" s="195" t="s">
        <v>1297</v>
      </c>
      <c r="C268" s="196">
        <v>10678481</v>
      </c>
      <c r="D268" s="197">
        <v>7</v>
      </c>
      <c r="E268" s="195">
        <v>62</v>
      </c>
      <c r="F268" s="198" t="s">
        <v>18</v>
      </c>
      <c r="G268" s="198" t="s">
        <v>502</v>
      </c>
      <c r="H268" s="207" t="s">
        <v>335</v>
      </c>
      <c r="I268" s="198">
        <v>2026</v>
      </c>
      <c r="J268" s="198"/>
      <c r="K268" s="198" t="s">
        <v>161</v>
      </c>
      <c r="L268" s="198" t="s">
        <v>143</v>
      </c>
      <c r="M268" s="195"/>
      <c r="N268" s="198"/>
      <c r="O268" s="200" t="s">
        <v>58</v>
      </c>
      <c r="P268" s="195"/>
      <c r="Q268" s="195"/>
      <c r="R268" s="195" t="s">
        <v>1278</v>
      </c>
      <c r="S268" s="195" t="s">
        <v>797</v>
      </c>
      <c r="T268" s="195" t="s">
        <v>428</v>
      </c>
      <c r="U268" s="199">
        <v>46055</v>
      </c>
      <c r="V268" s="199">
        <v>46073</v>
      </c>
      <c r="W268" s="204">
        <f t="shared" ca="1" si="3"/>
        <v>-12</v>
      </c>
      <c r="X268" s="209" t="str">
        <f t="shared" ca="1" si="2"/>
        <v>Vencido</v>
      </c>
    </row>
    <row r="269" spans="1:24" ht="65.25" hidden="1" customHeight="1">
      <c r="A269" s="204" t="s">
        <v>184</v>
      </c>
      <c r="B269" s="195" t="s">
        <v>1298</v>
      </c>
      <c r="C269" s="196">
        <v>7227050</v>
      </c>
      <c r="D269" s="197">
        <v>9</v>
      </c>
      <c r="E269" s="195">
        <v>70</v>
      </c>
      <c r="F269" s="198" t="s">
        <v>554</v>
      </c>
      <c r="G269" s="198" t="s">
        <v>141</v>
      </c>
      <c r="H269" s="207" t="s">
        <v>335</v>
      </c>
      <c r="I269" s="198">
        <v>2026</v>
      </c>
      <c r="J269" s="198"/>
      <c r="K269" s="198" t="s">
        <v>161</v>
      </c>
      <c r="L269" s="198" t="s">
        <v>143</v>
      </c>
      <c r="M269" s="195"/>
      <c r="N269" s="198"/>
      <c r="O269" s="200" t="s">
        <v>58</v>
      </c>
      <c r="P269" s="195"/>
      <c r="Q269" s="195"/>
      <c r="R269" s="195" t="s">
        <v>1278</v>
      </c>
      <c r="S269" s="195" t="s">
        <v>797</v>
      </c>
      <c r="T269" s="195" t="s">
        <v>428</v>
      </c>
      <c r="U269" s="199">
        <v>46055</v>
      </c>
      <c r="V269" s="199">
        <v>46083</v>
      </c>
      <c r="W269" s="204">
        <f t="shared" ca="1" si="3"/>
        <v>-2</v>
      </c>
      <c r="X269" s="209" t="str">
        <f t="shared" ca="1" si="2"/>
        <v>Vencido</v>
      </c>
    </row>
    <row r="270" spans="1:24" ht="65.25" hidden="1" customHeight="1">
      <c r="A270" s="204" t="s">
        <v>184</v>
      </c>
      <c r="B270" s="204" t="s">
        <v>1299</v>
      </c>
      <c r="C270" s="205">
        <v>29117371</v>
      </c>
      <c r="D270" s="206">
        <v>3</v>
      </c>
      <c r="E270" s="204">
        <v>78</v>
      </c>
      <c r="F270" s="207" t="s">
        <v>18</v>
      </c>
      <c r="G270" s="207" t="s">
        <v>141</v>
      </c>
      <c r="H270" s="207" t="s">
        <v>335</v>
      </c>
      <c r="I270" s="207" t="s">
        <v>1281</v>
      </c>
      <c r="J270" s="207" t="s">
        <v>475</v>
      </c>
      <c r="K270" s="207" t="s">
        <v>161</v>
      </c>
      <c r="L270" s="207" t="s">
        <v>156</v>
      </c>
      <c r="M270" s="208">
        <v>46048</v>
      </c>
      <c r="N270" s="207" t="s">
        <v>312</v>
      </c>
      <c r="O270" s="200" t="s">
        <v>58</v>
      </c>
      <c r="P270" s="204" t="s">
        <v>149</v>
      </c>
      <c r="Q270" s="204"/>
      <c r="R270" s="204" t="s">
        <v>1300</v>
      </c>
      <c r="S270" s="204" t="s">
        <v>288</v>
      </c>
      <c r="T270" s="204" t="s">
        <v>277</v>
      </c>
      <c r="U270" s="208">
        <v>46048</v>
      </c>
      <c r="V270" s="208">
        <v>46138</v>
      </c>
      <c r="W270" s="204">
        <f t="shared" ca="1" si="3"/>
        <v>53</v>
      </c>
      <c r="X270" s="211" t="str">
        <f t="shared" ca="1" si="2"/>
        <v>Vigente</v>
      </c>
    </row>
    <row r="271" spans="1:24" ht="65.25" hidden="1" customHeight="1">
      <c r="A271" s="204" t="s">
        <v>184</v>
      </c>
      <c r="B271" s="195" t="s">
        <v>1301</v>
      </c>
      <c r="C271" s="196">
        <v>5704755</v>
      </c>
      <c r="D271" s="197">
        <v>0</v>
      </c>
      <c r="E271" s="195">
        <v>77</v>
      </c>
      <c r="F271" s="198" t="s">
        <v>18</v>
      </c>
      <c r="G271" s="207" t="s">
        <v>141</v>
      </c>
      <c r="H271" s="207" t="s">
        <v>335</v>
      </c>
      <c r="I271" s="198"/>
      <c r="J271" s="198"/>
      <c r="K271" s="198"/>
      <c r="L271" s="198"/>
      <c r="M271" s="195"/>
      <c r="N271" s="198"/>
      <c r="O271" s="200" t="s">
        <v>58</v>
      </c>
      <c r="P271" s="195"/>
      <c r="Q271" s="195"/>
      <c r="R271" s="195"/>
      <c r="S271" s="195"/>
      <c r="T271" s="195"/>
      <c r="U271" s="195"/>
      <c r="V271" s="199"/>
      <c r="W271" s="204">
        <f t="shared" ca="1" si="3"/>
        <v>-46085</v>
      </c>
      <c r="X271" s="211" t="str">
        <f t="shared" ca="1" si="2"/>
        <v>Vencido</v>
      </c>
    </row>
    <row r="272" spans="1:24" ht="65.25" hidden="1" customHeight="1">
      <c r="A272" s="204" t="s">
        <v>184</v>
      </c>
      <c r="B272" s="195" t="s">
        <v>1302</v>
      </c>
      <c r="C272" s="196">
        <v>10424257</v>
      </c>
      <c r="D272" s="197" t="s">
        <v>87</v>
      </c>
      <c r="E272" s="195">
        <v>60</v>
      </c>
      <c r="F272" s="198" t="s">
        <v>64</v>
      </c>
      <c r="G272" s="207" t="s">
        <v>141</v>
      </c>
      <c r="H272" s="207" t="s">
        <v>335</v>
      </c>
      <c r="I272" s="198">
        <v>2026</v>
      </c>
      <c r="J272" s="202">
        <v>46051</v>
      </c>
      <c r="K272" s="198" t="s">
        <v>161</v>
      </c>
      <c r="L272" s="198" t="s">
        <v>143</v>
      </c>
      <c r="M272" s="195"/>
      <c r="N272" s="198"/>
      <c r="O272" s="200" t="s">
        <v>58</v>
      </c>
      <c r="P272" s="195" t="s">
        <v>149</v>
      </c>
      <c r="Q272" s="195"/>
      <c r="R272" s="195" t="s">
        <v>1278</v>
      </c>
      <c r="S272" s="195" t="s">
        <v>797</v>
      </c>
      <c r="T272" s="195" t="s">
        <v>428</v>
      </c>
      <c r="U272" s="199">
        <v>46055</v>
      </c>
      <c r="V272" s="199">
        <v>46083</v>
      </c>
      <c r="W272" s="204">
        <f t="shared" ca="1" si="3"/>
        <v>-2</v>
      </c>
      <c r="X272" s="211" t="str">
        <f t="shared" ca="1" si="2"/>
        <v>Vencido</v>
      </c>
    </row>
    <row r="273" spans="1:24" ht="65.25" hidden="1" customHeight="1">
      <c r="A273" s="204" t="s">
        <v>184</v>
      </c>
      <c r="B273" s="195" t="s">
        <v>1303</v>
      </c>
      <c r="C273" s="196">
        <v>5429356</v>
      </c>
      <c r="D273" s="197">
        <v>9</v>
      </c>
      <c r="E273" s="195">
        <v>80</v>
      </c>
      <c r="F273" s="198" t="s">
        <v>18</v>
      </c>
      <c r="G273" s="198" t="s">
        <v>634</v>
      </c>
      <c r="H273" s="207" t="s">
        <v>335</v>
      </c>
      <c r="I273" s="198">
        <v>2026</v>
      </c>
      <c r="J273" s="202">
        <v>46045</v>
      </c>
      <c r="K273" s="198" t="s">
        <v>161</v>
      </c>
      <c r="L273" s="198" t="s">
        <v>143</v>
      </c>
      <c r="M273" s="195"/>
      <c r="N273" s="198"/>
      <c r="O273" s="200" t="s">
        <v>58</v>
      </c>
      <c r="P273" s="195"/>
      <c r="Q273" s="195"/>
      <c r="R273" s="195" t="s">
        <v>1278</v>
      </c>
      <c r="S273" s="195" t="s">
        <v>797</v>
      </c>
      <c r="T273" s="195" t="s">
        <v>511</v>
      </c>
      <c r="U273" s="199">
        <v>46063</v>
      </c>
      <c r="V273" s="199">
        <v>46091</v>
      </c>
      <c r="W273" s="204">
        <f t="shared" ca="1" si="3"/>
        <v>6</v>
      </c>
      <c r="X273" s="211" t="str">
        <f t="shared" ca="1" si="2"/>
        <v>Por Vencer</v>
      </c>
    </row>
    <row r="274" spans="1:24" ht="65.25" hidden="1" customHeight="1">
      <c r="A274" s="204" t="s">
        <v>184</v>
      </c>
      <c r="B274" s="204" t="s">
        <v>1304</v>
      </c>
      <c r="C274" s="205">
        <v>5214062</v>
      </c>
      <c r="D274" s="206">
        <v>5</v>
      </c>
      <c r="E274" s="204">
        <v>81</v>
      </c>
      <c r="F274" s="207" t="s">
        <v>18</v>
      </c>
      <c r="G274" s="207" t="s">
        <v>502</v>
      </c>
      <c r="H274" s="207" t="s">
        <v>335</v>
      </c>
      <c r="I274" s="207">
        <v>2025</v>
      </c>
      <c r="J274" s="212">
        <v>45974</v>
      </c>
      <c r="K274" s="207" t="s">
        <v>161</v>
      </c>
      <c r="L274" s="207" t="s">
        <v>156</v>
      </c>
      <c r="M274" s="208">
        <v>46062</v>
      </c>
      <c r="N274" s="207" t="s">
        <v>1273</v>
      </c>
      <c r="O274" s="200" t="s">
        <v>58</v>
      </c>
      <c r="P274" s="204" t="s">
        <v>149</v>
      </c>
      <c r="Q274" s="204"/>
      <c r="R274" s="204" t="s">
        <v>1305</v>
      </c>
      <c r="S274" s="204" t="s">
        <v>388</v>
      </c>
      <c r="T274" s="204" t="s">
        <v>511</v>
      </c>
      <c r="U274" s="208">
        <v>46063</v>
      </c>
      <c r="V274" s="208">
        <v>46183</v>
      </c>
      <c r="W274" s="204">
        <f t="shared" ca="1" si="3"/>
        <v>98</v>
      </c>
      <c r="X274" s="211" t="str">
        <f t="shared" ca="1" si="2"/>
        <v>Vigente</v>
      </c>
    </row>
    <row r="275" spans="1:24" ht="65.25" hidden="1" customHeight="1">
      <c r="A275" s="195" t="s">
        <v>59</v>
      </c>
      <c r="B275" s="195" t="s">
        <v>1306</v>
      </c>
      <c r="C275" s="196">
        <v>11748569</v>
      </c>
      <c r="D275" s="197">
        <v>2</v>
      </c>
      <c r="E275" s="195">
        <v>54</v>
      </c>
      <c r="F275" s="198" t="s">
        <v>64</v>
      </c>
      <c r="G275" s="198" t="s">
        <v>1307</v>
      </c>
      <c r="H275" s="207" t="s">
        <v>335</v>
      </c>
      <c r="I275" s="198">
        <v>2025</v>
      </c>
      <c r="J275" s="202">
        <v>46048</v>
      </c>
      <c r="K275" s="198" t="s">
        <v>166</v>
      </c>
      <c r="L275" s="198" t="s">
        <v>143</v>
      </c>
      <c r="M275" s="195"/>
      <c r="N275" s="198"/>
      <c r="O275" s="200" t="s">
        <v>58</v>
      </c>
      <c r="P275" s="195"/>
      <c r="Q275" s="195"/>
      <c r="R275" s="195" t="s">
        <v>1308</v>
      </c>
      <c r="S275" s="195" t="s">
        <v>797</v>
      </c>
      <c r="T275" s="195" t="s">
        <v>428</v>
      </c>
      <c r="U275" s="199">
        <v>46058</v>
      </c>
      <c r="V275" s="199">
        <v>46086</v>
      </c>
      <c r="W275" s="204">
        <f t="shared" ca="1" si="3"/>
        <v>1</v>
      </c>
      <c r="X275" s="211" t="str">
        <f t="shared" ca="1" si="2"/>
        <v>Por Vencer</v>
      </c>
    </row>
    <row r="276" spans="1:24" ht="65.25" hidden="1" customHeight="1">
      <c r="A276" s="204" t="s">
        <v>184</v>
      </c>
      <c r="B276" s="195" t="s">
        <v>1309</v>
      </c>
      <c r="C276" s="196">
        <v>8073217</v>
      </c>
      <c r="D276" s="197">
        <v>1</v>
      </c>
      <c r="E276" s="195">
        <v>69</v>
      </c>
      <c r="F276" s="198" t="s">
        <v>64</v>
      </c>
      <c r="G276" s="198" t="s">
        <v>141</v>
      </c>
      <c r="H276" s="198" t="s">
        <v>335</v>
      </c>
      <c r="I276" s="198">
        <v>2026</v>
      </c>
      <c r="J276" s="198"/>
      <c r="K276" s="198" t="s">
        <v>161</v>
      </c>
      <c r="L276" s="198" t="s">
        <v>143</v>
      </c>
      <c r="M276" s="195"/>
      <c r="N276" s="198"/>
      <c r="O276" s="200" t="s">
        <v>58</v>
      </c>
      <c r="P276" s="195"/>
      <c r="Q276" s="195"/>
      <c r="R276" s="195" t="s">
        <v>1310</v>
      </c>
      <c r="S276" s="195" t="s">
        <v>797</v>
      </c>
      <c r="T276" s="195" t="s">
        <v>511</v>
      </c>
      <c r="U276" s="199">
        <v>46069</v>
      </c>
      <c r="V276" s="199">
        <v>46097</v>
      </c>
      <c r="W276" s="204">
        <f t="shared" ca="1" si="3"/>
        <v>12</v>
      </c>
      <c r="X276" s="211" t="str">
        <f t="shared" ca="1" si="2"/>
        <v>Por Vencer</v>
      </c>
    </row>
    <row r="277" spans="1:24" ht="65.25" hidden="1" customHeight="1">
      <c r="A277" s="204" t="s">
        <v>184</v>
      </c>
      <c r="B277" s="195" t="s">
        <v>1231</v>
      </c>
      <c r="C277" s="196">
        <v>17901924</v>
      </c>
      <c r="D277" s="197">
        <v>8</v>
      </c>
      <c r="E277" s="195">
        <v>35</v>
      </c>
      <c r="F277" s="198" t="s">
        <v>64</v>
      </c>
      <c r="G277" s="198" t="s">
        <v>967</v>
      </c>
      <c r="H277" s="198" t="s">
        <v>335</v>
      </c>
      <c r="I277" s="198">
        <v>2025</v>
      </c>
      <c r="J277" s="202">
        <v>45953</v>
      </c>
      <c r="K277" s="198" t="s">
        <v>166</v>
      </c>
      <c r="L277" s="198"/>
      <c r="M277" s="195"/>
      <c r="N277" s="198"/>
      <c r="O277" s="200" t="s">
        <v>58</v>
      </c>
      <c r="P277" s="195"/>
      <c r="Q277" s="195"/>
      <c r="R277" s="195" t="s">
        <v>1311</v>
      </c>
      <c r="S277" s="195" t="s">
        <v>797</v>
      </c>
      <c r="T277" s="195" t="s">
        <v>511</v>
      </c>
      <c r="U277" s="199">
        <v>46069</v>
      </c>
      <c r="V277" s="199">
        <v>46097</v>
      </c>
      <c r="W277" s="204">
        <f t="shared" ca="1" si="3"/>
        <v>12</v>
      </c>
      <c r="X277" s="211" t="str">
        <f t="shared" ca="1" si="2"/>
        <v>Por Vencer</v>
      </c>
    </row>
    <row r="278" spans="1:24" ht="65.25" hidden="1" customHeight="1">
      <c r="A278" s="204" t="s">
        <v>184</v>
      </c>
      <c r="B278" s="204" t="s">
        <v>1312</v>
      </c>
      <c r="C278" s="205">
        <v>7007070</v>
      </c>
      <c r="D278" s="206">
        <v>7</v>
      </c>
      <c r="E278" s="204">
        <v>69</v>
      </c>
      <c r="F278" s="207" t="s">
        <v>554</v>
      </c>
      <c r="G278" s="207" t="s">
        <v>672</v>
      </c>
      <c r="H278" s="207" t="s">
        <v>335</v>
      </c>
      <c r="I278" s="207">
        <v>2026</v>
      </c>
      <c r="J278" s="212">
        <v>46069</v>
      </c>
      <c r="K278" s="207" t="s">
        <v>166</v>
      </c>
      <c r="L278" s="207"/>
      <c r="M278" s="204"/>
      <c r="N278" s="207"/>
      <c r="O278" s="200" t="s">
        <v>58</v>
      </c>
      <c r="P278" s="204"/>
      <c r="Q278" s="204"/>
      <c r="R278" s="204" t="s">
        <v>1278</v>
      </c>
      <c r="S278" s="204" t="s">
        <v>797</v>
      </c>
      <c r="T278" s="204" t="s">
        <v>428</v>
      </c>
      <c r="U278" s="208">
        <v>46076</v>
      </c>
      <c r="V278" s="208">
        <v>46104</v>
      </c>
      <c r="W278" s="204">
        <f t="shared" ca="1" si="3"/>
        <v>19</v>
      </c>
      <c r="X278" s="211" t="str">
        <f t="shared" ca="1" si="2"/>
        <v>Por Vencer</v>
      </c>
    </row>
    <row r="279" spans="1:24" ht="65.25" hidden="1" customHeight="1">
      <c r="A279" s="195" t="s">
        <v>59</v>
      </c>
      <c r="B279" s="195" t="s">
        <v>1313</v>
      </c>
      <c r="C279" s="196">
        <v>7174706</v>
      </c>
      <c r="D279" s="197">
        <v>9</v>
      </c>
      <c r="E279" s="195">
        <v>70</v>
      </c>
      <c r="F279" s="198" t="s">
        <v>18</v>
      </c>
      <c r="G279" s="198" t="s">
        <v>1314</v>
      </c>
      <c r="H279" s="207" t="s">
        <v>335</v>
      </c>
      <c r="I279" s="198"/>
      <c r="J279" s="198"/>
      <c r="K279" s="198" t="s">
        <v>161</v>
      </c>
      <c r="L279" s="198" t="s">
        <v>168</v>
      </c>
      <c r="M279" s="195"/>
      <c r="N279" s="198"/>
      <c r="O279" s="200" t="s">
        <v>58</v>
      </c>
      <c r="P279" s="195"/>
      <c r="Q279" s="195"/>
      <c r="R279" s="195" t="s">
        <v>1315</v>
      </c>
      <c r="S279" s="195" t="s">
        <v>797</v>
      </c>
      <c r="T279" s="195" t="s">
        <v>511</v>
      </c>
      <c r="U279" s="199">
        <v>46076</v>
      </c>
      <c r="V279" s="199">
        <v>46104</v>
      </c>
      <c r="W279" s="204">
        <f t="shared" ca="1" si="3"/>
        <v>19</v>
      </c>
      <c r="X279" s="211" t="str">
        <f t="shared" ca="1" si="2"/>
        <v>Por Vencer</v>
      </c>
    </row>
    <row r="280" spans="1:24" ht="65.25" hidden="1" customHeight="1">
      <c r="A280" s="195"/>
      <c r="B280" s="195"/>
      <c r="C280" s="196"/>
      <c r="D280" s="197"/>
      <c r="E280" s="195"/>
      <c r="F280" s="198"/>
      <c r="G280" s="198"/>
      <c r="H280" s="198"/>
      <c r="I280" s="198"/>
      <c r="J280" s="198"/>
      <c r="K280" s="198"/>
      <c r="L280" s="198"/>
      <c r="M280" s="195"/>
      <c r="N280" s="198"/>
      <c r="O280" s="195"/>
      <c r="P280" s="195"/>
      <c r="Q280" s="195"/>
      <c r="R280" s="195"/>
      <c r="S280" s="195"/>
      <c r="T280" s="195"/>
      <c r="U280" s="195"/>
      <c r="V280" s="199"/>
      <c r="W280" s="204">
        <f t="shared" ca="1" si="3"/>
        <v>-46085</v>
      </c>
      <c r="X280" s="211" t="str">
        <f t="shared" ca="1" si="2"/>
        <v>Vencido</v>
      </c>
    </row>
    <row r="281" spans="1:24" ht="65.25" hidden="1" customHeight="1">
      <c r="A281" s="195"/>
      <c r="B281" s="195"/>
      <c r="C281" s="196"/>
      <c r="D281" s="197"/>
      <c r="E281" s="195"/>
      <c r="F281" s="198"/>
      <c r="G281" s="198"/>
      <c r="H281" s="198"/>
      <c r="I281" s="198"/>
      <c r="J281" s="198"/>
      <c r="K281" s="198"/>
      <c r="L281" s="198"/>
      <c r="M281" s="195"/>
      <c r="N281" s="198"/>
      <c r="O281" s="195"/>
      <c r="P281" s="195"/>
      <c r="Q281" s="195"/>
      <c r="R281" s="195"/>
      <c r="S281" s="195"/>
      <c r="T281" s="195"/>
      <c r="U281" s="195"/>
      <c r="V281" s="199"/>
      <c r="W281" s="204">
        <f t="shared" ca="1" si="3"/>
        <v>-46085</v>
      </c>
      <c r="X281" s="211" t="str">
        <f t="shared" ca="1" si="2"/>
        <v>Vencido</v>
      </c>
    </row>
    <row r="282" spans="1:24" ht="65.25" hidden="1" customHeight="1">
      <c r="A282" s="195"/>
      <c r="B282" s="195"/>
      <c r="C282" s="196"/>
      <c r="D282" s="197"/>
      <c r="E282" s="195"/>
      <c r="F282" s="198"/>
      <c r="G282" s="198"/>
      <c r="H282" s="198"/>
      <c r="I282" s="198"/>
      <c r="J282" s="198"/>
      <c r="K282" s="198"/>
      <c r="L282" s="198"/>
      <c r="M282" s="195"/>
      <c r="N282" s="198"/>
      <c r="O282" s="195"/>
      <c r="P282" s="195"/>
      <c r="Q282" s="195"/>
      <c r="R282" s="195"/>
      <c r="S282" s="195"/>
      <c r="T282" s="195"/>
      <c r="U282" s="195"/>
      <c r="V282" s="199"/>
      <c r="W282" s="204">
        <f t="shared" ca="1" si="3"/>
        <v>-46085</v>
      </c>
      <c r="X282" s="211" t="str">
        <f t="shared" ca="1" si="2"/>
        <v>Vencido</v>
      </c>
    </row>
    <row r="283" spans="1:24" ht="65.25" hidden="1" customHeight="1">
      <c r="A283" s="195"/>
      <c r="B283" s="195"/>
      <c r="C283" s="196"/>
      <c r="D283" s="197"/>
      <c r="E283" s="195"/>
      <c r="F283" s="198"/>
      <c r="G283" s="198"/>
      <c r="H283" s="198"/>
      <c r="I283" s="198"/>
      <c r="J283" s="198"/>
      <c r="K283" s="198"/>
      <c r="L283" s="198"/>
      <c r="M283" s="195"/>
      <c r="N283" s="198"/>
      <c r="O283" s="195"/>
      <c r="P283" s="195"/>
      <c r="Q283" s="195"/>
      <c r="R283" s="195"/>
      <c r="S283" s="195"/>
      <c r="T283" s="195"/>
      <c r="U283" s="195"/>
      <c r="V283" s="199"/>
      <c r="W283" s="204">
        <f t="shared" ca="1" si="3"/>
        <v>-46085</v>
      </c>
      <c r="X283" s="211" t="str">
        <f t="shared" ca="1" si="2"/>
        <v>Vencido</v>
      </c>
    </row>
    <row r="284" spans="1:24" ht="65.25" hidden="1" customHeight="1">
      <c r="A284" s="195"/>
      <c r="B284" s="195"/>
      <c r="C284" s="196"/>
      <c r="D284" s="197"/>
      <c r="E284" s="195"/>
      <c r="F284" s="198"/>
      <c r="G284" s="198"/>
      <c r="H284" s="198"/>
      <c r="I284" s="198"/>
      <c r="J284" s="198"/>
      <c r="K284" s="198"/>
      <c r="L284" s="198"/>
      <c r="M284" s="195"/>
      <c r="N284" s="198"/>
      <c r="O284" s="195"/>
      <c r="P284" s="195"/>
      <c r="Q284" s="195"/>
      <c r="R284" s="195"/>
      <c r="S284" s="195"/>
      <c r="T284" s="195"/>
      <c r="U284" s="195"/>
      <c r="V284" s="199"/>
      <c r="W284" s="204">
        <f t="shared" ca="1" si="3"/>
        <v>-46085</v>
      </c>
      <c r="X284" s="211" t="str">
        <f t="shared" ca="1" si="2"/>
        <v>Vencido</v>
      </c>
    </row>
  </sheetData>
  <autoFilter ref="A4:Y284" xr:uid="{00000000-0009-0000-0000-000002000000}">
    <filterColumn colId="1">
      <filters>
        <filter val="HERIBERTO PEREZ PEREZ"/>
      </filters>
    </filterColumn>
    <sortState xmlns:xlrd2="http://schemas.microsoft.com/office/spreadsheetml/2017/richdata2" ref="A134:Y134">
      <sortCondition descending="1" ref="B4:B241"/>
    </sortState>
  </autoFilter>
  <phoneticPr fontId="12" type="noConversion"/>
  <conditionalFormatting sqref="A1:A1048576">
    <cfRule type="containsText" dxfId="36" priority="13" operator="containsText" text="GES ">
      <formula>NOT(ISERROR(SEARCH("GES ",A1)))</formula>
    </cfRule>
    <cfRule type="containsText" dxfId="35" priority="15" operator="containsText" text="NO GES">
      <formula>NOT(ISERROR(SEARCH("NO GES",A1)))</formula>
    </cfRule>
  </conditionalFormatting>
  <conditionalFormatting sqref="C12">
    <cfRule type="duplicateValues" dxfId="34" priority="210"/>
  </conditionalFormatting>
  <conditionalFormatting sqref="N12:N13 P249 N160:N1048576 O220:O279">
    <cfRule type="containsText" dxfId="33" priority="9" operator="containsText" text="HOV">
      <formula>NOT(ISERROR(SEARCH("HOV",N12)))</formula>
    </cfRule>
    <cfRule type="containsText" dxfId="32" priority="10" operator="containsText" text="HSP">
      <formula>NOT(ISERROR(SEARCH("HSP",N12)))</formula>
    </cfRule>
    <cfRule type="containsText" dxfId="31" priority="11" operator="containsText" text="HLS">
      <formula>NOT(ISERROR(SEARCH("HLS",N12)))</formula>
    </cfRule>
    <cfRule type="containsText" dxfId="30" priority="12" operator="containsText" text="HOV">
      <formula>NOT(ISERROR(SEARCH("HOV",N12)))</formula>
    </cfRule>
  </conditionalFormatting>
  <conditionalFormatting sqref="P249 O1:O1048576">
    <cfRule type="containsText" dxfId="29" priority="200" operator="containsText" text="STGO">
      <formula>NOT(ISERROR(SEARCH("STGO",O1)))</formula>
    </cfRule>
  </conditionalFormatting>
  <conditionalFormatting sqref="O126">
    <cfRule type="containsText" dxfId="28" priority="1" operator="containsText" text="HOV">
      <formula>NOT(ISERROR(SEARCH("HOV",O126)))</formula>
    </cfRule>
    <cfRule type="containsText" dxfId="27" priority="2" operator="containsText" text="HSP">
      <formula>NOT(ISERROR(SEARCH("HSP",O126)))</formula>
    </cfRule>
    <cfRule type="containsText" dxfId="26" priority="3" operator="containsText" text="HLS">
      <formula>NOT(ISERROR(SEARCH("HLS",O126)))</formula>
    </cfRule>
    <cfRule type="containsText" dxfId="25" priority="4" operator="containsText" text="HOV">
      <formula>NOT(ISERROR(SEARCH("HOV",O126)))</formula>
    </cfRule>
  </conditionalFormatting>
  <conditionalFormatting sqref="O130">
    <cfRule type="containsText" dxfId="24" priority="167" operator="containsText" text="HOV">
      <formula>NOT(ISERROR(SEARCH("HOV",O130)))</formula>
    </cfRule>
    <cfRule type="containsText" dxfId="23" priority="168" operator="containsText" text="HSP">
      <formula>NOT(ISERROR(SEARCH("HSP",O130)))</formula>
    </cfRule>
    <cfRule type="containsText" dxfId="22" priority="169" operator="containsText" text="HLS">
      <formula>NOT(ISERROR(SEARCH("HLS",O130)))</formula>
    </cfRule>
    <cfRule type="containsText" dxfId="21" priority="170" operator="containsText" text="HOV">
      <formula>NOT(ISERROR(SEARCH("HOV",O130)))</formula>
    </cfRule>
  </conditionalFormatting>
  <conditionalFormatting sqref="O163">
    <cfRule type="containsText" dxfId="20" priority="86" operator="containsText" text="HOV">
      <formula>NOT(ISERROR(SEARCH("HOV",O163)))</formula>
    </cfRule>
    <cfRule type="containsText" dxfId="19" priority="87" operator="containsText" text="HSP">
      <formula>NOT(ISERROR(SEARCH("HSP",O163)))</formula>
    </cfRule>
    <cfRule type="containsText" dxfId="18" priority="88" operator="containsText" text="HLS">
      <formula>NOT(ISERROR(SEARCH("HLS",O163)))</formula>
    </cfRule>
    <cfRule type="containsText" dxfId="17" priority="89" operator="containsText" text="HOV">
      <formula>NOT(ISERROR(SEARCH("HOV",O163)))</formula>
    </cfRule>
  </conditionalFormatting>
  <conditionalFormatting sqref="O168">
    <cfRule type="containsText" dxfId="16" priority="42" operator="containsText" text="HOV">
      <formula>NOT(ISERROR(SEARCH("HOV",O168)))</formula>
    </cfRule>
    <cfRule type="containsText" dxfId="15" priority="43" operator="containsText" text="HSP">
      <formula>NOT(ISERROR(SEARCH("HSP",O168)))</formula>
    </cfRule>
    <cfRule type="containsText" dxfId="14" priority="44" operator="containsText" text="HLS">
      <formula>NOT(ISERROR(SEARCH("HLS",O168)))</formula>
    </cfRule>
    <cfRule type="containsText" dxfId="13" priority="45" operator="containsText" text="HOV">
      <formula>NOT(ISERROR(SEARCH("HOV",O168)))</formula>
    </cfRule>
  </conditionalFormatting>
  <conditionalFormatting sqref="O202:O218">
    <cfRule type="containsText" dxfId="12" priority="5" operator="containsText" text="HOV">
      <formula>NOT(ISERROR(SEARCH("HOV",O202)))</formula>
    </cfRule>
    <cfRule type="containsText" dxfId="11" priority="6" operator="containsText" text="HSP">
      <formula>NOT(ISERROR(SEARCH("HSP",O202)))</formula>
    </cfRule>
    <cfRule type="containsText" dxfId="10" priority="7" operator="containsText" text="HLS">
      <formula>NOT(ISERROR(SEARCH("HLS",O202)))</formula>
    </cfRule>
    <cfRule type="containsText" dxfId="9" priority="8" operator="containsText" text="HOV">
      <formula>NOT(ISERROR(SEARCH("HOV",O202)))</formula>
    </cfRule>
  </conditionalFormatting>
  <conditionalFormatting sqref="R251:R1048576 R164:R249">
    <cfRule type="containsText" dxfId="8" priority="17" operator="containsText" text="CONTACTAR ">
      <formula>NOT(ISERROR(SEARCH("CONTACTAR ",R164)))</formula>
    </cfRule>
  </conditionalFormatting>
  <conditionalFormatting sqref="X4:X284">
    <cfRule type="containsText" dxfId="7" priority="21" operator="containsText" text="vigente">
      <formula>NOT(ISERROR(SEARCH("vigente",X4)))</formula>
    </cfRule>
    <cfRule type="containsText" dxfId="6" priority="22" operator="containsText" text="por vencer">
      <formula>NOT(ISERROR(SEARCH("por vencer",X4)))</formula>
    </cfRule>
    <cfRule type="containsText" dxfId="5" priority="23" operator="containsText" text="vencido">
      <formula>NOT(ISERROR(SEARCH("vencido",X4)))</formula>
    </cfRule>
  </conditionalFormatting>
  <dataValidations count="6">
    <dataValidation type="list" allowBlank="1" showInputMessage="1" showErrorMessage="1" sqref="M22" xr:uid="{00000000-0002-0000-0200-000000000000}">
      <formula1>Estado</formula1>
    </dataValidation>
    <dataValidation type="list" allowBlank="1" showInputMessage="1" showErrorMessage="1" sqref="P55:P56 P68 P101 P47:P48 P58:P59 P93:P99 P201:P202 P52 P5:P42" xr:uid="{00000000-0002-0000-0200-000001000000}">
      <formula1>"DETENIDO,CURSO"</formula1>
    </dataValidation>
    <dataValidation type="list" allowBlank="1" showInputMessage="1" showErrorMessage="1" sqref="F66" xr:uid="{00000000-0002-0000-0200-000002000000}">
      <formula1>"Ovalle,Punitaqui ,Rio Hurtado,Combarbala,Monte patria"</formula1>
    </dataValidation>
    <dataValidation type="list" allowBlank="1" showInputMessage="1" showErrorMessage="1" sqref="A91 A34:A37 A80:A84 A86:A88 A93:A98 A100:A101 A108:A111 A118:A120 A123:A125 A39:A40 A5:A32 A42:A77 A103:A105 A113:A116" xr:uid="{00000000-0002-0000-0200-000003000000}">
      <formula1>"GES,NO GES"</formula1>
    </dataValidation>
    <dataValidation type="list" allowBlank="1" showInputMessage="1" showErrorMessage="1" sqref="K62:K71 K73:K74 K43:K50 K52:K53 K5:K31" xr:uid="{00000000-0002-0000-0200-000004000000}">
      <formula1>"Si,No"</formula1>
    </dataValidation>
    <dataValidation type="list" allowBlank="1" showInputMessage="1" showErrorMessage="1" sqref="L5:L102 L104:L111 L113:L123" xr:uid="{00000000-0002-0000-0200-000005000000}">
      <formula1>"Egreso,Confirmación,Etapificacion,Tratamiento,Seguimiento"</formula1>
    </dataValidation>
  </dataValidations>
  <pageMargins left="0.7" right="0.7" top="0.75" bottom="0.75" header="0.3" footer="0.3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D6"/>
  <sheetViews>
    <sheetView workbookViewId="0">
      <selection activeCell="D30" sqref="D30"/>
    </sheetView>
  </sheetViews>
  <sheetFormatPr defaultColWidth="11" defaultRowHeight="15"/>
  <cols>
    <col min="3" max="3" width="14.625" customWidth="1"/>
    <col min="4" max="4" width="39.375" customWidth="1"/>
  </cols>
  <sheetData>
    <row r="2" spans="3:4">
      <c r="C2" s="24" t="s">
        <v>1316</v>
      </c>
      <c r="D2" s="24" t="s">
        <v>1317</v>
      </c>
    </row>
    <row r="3" spans="3:4">
      <c r="C3" s="19" t="s">
        <v>34</v>
      </c>
      <c r="D3" s="24" t="s">
        <v>1318</v>
      </c>
    </row>
    <row r="4" spans="3:4">
      <c r="C4" s="166"/>
      <c r="D4" s="24" t="s">
        <v>1319</v>
      </c>
    </row>
    <row r="5" spans="3:4">
      <c r="C5" s="167"/>
      <c r="D5" s="26" t="s">
        <v>1320</v>
      </c>
    </row>
    <row r="6" spans="3:4">
      <c r="C6" s="168"/>
      <c r="D6" s="24" t="s">
        <v>169</v>
      </c>
    </row>
  </sheetData>
  <conditionalFormatting sqref="C3">
    <cfRule type="containsText" dxfId="4" priority="1" operator="containsText" text="HOV">
      <formula>NOT(ISERROR(SEARCH("HOV",C3)))</formula>
    </cfRule>
    <cfRule type="containsText" dxfId="3" priority="2" operator="containsText" text="HSP">
      <formula>NOT(ISERROR(SEARCH("HSP",C3)))</formula>
    </cfRule>
    <cfRule type="containsText" dxfId="2" priority="3" operator="containsText" text="HLS">
      <formula>NOT(ISERROR(SEARCH("HLS",C3)))</formula>
    </cfRule>
    <cfRule type="containsText" dxfId="1" priority="4" operator="containsText" text="HOV">
      <formula>NOT(ISERROR(SEARCH("HOV",C3)))</formula>
    </cfRule>
    <cfRule type="containsText" dxfId="0" priority="5" operator="containsText" text="STGO">
      <formula>NOT(ISERROR(SEARCH("STGO",C3)))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920890E513590489C491798FB2D34E1" ma:contentTypeVersion="3" ma:contentTypeDescription="Crear nuevo documento." ma:contentTypeScope="" ma:versionID="669702fb992fc1133f9b178ab376ca3f">
  <xsd:schema xmlns:xsd="http://www.w3.org/2001/XMLSchema" xmlns:xs="http://www.w3.org/2001/XMLSchema" xmlns:p="http://schemas.microsoft.com/office/2006/metadata/properties" xmlns:ns2="13caeeff-fc89-4e54-8ff7-5d5e5986c583" targetNamespace="http://schemas.microsoft.com/office/2006/metadata/properties" ma:root="true" ma:fieldsID="182f1d80fb21fb810ba2b0cf6370c5a3" ns2:_="">
    <xsd:import namespace="13caeeff-fc89-4e54-8ff7-5d5e5986c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aeeff-fc89-4e54-8ff7-5d5e5986c5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4EDA5A2-6079-4A8A-AFE9-CF8D8942793A}"/>
</file>

<file path=customXml/itemProps2.xml><?xml version="1.0" encoding="utf-8"?>
<ds:datastoreItem xmlns:ds="http://schemas.openxmlformats.org/officeDocument/2006/customXml" ds:itemID="{BC76E0B7-3E10-4D87-9CAB-92A0AF32599A}"/>
</file>

<file path=customXml/itemProps3.xml><?xml version="1.0" encoding="utf-8"?>
<ds:datastoreItem xmlns:ds="http://schemas.openxmlformats.org/officeDocument/2006/customXml" ds:itemID="{18079C17-A3C7-4D37-90CB-4C197D994E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Hospital Provincial Ovalle</dc:creator>
  <cp:keywords/>
  <dc:description/>
  <cp:lastModifiedBy/>
  <cp:revision/>
  <dcterms:created xsi:type="dcterms:W3CDTF">2023-12-05T16:03:00Z</dcterms:created>
  <dcterms:modified xsi:type="dcterms:W3CDTF">2026-03-04T03:39:09Z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C361CE6D0BBD4EA0A9D514A358430A01_12</vt:lpwstr>
  </property>
  <property fmtid="{D5CDD505-2E9C-101B-9397-08002B2CF9AE}" pid="3" name="KSOProductBuildVer">
    <vt:lpwstr>3082-12.2.0.21931</vt:lpwstr>
  </property>
  <property fmtid="{D5CDD505-2E9C-101B-9397-08002B2CF9AE}" pid="4" name="ContentTypeId">
    <vt:lpwstr>0x010100E920890E513590489C491798FB2D34E1</vt:lpwstr>
  </property>
</Properties>
</file>