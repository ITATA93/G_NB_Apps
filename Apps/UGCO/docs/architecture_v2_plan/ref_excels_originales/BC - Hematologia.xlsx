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filterPrivacy="1" defaultThemeVersion="166925"/>
  <xr:revisionPtr revIDLastSave="0" documentId="8_{74DE1AA1-4D62-4C8A-BF22-BBAF61F5D4B8}" xr6:coauthVersionLast="47" xr6:coauthVersionMax="47" xr10:uidLastSave="{00000000-0000-0000-0000-000000000000}"/>
  <bookViews>
    <workbookView xWindow="-120" yWindow="-120" windowWidth="29040" windowHeight="15840" tabRatio="459" firstSheet="1" activeTab="1" xr2:uid="{00000000-000D-0000-FFFF-FFFF00000000}"/>
  </bookViews>
  <sheets>
    <sheet name="EGRESOS" sheetId="2" r:id="rId1"/>
    <sheet name="BAJO CONTROL" sheetId="10" r:id="rId2"/>
  </sheets>
  <definedNames>
    <definedName name="_xlnm._FilterDatabase" localSheetId="0" hidden="1">EGRESOS!$B$1:$R$158</definedName>
    <definedName name="_xlnm._FilterDatabase" localSheetId="1" hidden="1">'BAJO CONTROL'!$A$1:$AA$263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70" i="10" l="1"/>
  <c r="X271" i="10"/>
  <c r="X272" i="10"/>
  <c r="X268" i="10"/>
  <c r="X269" i="10"/>
  <c r="X26" i="10"/>
  <c r="Y26" i="10" s="1"/>
  <c r="Y271" i="10"/>
  <c r="Y272" i="10"/>
  <c r="Y270" i="10"/>
  <c r="Y268" i="10"/>
  <c r="Y269" i="10"/>
  <c r="X207" i="10"/>
  <c r="Y207" i="10"/>
  <c r="X211" i="10"/>
  <c r="Y211" i="10"/>
  <c r="X174" i="10"/>
  <c r="Y174" i="10"/>
  <c r="X73" i="10"/>
  <c r="Y73" i="10"/>
  <c r="X46" i="10"/>
  <c r="Y46" i="10"/>
  <c r="X241" i="10"/>
  <c r="X176" i="10"/>
  <c r="X11" i="10"/>
  <c r="Y241" i="10"/>
  <c r="Y176" i="10"/>
  <c r="Y11" i="10"/>
  <c r="X221" i="10"/>
  <c r="X66" i="10"/>
  <c r="Y66" i="10" s="1"/>
  <c r="Y221" i="10"/>
  <c r="X27" i="10"/>
  <c r="X115" i="10"/>
  <c r="X21" i="10"/>
  <c r="X42" i="10"/>
  <c r="X148" i="10"/>
  <c r="Y21" i="10"/>
  <c r="Y42" i="10"/>
  <c r="Y148" i="10"/>
  <c r="Y115" i="10"/>
  <c r="Y27" i="10"/>
  <c r="X229" i="10"/>
  <c r="Y229" i="10" s="1"/>
  <c r="X93" i="10"/>
  <c r="Y93" i="10" s="1"/>
  <c r="X23" i="10"/>
  <c r="Y23" i="10" s="1"/>
  <c r="X128" i="10" l="1"/>
  <c r="Y128" i="10" s="1"/>
  <c r="X169" i="10"/>
  <c r="Y169" i="10" s="1"/>
  <c r="X107" i="10"/>
  <c r="Y107" i="10" s="1"/>
  <c r="X71" i="10"/>
  <c r="Y71" i="10" s="1"/>
  <c r="X184" i="10"/>
  <c r="Y184" i="10" s="1"/>
  <c r="X101" i="10"/>
  <c r="Y101" i="10" s="1"/>
  <c r="X104" i="10"/>
  <c r="Y104" i="10" s="1"/>
  <c r="X238" i="10"/>
  <c r="Y238" i="10" s="1"/>
  <c r="X25" i="10"/>
  <c r="Y25" i="10" s="1"/>
  <c r="X250" i="10"/>
  <c r="Y250" i="10" s="1"/>
  <c r="X235" i="10"/>
  <c r="Y235" i="10" s="1"/>
  <c r="X19" i="10"/>
  <c r="Y19" i="10" s="1"/>
  <c r="X159" i="10"/>
  <c r="Y159" i="10" s="1"/>
  <c r="X252" i="10"/>
  <c r="Y252" i="10" s="1"/>
  <c r="X31" i="10"/>
  <c r="Y31" i="10" s="1"/>
  <c r="X248" i="10"/>
  <c r="Y248" i="10" s="1"/>
  <c r="X152" i="10"/>
  <c r="Y152" i="10" s="1"/>
  <c r="X217" i="10"/>
  <c r="Y217" i="10" s="1"/>
  <c r="X60" i="10"/>
  <c r="Y60" i="10" s="1"/>
  <c r="X103" i="10"/>
  <c r="Y103" i="10" s="1"/>
  <c r="X267" i="10"/>
  <c r="Y267" i="10" s="1"/>
  <c r="X136" i="10"/>
  <c r="Y136" i="10" s="1"/>
  <c r="X179" i="10"/>
  <c r="Y179" i="10" s="1"/>
  <c r="X243" i="10"/>
  <c r="Y243" i="10" s="1"/>
  <c r="X249" i="10"/>
  <c r="Y249" i="10" s="1"/>
  <c r="X59" i="10" l="1"/>
  <c r="Y59" i="10" s="1"/>
  <c r="X87" i="10"/>
  <c r="Y87" i="10" s="1"/>
  <c r="X4" i="10"/>
  <c r="Y4" i="10" s="1"/>
  <c r="X5" i="10"/>
  <c r="Y5" i="10" s="1"/>
  <c r="X168" i="10"/>
  <c r="Y168" i="10" s="1"/>
  <c r="X79" i="10"/>
  <c r="Y79" i="10" s="1"/>
  <c r="X150" i="10"/>
  <c r="Y150" i="10" s="1"/>
  <c r="X187" i="10"/>
  <c r="Y187" i="10" s="1"/>
  <c r="X74" i="10"/>
  <c r="Y74" i="10" s="1"/>
  <c r="X14" i="10"/>
  <c r="Y14" i="10" s="1"/>
  <c r="X78" i="10"/>
  <c r="Y78" i="10" s="1"/>
  <c r="X264" i="10"/>
  <c r="Y264" i="10" s="1"/>
  <c r="X37" i="10"/>
  <c r="Y37" i="10" s="1"/>
  <c r="X197" i="10"/>
  <c r="Y197" i="10" s="1"/>
  <c r="X96" i="10"/>
  <c r="Y96" i="10" s="1"/>
  <c r="X147" i="10"/>
  <c r="Y147" i="10" s="1"/>
  <c r="X81" i="10"/>
  <c r="Y81" i="10" s="1"/>
  <c r="X206" i="10"/>
  <c r="Y206" i="10" s="1"/>
  <c r="X190" i="10" l="1"/>
  <c r="Y190" i="10" s="1"/>
  <c r="X89" i="10"/>
  <c r="Y89" i="10" s="1"/>
  <c r="X22" i="10"/>
  <c r="Y22" i="10" s="1"/>
  <c r="X222" i="10"/>
  <c r="Y222" i="10" s="1"/>
  <c r="X257" i="10"/>
  <c r="Y257" i="10" s="1"/>
  <c r="X126" i="10"/>
  <c r="Y126" i="10" s="1"/>
  <c r="X157" i="10"/>
  <c r="Y157" i="10" s="1"/>
  <c r="X129" i="10"/>
  <c r="Y129" i="10" s="1"/>
  <c r="X194" i="10"/>
  <c r="Y194" i="10" s="1"/>
  <c r="X227" i="10"/>
  <c r="Y227" i="10" s="1"/>
  <c r="X88" i="10"/>
  <c r="Y88" i="10" s="1"/>
  <c r="X109" i="10"/>
  <c r="Y109" i="10" s="1"/>
  <c r="X193" i="10"/>
  <c r="Y193" i="10" s="1"/>
  <c r="X34" i="10"/>
  <c r="Y34" i="10" s="1"/>
  <c r="X17" i="10"/>
  <c r="Y17" i="10" s="1"/>
  <c r="X90" i="10"/>
  <c r="Y90" i="10" s="1"/>
  <c r="X203" i="10"/>
  <c r="Y203" i="10" s="1"/>
  <c r="X113" i="10"/>
  <c r="Y113" i="10" s="1"/>
  <c r="X43" i="10"/>
  <c r="X231" i="10" l="1"/>
  <c r="Y231" i="10" s="1"/>
  <c r="X181" i="10" l="1"/>
  <c r="Y181" i="10" s="1"/>
  <c r="X44" i="10" l="1"/>
  <c r="Y44" i="10" s="1"/>
  <c r="X58" i="10"/>
  <c r="Y58" i="10" s="1"/>
  <c r="X226" i="10"/>
  <c r="Y226" i="10" s="1"/>
  <c r="X55" i="10"/>
  <c r="Y55" i="10" s="1"/>
  <c r="X151" i="10" l="1"/>
  <c r="X192" i="10"/>
  <c r="X216" i="10"/>
  <c r="Y216" i="10" s="1"/>
  <c r="X15" i="10"/>
  <c r="Y15" i="10" s="1"/>
  <c r="X158" i="10"/>
  <c r="Y158" i="10" s="1"/>
  <c r="X68" i="10"/>
  <c r="Y68" i="10" s="1"/>
  <c r="X105" i="10"/>
  <c r="Y105" i="10" s="1"/>
  <c r="X40" i="10" l="1"/>
  <c r="Y40" i="10" s="1"/>
  <c r="X178" i="10" l="1"/>
  <c r="Y178" i="10" s="1"/>
  <c r="X261" i="10"/>
  <c r="Y261" i="10" s="1"/>
  <c r="X163" i="10"/>
  <c r="Y163" i="10" s="1"/>
  <c r="X240" i="10"/>
  <c r="Y240" i="10" s="1"/>
  <c r="X48" i="10"/>
  <c r="Y48" i="10" s="1"/>
  <c r="X47" i="10"/>
  <c r="Y47" i="10" s="1"/>
  <c r="X29" i="10"/>
  <c r="Y29" i="10" s="1"/>
  <c r="X255" i="10"/>
  <c r="Y255" i="10" s="1"/>
  <c r="X75" i="10"/>
  <c r="Y75" i="10" s="1"/>
  <c r="X254" i="10"/>
  <c r="Y254" i="10" s="1"/>
  <c r="X239" i="10"/>
  <c r="Y239" i="10" s="1"/>
  <c r="X127" i="10"/>
  <c r="Y127" i="10" s="1"/>
  <c r="X236" i="10"/>
  <c r="Y236" i="10" s="1"/>
  <c r="X234" i="10"/>
  <c r="Y234" i="10" s="1"/>
  <c r="X230" i="10"/>
  <c r="Y230" i="10" s="1"/>
  <c r="X224" i="10"/>
  <c r="Y224" i="10" s="1"/>
  <c r="X210" i="10"/>
  <c r="Y210" i="10" s="1"/>
  <c r="X199" i="10"/>
  <c r="Y199" i="10" s="1"/>
  <c r="X198" i="10"/>
  <c r="Y198" i="10" s="1"/>
  <c r="X13" i="10"/>
  <c r="Y13" i="10" s="1"/>
  <c r="X196" i="10"/>
  <c r="Y196" i="10" s="1"/>
  <c r="Y192" i="10"/>
  <c r="X186" i="10"/>
  <c r="Y186" i="10" s="1"/>
  <c r="X154" i="10"/>
  <c r="Y154" i="10" s="1"/>
  <c r="X144" i="10"/>
  <c r="Y144" i="10" s="1"/>
  <c r="X135" i="10"/>
  <c r="Y135" i="10" s="1"/>
  <c r="X121" i="10"/>
  <c r="Y121" i="10" s="1"/>
  <c r="X120" i="10"/>
  <c r="Y120" i="10" s="1"/>
  <c r="X114" i="10"/>
  <c r="Y114" i="10" s="1"/>
  <c r="X38" i="10"/>
  <c r="Y38" i="10" s="1"/>
  <c r="X110" i="10"/>
  <c r="Y110" i="10" s="1"/>
  <c r="X102" i="10"/>
  <c r="Y102" i="10" s="1"/>
  <c r="X100" i="10"/>
  <c r="Y100" i="10" s="1"/>
  <c r="X76" i="10"/>
  <c r="Y76" i="10" s="1"/>
  <c r="X65" i="10"/>
  <c r="Y65" i="10" s="1"/>
  <c r="X99" i="10"/>
  <c r="Y99" i="10" s="1"/>
  <c r="X262" i="10"/>
  <c r="Y262" i="10" s="1"/>
  <c r="X54" i="10"/>
  <c r="Y54" i="10" s="1"/>
  <c r="X53" i="10"/>
  <c r="Y53" i="10" s="1"/>
  <c r="X33" i="10"/>
  <c r="Y33" i="10" s="1"/>
  <c r="X28" i="10"/>
  <c r="Y28" i="10" s="1"/>
  <c r="X12" i="10"/>
  <c r="Y12" i="10" s="1"/>
  <c r="X10" i="10"/>
  <c r="Y10" i="10" s="1"/>
  <c r="X83" i="10"/>
  <c r="Y83" i="10" s="1"/>
  <c r="X41" i="10"/>
  <c r="Y41" i="10" s="1"/>
  <c r="X2" i="10"/>
  <c r="Y2" i="10" s="1"/>
  <c r="X188" i="10"/>
  <c r="Y188" i="10" s="1"/>
  <c r="X124" i="10"/>
  <c r="Y124" i="10" s="1"/>
  <c r="X57" i="10"/>
  <c r="Y57" i="10" s="1"/>
  <c r="X130" i="10"/>
  <c r="Y130" i="10" s="1"/>
  <c r="X50" i="10"/>
  <c r="Y50" i="10" s="1"/>
  <c r="X195" i="10"/>
  <c r="Y195" i="10" s="1"/>
  <c r="X119" i="10"/>
  <c r="Y119" i="10" s="1"/>
  <c r="X86" i="10"/>
  <c r="Y86" i="10" s="1"/>
  <c r="X67" i="10"/>
  <c r="Y67" i="10" s="1"/>
  <c r="X218" i="10"/>
  <c r="Y218" i="10" s="1"/>
  <c r="X20" i="10"/>
  <c r="Y20" i="10" s="1"/>
  <c r="X36" i="10"/>
  <c r="Y36" i="10" s="1"/>
  <c r="X149" i="10"/>
  <c r="Y149" i="10" s="1"/>
  <c r="X259" i="10"/>
  <c r="Y259" i="10" s="1"/>
  <c r="Y151" i="10"/>
  <c r="X260" i="10"/>
  <c r="Y260" i="10" s="1"/>
  <c r="X77" i="10"/>
  <c r="Y77" i="10" s="1"/>
  <c r="X118" i="10"/>
  <c r="Y118" i="10" s="1"/>
  <c r="X213" i="10"/>
  <c r="Y213" i="10" s="1"/>
  <c r="X173" i="10"/>
  <c r="Y173" i="10" s="1"/>
  <c r="X80" i="10"/>
  <c r="Y80" i="10" s="1"/>
  <c r="X3" i="10"/>
  <c r="Y3" i="10" s="1"/>
  <c r="X146" i="10"/>
  <c r="Y146" i="10" s="1"/>
  <c r="X201" i="10"/>
  <c r="Y201" i="10" s="1"/>
  <c r="X160" i="10"/>
  <c r="Y160" i="10" s="1"/>
  <c r="X258" i="10"/>
  <c r="Y258" i="10" s="1"/>
  <c r="X244" i="10"/>
  <c r="Y244" i="10" s="1"/>
  <c r="X228" i="10"/>
  <c r="Y228" i="10" s="1"/>
  <c r="X212" i="10"/>
  <c r="Y212" i="10" s="1"/>
  <c r="X204" i="10"/>
  <c r="Y204" i="10" s="1"/>
  <c r="X175" i="10"/>
  <c r="Y175" i="10" s="1"/>
  <c r="X162" i="10"/>
  <c r="Y162" i="10" s="1"/>
  <c r="X140" i="10"/>
  <c r="Y140" i="10" s="1"/>
  <c r="X123" i="10"/>
  <c r="Y123" i="10" s="1"/>
  <c r="X108" i="10"/>
  <c r="Y108" i="10" s="1"/>
  <c r="X84" i="10"/>
  <c r="Y84" i="10" s="1"/>
  <c r="X82" i="10"/>
  <c r="Y82" i="10" s="1"/>
  <c r="X51" i="10"/>
  <c r="Y51" i="10" s="1"/>
  <c r="X200" i="10"/>
  <c r="Y200" i="10" s="1"/>
  <c r="X266" i="10"/>
  <c r="Y266" i="10" s="1"/>
  <c r="X183" i="10"/>
  <c r="Y183" i="10" s="1"/>
  <c r="Y43" i="10"/>
  <c r="X253" i="10"/>
  <c r="Y253" i="10" s="1"/>
  <c r="X237" i="10"/>
  <c r="Y237" i="10" s="1"/>
  <c r="X97" i="10"/>
  <c r="Y97" i="10" s="1"/>
  <c r="X182" i="10"/>
  <c r="Y182" i="10" s="1"/>
  <c r="X32" i="10"/>
  <c r="Y32" i="10" s="1"/>
  <c r="X223" i="10"/>
  <c r="Y223" i="10" s="1"/>
  <c r="X85" i="10"/>
  <c r="Y85" i="10" s="1"/>
  <c r="X215" i="10"/>
  <c r="Y215" i="10" s="1"/>
  <c r="X245" i="10"/>
  <c r="Y245" i="10" s="1"/>
  <c r="Y209" i="10"/>
  <c r="X246" i="10"/>
  <c r="Y246" i="10" s="1"/>
  <c r="X98" i="10"/>
  <c r="Y98" i="10" s="1"/>
  <c r="X112" i="10"/>
  <c r="Y112" i="10" s="1"/>
  <c r="X220" i="10"/>
  <c r="Y220" i="10" s="1"/>
  <c r="X242" i="10"/>
  <c r="Y242" i="10" s="1"/>
  <c r="X191" i="10"/>
  <c r="Y191" i="10" s="1"/>
  <c r="X153" i="10"/>
  <c r="Y153" i="10" s="1"/>
  <c r="X145" i="10"/>
  <c r="Y145" i="10" s="1"/>
  <c r="X106" i="10"/>
  <c r="Y106" i="10" s="1"/>
  <c r="X56" i="10"/>
  <c r="Y56" i="10" s="1"/>
  <c r="X219" i="10"/>
  <c r="Y219" i="10" s="1"/>
  <c r="X166" i="10"/>
  <c r="Y166" i="10" s="1"/>
  <c r="X167" i="10"/>
  <c r="Y167" i="10" s="1"/>
  <c r="X142" i="10"/>
  <c r="Y142" i="10" s="1"/>
  <c r="X117" i="10"/>
  <c r="Y117" i="10" s="1"/>
  <c r="X138" i="10"/>
  <c r="Y138" i="10" s="1"/>
  <c r="X63" i="10"/>
  <c r="Y63" i="10" s="1"/>
  <c r="X171" i="10"/>
  <c r="Y171" i="10" s="1"/>
  <c r="X265" i="10"/>
  <c r="Y265" i="10" s="1"/>
  <c r="X256" i="10"/>
  <c r="Y256" i="10" s="1"/>
  <c r="X141" i="10"/>
  <c r="Y141" i="10" s="1"/>
  <c r="X132" i="10"/>
  <c r="Y132" i="10" s="1"/>
  <c r="X139" i="10"/>
  <c r="Y139" i="10" s="1"/>
  <c r="X49" i="10"/>
  <c r="Y49" i="10" s="1"/>
  <c r="X9" i="10"/>
  <c r="Y9" i="10" s="1"/>
  <c r="X134" i="10"/>
  <c r="Y134" i="10" s="1"/>
  <c r="X170" i="10"/>
  <c r="Y170" i="10" s="1"/>
  <c r="X137" i="10"/>
  <c r="Y137" i="10" s="1"/>
  <c r="X133" i="10"/>
  <c r="Y133" i="10" s="1"/>
  <c r="X70" i="10"/>
  <c r="Y70" i="10" s="1"/>
  <c r="X177" i="10"/>
  <c r="Y177" i="10" s="1"/>
  <c r="X251" i="10"/>
  <c r="Y251" i="10" s="1"/>
  <c r="X233" i="10"/>
  <c r="Y233" i="10" s="1"/>
  <c r="X111" i="10"/>
  <c r="Y111" i="10" s="1"/>
  <c r="X95" i="10"/>
  <c r="Y95" i="10" s="1"/>
  <c r="X225" i="10"/>
  <c r="Y225" i="10" s="1"/>
  <c r="X263" i="10"/>
  <c r="Y263" i="10" s="1"/>
  <c r="X92" i="10"/>
  <c r="Y92" i="10" s="1"/>
  <c r="X61" i="10"/>
  <c r="Y61" i="10" s="1"/>
  <c r="X189" i="10"/>
  <c r="Y189" i="10" s="1"/>
  <c r="X180" i="10"/>
  <c r="Y180" i="10" s="1"/>
  <c r="X8" i="10"/>
  <c r="Y8" i="10" s="1"/>
  <c r="X91" i="10"/>
  <c r="Y91" i="10" s="1"/>
  <c r="X62" i="10"/>
  <c r="Y62" i="10" s="1"/>
  <c r="X202" i="10"/>
  <c r="Y202" i="10" s="1"/>
  <c r="X155" i="10"/>
  <c r="Y155" i="10" s="1"/>
  <c r="X125" i="10"/>
  <c r="Y125" i="10" s="1"/>
  <c r="X232" i="10"/>
  <c r="Y232" i="10" s="1"/>
  <c r="X161" i="10"/>
  <c r="Y161" i="10" s="1"/>
  <c r="X64" i="10"/>
  <c r="Y64" i="10" s="1"/>
  <c r="X208" i="10"/>
  <c r="Y208" i="10" s="1"/>
  <c r="X72" i="10"/>
  <c r="Y72" i="10" s="1"/>
  <c r="X69" i="10"/>
  <c r="Y69" i="10" s="1"/>
  <c r="X35" i="10"/>
  <c r="Y35" i="10" s="1"/>
  <c r="X116" i="10"/>
  <c r="Y116" i="10" s="1"/>
  <c r="X156" i="10"/>
  <c r="Y156" i="10" s="1"/>
  <c r="X131" i="10"/>
  <c r="Y131" i="10" s="1"/>
  <c r="X52" i="10"/>
  <c r="Y52" i="10" s="1"/>
  <c r="X165" i="10"/>
  <c r="Y165" i="10" s="1"/>
  <c r="X45" i="10"/>
  <c r="Y45" i="10" s="1"/>
  <c r="X122" i="10"/>
  <c r="Y122" i="10" s="1"/>
  <c r="X39" i="10"/>
  <c r="Y39" i="10" s="1"/>
  <c r="X94" i="10"/>
  <c r="Y94" i="10" s="1"/>
  <c r="X16" i="10"/>
  <c r="Y16" i="10" s="1"/>
  <c r="X24" i="10"/>
  <c r="Y24" i="10" s="1"/>
  <c r="X18" i="10"/>
  <c r="Y18" i="10" s="1"/>
  <c r="X7" i="10"/>
  <c r="Y7" i="10" s="1"/>
  <c r="X185" i="10"/>
  <c r="Y185" i="10" s="1"/>
  <c r="X247" i="10"/>
  <c r="Y247" i="10" s="1"/>
  <c r="X172" i="10"/>
  <c r="Y172" i="10" s="1"/>
  <c r="X6" i="10"/>
  <c r="Y6" i="10" s="1"/>
  <c r="X164" i="10"/>
  <c r="Y164" i="10" s="1"/>
  <c r="X214" i="10"/>
  <c r="Y214" i="10" s="1"/>
  <c r="X205" i="10"/>
  <c r="Y205" i="10" s="1"/>
  <c r="X143" i="10"/>
  <c r="Y143" i="10" s="1"/>
  <c r="X30" i="10"/>
  <c r="Y30" i="10" s="1"/>
</calcChain>
</file>

<file path=xl/sharedStrings.xml><?xml version="1.0" encoding="utf-8"?>
<sst xmlns="http://schemas.openxmlformats.org/spreadsheetml/2006/main" count="6232" uniqueCount="882">
  <si>
    <t>N°</t>
  </si>
  <si>
    <t>GES</t>
  </si>
  <si>
    <t>NOMBRE</t>
  </si>
  <si>
    <t xml:space="preserve">RUT </t>
  </si>
  <si>
    <t>DV</t>
  </si>
  <si>
    <t>EDAD</t>
  </si>
  <si>
    <t>COMUNA</t>
  </si>
  <si>
    <t>DIAGNOSTICO</t>
  </si>
  <si>
    <t>AÑO DG</t>
  </si>
  <si>
    <t>FECHA DIAGNOSTICO</t>
  </si>
  <si>
    <t>CPYAD</t>
  </si>
  <si>
    <t>ETAPA CLÍNICA</t>
  </si>
  <si>
    <t>FECHA DE COMITÉ</t>
  </si>
  <si>
    <t>INDICACIÓN DE COMITÉ</t>
  </si>
  <si>
    <t>CENTRO DE DERIVACIÓN</t>
  </si>
  <si>
    <t xml:space="preserve">ESTADO DE CASO </t>
  </si>
  <si>
    <t>CAUSAL</t>
  </si>
  <si>
    <t xml:space="preserve">SEGUIMIENTO ENFERMERIA </t>
  </si>
  <si>
    <t>SI</t>
  </si>
  <si>
    <t>JUANA CARES VARGAS</t>
  </si>
  <si>
    <t>Ovalle</t>
  </si>
  <si>
    <t>LEUCEMIA AGUDA</t>
  </si>
  <si>
    <t xml:space="preserve">SI </t>
  </si>
  <si>
    <t>Seguimiento</t>
  </si>
  <si>
    <t xml:space="preserve">CUIDADOS PALIATIVOS EXCLUSIVOS </t>
  </si>
  <si>
    <t>H. OVALLE</t>
  </si>
  <si>
    <t>CERRADO</t>
  </si>
  <si>
    <t>24-11-2023: PCTE FALLECIDA</t>
  </si>
  <si>
    <t>NO</t>
  </si>
  <si>
    <t xml:space="preserve">YIMMY CORTES UBILLO </t>
  </si>
  <si>
    <t>Monte patria</t>
  </si>
  <si>
    <t xml:space="preserve">SIN EVIDENCIA DE ENFERMEDAD HEMATOLOGIA PRIMARIA Y/O NEOPLASICA </t>
  </si>
  <si>
    <t>PENDIENTE</t>
  </si>
  <si>
    <t>N/A</t>
  </si>
  <si>
    <t>Descarte</t>
  </si>
  <si>
    <t>n/a</t>
  </si>
  <si>
    <t>DESCARTADO</t>
  </si>
  <si>
    <t>DESCARTE</t>
  </si>
  <si>
    <t xml:space="preserve">RAUL ANTONIO ARAYA VERGARA </t>
  </si>
  <si>
    <t>LINFOMA ANAPLÁSICO DE CÉLULAS GRANDES, ALK NEGATIVO  </t>
  </si>
  <si>
    <t>Si</t>
  </si>
  <si>
    <t xml:space="preserve">Seguimiento en hospital de origen. </t>
  </si>
  <si>
    <t xml:space="preserve">H. LA SERENA </t>
  </si>
  <si>
    <t>22-08-2023: PCTE FALLECIDO</t>
  </si>
  <si>
    <r>
      <t>MARÍA ALEJANDRA</t>
    </r>
    <r>
      <rPr>
        <b/>
        <sz val="14"/>
        <rFont val="Verdana"/>
        <family val="2"/>
      </rPr>
      <t> </t>
    </r>
    <r>
      <rPr>
        <sz val="14"/>
        <rFont val="Calibri"/>
        <family val="2"/>
      </rPr>
      <t>RIVERA</t>
    </r>
    <r>
      <rPr>
        <b/>
        <sz val="14"/>
        <rFont val="Verdana"/>
        <family val="2"/>
      </rPr>
      <t> </t>
    </r>
    <r>
      <rPr>
        <sz val="14"/>
        <rFont val="Calibri"/>
        <family val="2"/>
      </rPr>
      <t>ARAYA</t>
    </r>
  </si>
  <si>
    <t>K</t>
  </si>
  <si>
    <t>LINFOMA</t>
  </si>
  <si>
    <t>20-09-2023: PCTE FALLECIDO</t>
  </si>
  <si>
    <t>20-09-2023 PCTE FALLECIDO</t>
  </si>
  <si>
    <t>MARIA DEL ROSARIO CONTRERAS VOLVARAN</t>
  </si>
  <si>
    <t xml:space="preserve">LINFOMA </t>
  </si>
  <si>
    <t>Sospecha</t>
  </si>
  <si>
    <t>16-12-2023: PCTE FALLECIDO</t>
  </si>
  <si>
    <t>MARGARITA ALICIA LANAS OLIVARES</t>
  </si>
  <si>
    <t xml:space="preserve">LEUCEMIA CRONICA </t>
  </si>
  <si>
    <t xml:space="preserve">pendiente </t>
  </si>
  <si>
    <t>DECARTE PATOLOGÍA MALIGNA HEMATOLOGICA</t>
  </si>
  <si>
    <t>MARCOS TALAMILLA SALINAS</t>
  </si>
  <si>
    <t>Combarbala</t>
  </si>
  <si>
    <t xml:space="preserve">MIELOMA MULTIPLE </t>
  </si>
  <si>
    <t xml:space="preserve">DESCARTA PATOLOGÍA </t>
  </si>
  <si>
    <t>02-10-2024: DRA ESTIMA AGENDAMIENTO NO PERTINENTE Y DA ALTA POR HEMATOLOGÍA</t>
  </si>
  <si>
    <t>LIDIA VICENCIO ARAYA</t>
  </si>
  <si>
    <t xml:space="preserve">Punitaqui </t>
  </si>
  <si>
    <t>MIELOMA MULTIPLE</t>
  </si>
  <si>
    <t>01-09-2023: PCTE EGRESADO DE HEMATOLOGÍA POR DR. CARABALLOS, SIN EVIDENCIA DE AMILOIDOSIS AL NI DE MALIGNIDAD</t>
  </si>
  <si>
    <t>LAUTARO RIVERA PASTENES</t>
  </si>
  <si>
    <t xml:space="preserve">EF E IF Y CADENAS </t>
  </si>
  <si>
    <t>14-11-2023: PCTE FALLECIDO</t>
  </si>
  <si>
    <t xml:space="preserve">FRESIA LILA ASTUDILLO ELGUETA </t>
  </si>
  <si>
    <t>Confirmacion</t>
  </si>
  <si>
    <t>Descartar amiloidosis AL con BMO y biopsia grasa subcutánea (rojo Congo + permanganato)/ + proBNP y TUS/Una vez iniciado estudio inicio de MP en su centro</t>
  </si>
  <si>
    <t>08-11-2023: PCTE FALLECIDA</t>
  </si>
  <si>
    <t xml:space="preserve">BERNARDA DEL CARMEN GUEREN ASTORGA </t>
  </si>
  <si>
    <t>LINFOMA RSCATAR CITOGENETICA.</t>
  </si>
  <si>
    <t>26-12-2023 PCTE FALLECIDA</t>
  </si>
  <si>
    <t>ALDO ABRAHAM ARAYA HIDALGO</t>
  </si>
  <si>
    <r>
      <t> </t>
    </r>
    <r>
      <rPr>
        <sz val="14"/>
        <color theme="1"/>
        <rFont val="Calibri"/>
        <family val="2"/>
        <scheme val="minor"/>
      </rPr>
      <t>8738955</t>
    </r>
  </si>
  <si>
    <t>LEUCEMIA LINFATICA CRONICA</t>
  </si>
  <si>
    <t>CITOMETRIA DE FLUJO 11-07-2023</t>
  </si>
  <si>
    <t>18-11-2023: PCTE FALLECIDO</t>
  </si>
  <si>
    <t>CARLOS DEL CARMEN CASTRO PARRA</t>
  </si>
  <si>
    <t xml:space="preserve">HLS </t>
  </si>
  <si>
    <t>No</t>
  </si>
  <si>
    <t>Tratamiento</t>
  </si>
  <si>
    <t xml:space="preserve">TRASLADO HOSPITALIZADO </t>
  </si>
  <si>
    <t>6 CICLOS DE R-CHOP</t>
  </si>
  <si>
    <t>11-12-2023. PCTE FALLECIDO</t>
  </si>
  <si>
    <r>
      <t>JOSELIN ESTEFANIA GOMEZ</t>
    </r>
    <r>
      <rPr>
        <b/>
        <sz val="14"/>
        <color rgb="FFFFFFFF"/>
        <rFont val="Verdana"/>
        <family val="2"/>
      </rPr>
      <t> </t>
    </r>
    <r>
      <rPr>
        <sz val="14"/>
        <color theme="1"/>
        <rFont val="Calibri"/>
        <family val="2"/>
        <scheme val="minor"/>
      </rPr>
      <t>MUNDACA</t>
    </r>
  </si>
  <si>
    <t>TU FOSA NASAL (LINFOMA)</t>
  </si>
  <si>
    <t>23-12-2023 PCTE FALLECIDA</t>
  </si>
  <si>
    <t>NEO OCULTA</t>
  </si>
  <si>
    <t>SE DESCARTA ENFERMEDAD NEOPLASICA HEMATOLOGICA</t>
  </si>
  <si>
    <t>08-01-2024: DESCARTE DE CASO POR NO PRESENTAR EVIDENCIA DE ENFERMEDAD PRIMARIA Y/O NEOPLASICA</t>
  </si>
  <si>
    <t>ISRAEL ZAMBRA BARRAZA</t>
  </si>
  <si>
    <t>NEOPLASIA OCULTA</t>
  </si>
  <si>
    <t>SE DESCARTA LINFOMA</t>
  </si>
  <si>
    <t>23-01-24: SE DESCARTA CASO DE LINFOMA. ACTUALMENTE CON DG. ANEMIA FERROPENICA</t>
  </si>
  <si>
    <t xml:space="preserve">AYLEEEN CARACUEL </t>
  </si>
  <si>
    <t xml:space="preserve">SE DESCARTA LINFOMA </t>
  </si>
  <si>
    <t>24-01-2024: Sin evidencia de linfoma. Dada de alta  por hematología</t>
  </si>
  <si>
    <t>SE DESCARTA NEO OCULTA</t>
  </si>
  <si>
    <t>17-07-2023 SE DESCARTA NEOPLASIA OCULTA. DG: ANEMIA FERROPENICA</t>
  </si>
  <si>
    <t>ERNESTO DEL CARMEN PEÑALOZA DÍAZ</t>
  </si>
  <si>
    <t xml:space="preserve">SÍNDROME MIELODISPLÁSICO IPSS-R INTERMEDIO </t>
  </si>
  <si>
    <t xml:space="preserve">no aplica </t>
  </si>
  <si>
    <t>Mantener en vigilancia dado aun permanecer sin progresión de blastos ni citopenias importantes y complementar estudio de fatiga crónica</t>
  </si>
  <si>
    <t>H. TALCAHUANO</t>
  </si>
  <si>
    <t>EGRESO</t>
  </si>
  <si>
    <t>CAMBIO DE DOMICILIO</t>
  </si>
  <si>
    <t>USUARIO SE TRASLADA A TALCAHUANO. SE MANTIENE TRASLADO + SEGUMIENTOS EN HOSPITAL DE SU LOCALIDAD</t>
  </si>
  <si>
    <t>MONSERRAT BORQUEZ VASQUEZ</t>
  </si>
  <si>
    <t>HOV</t>
  </si>
  <si>
    <t>SOSPECHA LEUCEMIA</t>
  </si>
  <si>
    <t>SE DESCARTA POR LEUCEMIA</t>
  </si>
  <si>
    <t>01-03-2024 DADA DE ALTA DESDE HEMATOLOGÍA, DESCARTE LEUCEMIA</t>
  </si>
  <si>
    <t xml:space="preserve">MARIA INES CISTERNAS </t>
  </si>
  <si>
    <t xml:space="preserve">estudio MM ok </t>
  </si>
  <si>
    <t>06-12-2023: PCTE FALLECIDO</t>
  </si>
  <si>
    <t xml:space="preserve">RAUL CARVAJAL HUERTA </t>
  </si>
  <si>
    <t>OVALLE</t>
  </si>
  <si>
    <t>SMD</t>
  </si>
  <si>
    <t>28-02-2024: PCTE FALLECIDO</t>
  </si>
  <si>
    <t>08-01-2024: EGRESADO DE HEMATOLOGÍA</t>
  </si>
  <si>
    <t xml:space="preserve">AYLEEEN LISETTE CARACUEL LEDEZMA </t>
  </si>
  <si>
    <t>24-01-2024: EGRESADO DE HEMATOLOGÍA</t>
  </si>
  <si>
    <t>SIN EVIDENCIA DE LINFOMA</t>
  </si>
  <si>
    <r>
      <t>BENEDICTA DEL CARMEN</t>
    </r>
    <r>
      <rPr>
        <b/>
        <sz val="14"/>
        <color rgb="FFFFFFFF"/>
        <rFont val="Calibri"/>
        <family val="2"/>
      </rPr>
      <t> </t>
    </r>
    <r>
      <rPr>
        <sz val="14"/>
        <color rgb="FF000000"/>
        <rFont val="Calibri"/>
        <family val="2"/>
      </rPr>
      <t>VEGA</t>
    </r>
    <r>
      <rPr>
        <b/>
        <sz val="14"/>
        <color rgb="FFFFFFFF"/>
        <rFont val="Calibri"/>
        <family val="2"/>
      </rPr>
      <t> </t>
    </r>
    <r>
      <rPr>
        <sz val="14"/>
        <color rgb="FF000000"/>
        <rFont val="Calibri"/>
        <family val="2"/>
      </rPr>
      <t>VERGARA</t>
    </r>
  </si>
  <si>
    <t>k</t>
  </si>
  <si>
    <t>no</t>
  </si>
  <si>
    <t>27-02-2024: PCTE FALLECIDO</t>
  </si>
  <si>
    <t xml:space="preserve">CARLOS BENAVENTE CASTILLO </t>
  </si>
  <si>
    <t>01-12-2023: PCTE FALLECIDO</t>
  </si>
  <si>
    <t>26-12-2023: PCTE FALLECIDO</t>
  </si>
  <si>
    <t>11-12-2023: PCTE FALLECIDO</t>
  </si>
  <si>
    <t>CAROLINA ORTIZ CANIBILO</t>
  </si>
  <si>
    <t xml:space="preserve">LINFOMA EXCEPTUADO POR  TTO EXTRASISTEMA. </t>
  </si>
  <si>
    <t xml:space="preserve"> CERRADO</t>
  </si>
  <si>
    <t>RECHAZO PCTE</t>
  </si>
  <si>
    <t>MIGUEL YOVANY ABARCA PORTILLA</t>
  </si>
  <si>
    <t>LNH difuso de células grandes B</t>
  </si>
  <si>
    <t>Rescate de CD4 previo inicio de QT. Trasladar a hospital de La Serena una vez que cuente con resultados. Gestionar toma de muestra a la brevedad con Hospital de Coquimbo. / Uso de corticoides como prefase a discreción por hematólogo tratante actual.</t>
  </si>
  <si>
    <t>23-01-2024: PCTE FALLECIDO</t>
  </si>
  <si>
    <t>SOSPECHA LINFOMA</t>
  </si>
  <si>
    <t>20-09-2023: PCTE FALLECIDA</t>
  </si>
  <si>
    <t>MARGARITA ALICIA LANAS OLIVARES,</t>
  </si>
  <si>
    <t>02-10-2023: DRA. DESCARTA ENFERMEDAD MALIGNA HEMATOLOGICA YDA ALTA POR HEMATOONCOLOGA. SOLICITA MANEJO APS</t>
  </si>
  <si>
    <t>MARCELO MARCIAL DUARTE OPAZO</t>
  </si>
  <si>
    <t>LENALIDOMIDA</t>
  </si>
  <si>
    <t>H. SANTIAGO</t>
  </si>
  <si>
    <t>USUARIO SE TRASLADA DE CIUDAD</t>
  </si>
  <si>
    <t xml:space="preserve">USUARIO SE TRALADA A SANTIAGO. SEGUIRÁ CONTROLES EN HOSPITAL SAN BORJA </t>
  </si>
  <si>
    <t>OBSERVACIÓN NEOPLASIA OCULTA</t>
  </si>
  <si>
    <t xml:space="preserve">14-11-2023; PCTE FALLECIDO </t>
  </si>
  <si>
    <t xml:space="preserve">JORGE EDUARDO HONORES CORTÉS, </t>
  </si>
  <si>
    <t>PACIENTE SIN EVIDENCIA DE LINFOMA, POR LO QUE SE DESCARTA GES LINFOMA.
EN LA ACTUALIDAD EN ATENCIONES EN LA SERENA POR CAMBIO DE DOMICILIO POR LO QUE SE EGRESA DE ESTA CONSULTA.</t>
  </si>
  <si>
    <r>
      <t>HERNÁN ALBERTO</t>
    </r>
    <r>
      <rPr>
        <b/>
        <sz val="14"/>
        <color rgb="FFFFFFFF"/>
        <rFont val="Verdana"/>
        <family val="2"/>
      </rPr>
      <t> </t>
    </r>
    <r>
      <rPr>
        <sz val="14"/>
        <color theme="1"/>
        <rFont val="Calibri"/>
        <family val="2"/>
        <scheme val="minor"/>
      </rPr>
      <t>CASTILLO</t>
    </r>
    <r>
      <rPr>
        <b/>
        <sz val="14"/>
        <color rgb="FFFFFFFF"/>
        <rFont val="Verdana"/>
        <family val="2"/>
      </rPr>
      <t> </t>
    </r>
    <r>
      <rPr>
        <sz val="14"/>
        <color theme="1"/>
        <rFont val="Calibri"/>
        <family val="2"/>
        <scheme val="minor"/>
      </rPr>
      <t>CONTRERAS</t>
    </r>
  </si>
  <si>
    <t>OBS. LEUCEMIA CR{ONICA</t>
  </si>
  <si>
    <t>DESCARTO GES LEUCEMIA CRONICA, DEJO IPD EN PAPEL. ALTA HEMATOLOGÍA</t>
  </si>
  <si>
    <t>VIOLETA ASTUDILLO PALMA</t>
  </si>
  <si>
    <t xml:space="preserve">OBS LEUCEMIA </t>
  </si>
  <si>
    <t>19-03-2024. SE DESCARTA LEUCEMIA CON IPD + ALTA POR HEMATOLOGÍA</t>
  </si>
  <si>
    <t>ROSA GUILLERMA MICHEA VEAS</t>
  </si>
  <si>
    <t>11-03-2024. SE DESCARTA LEUCEMIA CON IPD PAPEL</t>
  </si>
  <si>
    <t xml:space="preserve">MARIELA ALFARO ALVARADO </t>
  </si>
  <si>
    <t xml:space="preserve">OVALLE </t>
  </si>
  <si>
    <t xml:space="preserve">PENDIENTE </t>
  </si>
  <si>
    <t xml:space="preserve">SOSPECHA </t>
  </si>
  <si>
    <t>27-03-2024. SE DESCARTA LINFOMA CON IPD PAPEL + ALTA HEMATOLOGÍA</t>
  </si>
  <si>
    <t>CLAUDIA TABILO VICENCIO</t>
  </si>
  <si>
    <t>SOSPECHA NEO OCULTA</t>
  </si>
  <si>
    <t>SOSPECHA</t>
  </si>
  <si>
    <t>25-03-2024:SE DESCRATANEO OCULTA HEMATOLOGICA + ALTA POR HEMATOLOGÍA</t>
  </si>
  <si>
    <t>ALAMIRO GALLARDO MIRANDA</t>
  </si>
  <si>
    <t>02-04-2024:SIN EVIDENCIA DE ENFERMEDAD PRIMARIA HEMATOLOGICA. EGRESO DE HMATOLOGÍA</t>
  </si>
  <si>
    <t xml:space="preserve">BRIGIDA SAN MARTIN MACAYA </t>
  </si>
  <si>
    <t>NEOPLASIA MIEDISPLASICA DE MUY ALTO RIESGO</t>
  </si>
  <si>
    <t xml:space="preserve">BMO AREB 2, EVALUACION PSIQUIATRIA Y SOCIAL Y DERIVAR A HLS. </t>
  </si>
  <si>
    <t>19-03-2024: PCTE FALLECIDA</t>
  </si>
  <si>
    <t>19-03-2024 PCTE FALLECIDA</t>
  </si>
  <si>
    <t>GIL EDUARDO CARDENAS CARDENAS</t>
  </si>
  <si>
    <t>LNH</t>
  </si>
  <si>
    <t>Voluntad del paciente. Seguimiento por hematología y cuidados paliativos Hospital de Ovall</t>
  </si>
  <si>
    <t>31-03-2024: PCTE FALLECIDO</t>
  </si>
  <si>
    <t>HONORES CORTÉS, JORGE EDUARDO</t>
  </si>
  <si>
    <t>12-03-2024: SE DESCARTA LINFOMA BP. CON CONTROLES HLS</t>
  </si>
  <si>
    <t xml:space="preserve">AMERICO GODOY PLAZA </t>
  </si>
  <si>
    <t>LINFOMA CUTANEO T</t>
  </si>
  <si>
    <t>derivar a Dermatología HSPC para PUVA.</t>
  </si>
  <si>
    <t>23-04-2024: PCTE FALLECIDO</t>
  </si>
  <si>
    <t>NICOLE FRANCHESCA GALVEZ ROJAS</t>
  </si>
  <si>
    <t>RIO HURTADO</t>
  </si>
  <si>
    <t>07-05-2024: SIN EVIDENCIA DE LINFOMA, SE DESCARTA CASO. ALTA POR HEMATOLOGIA</t>
  </si>
  <si>
    <t>JESÚS DEL ROSARIO VILLALOBOS ARAYA</t>
  </si>
  <si>
    <t>SERGIO ROSARIO ORTIZ BONILLA</t>
  </si>
  <si>
    <t>06-05-2024: BP CARCINOMA ESCAMOSO POBREMENTE DIFERENCIADO, SE DESCARTA LINFOMA. ALTA POR HEMATOLOGÍA</t>
  </si>
  <si>
    <t>ERIKA ESTER LOPEZ FLORES</t>
  </si>
  <si>
    <t>OBS. NEOPLASIA MIELOPROLIFERATIVA( TROMBOCITEMIA ESENCIAL)</t>
  </si>
  <si>
    <t>10-05-2024:SIN EVIDENCIA DE ENFERMEDAD HEMATOLOGICA. ALTA POR HEMATOLOGÍA</t>
  </si>
  <si>
    <t>SILVIA MARTINA ROJAS SARRIA</t>
  </si>
  <si>
    <t>13-05-2024: SE DESCARTA LINFOMA GES. ALTA POR HEMATOLOGÍA</t>
  </si>
  <si>
    <t xml:space="preserve"> NICOLAS FELIPE ALFARO ALFARO</t>
  </si>
  <si>
    <t xml:space="preserve">LINFOMA HODGKIN </t>
  </si>
  <si>
    <t>si</t>
  </si>
  <si>
    <t>19-05-2024: PCTE FALLECIDO</t>
  </si>
  <si>
    <t>DIANA CAROLINA GUERRERO CONTRERAS</t>
  </si>
  <si>
    <t xml:space="preserve">SOSPECHA LINFOMA </t>
  </si>
  <si>
    <t>20-05-2024: DADA DE ALTA POR HEMATOLOGÍA. SEGUIR CONTROLES APS</t>
  </si>
  <si>
    <t xml:space="preserve">ROSANNA HENRIQUEZ OGALDE </t>
  </si>
  <si>
    <t>OBS GMSI</t>
  </si>
  <si>
    <t xml:space="preserve">28-05-2024: DADA DE ALTA POR HEMATOLOGÍA. </t>
  </si>
  <si>
    <t>JOVITA GONZALEZ ALVAREZ</t>
  </si>
  <si>
    <t>30-05-2024: SE DESCARTA LEUCEMIA</t>
  </si>
  <si>
    <t xml:space="preserve">ELISEO CORTES CORTES </t>
  </si>
  <si>
    <t xml:space="preserve">MIELOMA MULTIPLE EN TRASFORMACION LMA. </t>
  </si>
  <si>
    <t> 11-05-2023</t>
  </si>
  <si>
    <t xml:space="preserve">TRASLADO A HLS PARA CONTINUIDAD DE ESTUDIO. </t>
  </si>
  <si>
    <t>05-05-2024: PCTE FALLECIDO</t>
  </si>
  <si>
    <t xml:space="preserve">ALBERTINA LEMUS GUERRERO </t>
  </si>
  <si>
    <t xml:space="preserve">GAMAPATIA MONOCLONAL DE SIGNIFICADO INCIERTO </t>
  </si>
  <si>
    <t>10-06-2024: PCTE FALLECIDO</t>
  </si>
  <si>
    <t>ADA INGRID DEL CARMEN OLIVARES AGULERA</t>
  </si>
  <si>
    <t>OBS. SINDROME MIELODISPLASICO</t>
  </si>
  <si>
    <t>11-06-2024: SIN CRITERIOS DE ENFERMEDAD HEMATOLOGICA. ALTA POR HEMATOLOGIA</t>
  </si>
  <si>
    <t>ROSA ELENA SILVIA DURÁN</t>
  </si>
  <si>
    <t>LINFOMA DEL MANTO INDOLENTE</t>
  </si>
  <si>
    <t>SEGUIMIENTO</t>
  </si>
  <si>
    <t>SIN COMITÉ DESDE HLS</t>
  </si>
  <si>
    <t>USUARIA INICIA TODO PROCESO ONCOLOGICO EN HLS</t>
  </si>
  <si>
    <t>CHRISTIAN MARCELO TABILO ARAYA</t>
  </si>
  <si>
    <t>SARCOMA DE KAPOSI</t>
  </si>
  <si>
    <t>Continua tratamiento sistémico (por deseo de paciente en extrasistema, tanto oncológico como infectológico),</t>
  </si>
  <si>
    <t>USUARIO RECIBIENDO ATENCIONES CON PRESTADOR PRIVADO</t>
  </si>
  <si>
    <t xml:space="preserve">LIDIA  ESTER LUNA VEAS </t>
  </si>
  <si>
    <t>15-04-2024: ALTA POR HEMATOLOGÍA</t>
  </si>
  <si>
    <t>MARCIA XIMENA DEL CARMEN CORTÉS ADAROS</t>
  </si>
  <si>
    <t>21-06-2024: PCTE FALLECIDA</t>
  </si>
  <si>
    <t>LUIS TADEO OLIVARES OLIVARES</t>
  </si>
  <si>
    <t>MIELOFIBROSIS</t>
  </si>
  <si>
    <t>24-06-2024: FAMILIAR REFIERE QUE RECIBE ATENCIONES EN HOSPITAL DE LA SERENA</t>
  </si>
  <si>
    <t>MARÍA DEL ROSARIO GUERRERO OSSANDÓN</t>
  </si>
  <si>
    <t>LEUCEMIA LINFOCITICA CRÓNICA</t>
  </si>
  <si>
    <t>TRATAMIENTO</t>
  </si>
  <si>
    <t>24-06-2024: FAMILIAR REFIERE QUE RECIBE ATENCIONES EN HOSPITAL DE SANTIAGO</t>
  </si>
  <si>
    <t>FRANCO DANIEL CAMPOS CAMPOS</t>
  </si>
  <si>
    <t>OBS. POLIGLOBULIA</t>
  </si>
  <si>
    <t>25-06-2024: SE DA DE ALTA POR HEMATOLOGÍA</t>
  </si>
  <si>
    <t xml:space="preserve">KATHERINE SAGUA GALLARDO </t>
  </si>
  <si>
    <t>SOSPECHA NEOPLASIA OCULTA</t>
  </si>
  <si>
    <t>25-06-2024: ALTA POR HEMATOLOGÍA</t>
  </si>
  <si>
    <r>
      <t>EDUARDO DEL ROSARIO</t>
    </r>
    <r>
      <rPr>
        <b/>
        <sz val="14"/>
        <color rgb="FFFFFFFF"/>
        <rFont val="Calibri"/>
        <family val="2"/>
        <scheme val="minor"/>
      </rPr>
      <t> </t>
    </r>
    <r>
      <rPr>
        <sz val="14"/>
        <color theme="1"/>
        <rFont val="Calibri"/>
        <family val="2"/>
        <scheme val="minor"/>
      </rPr>
      <t>ARAYA</t>
    </r>
    <r>
      <rPr>
        <b/>
        <sz val="14"/>
        <color rgb="FFFFFFFF"/>
        <rFont val="Calibri"/>
        <family val="2"/>
        <scheme val="minor"/>
      </rPr>
      <t> </t>
    </r>
    <r>
      <rPr>
        <sz val="14"/>
        <color theme="1"/>
        <rFont val="Calibri"/>
        <family val="2"/>
        <scheme val="minor"/>
      </rPr>
      <t>ADONIS</t>
    </r>
  </si>
  <si>
    <t>SOSPECHA MIELOMA MULTIPLE</t>
  </si>
  <si>
    <t>26-06-2024: ALTA POR HEMATOLOGÍA</t>
  </si>
  <si>
    <t>GENARO  DEL ROSARIO URQUIETA ARAYA</t>
  </si>
  <si>
    <t>08-07-2024: FAMILIAR REFIERE QUE RECIBE ATENCIONES EN HOSPITAL DE SANTIAGO</t>
  </si>
  <si>
    <t>ELVIRA ESTELA LARA PIZARRO</t>
  </si>
  <si>
    <t>SOSPECHA SINDROME MIELODISPLASICO</t>
  </si>
  <si>
    <t>22-07-2024: ALTA POR HEMATOLOGÍA</t>
  </si>
  <si>
    <t>AÍDA DEL ROSARIO MIRANDA ÁVALOS</t>
  </si>
  <si>
    <t>SINDROME MIELODISPLASICO</t>
  </si>
  <si>
    <t>ERITROPOYETINA</t>
  </si>
  <si>
    <t>15-07-2024: PCTE FALLECIDA</t>
  </si>
  <si>
    <t>LORENZO ARAYA ARAYA</t>
  </si>
  <si>
    <t>14-07-2024: PCTE FALLECIDO</t>
  </si>
  <si>
    <t>FRANCISCO ARACENA ARACENA</t>
  </si>
  <si>
    <t xml:space="preserve">24-07-2024: ALTA POR HEMATOLOGIA </t>
  </si>
  <si>
    <t>SANDRA PAOLA GALLEGUILLOS ÁVALOS</t>
  </si>
  <si>
    <t>SOSPECHA NMPC</t>
  </si>
  <si>
    <t>05-08-2024: SE DESCARTA NMPC</t>
  </si>
  <si>
    <t>IVAN ANTONIO MILLA GUERRERO</t>
  </si>
  <si>
    <t>Rio Hurtado</t>
  </si>
  <si>
    <t>06-08-2024: ALTA POR HEMATOLOGÍA</t>
  </si>
  <si>
    <t>LUIS HUMBERTO ROJAS BARRAZA</t>
  </si>
  <si>
    <t>21-08-2024: EN ATENCIONES EN HLS</t>
  </si>
  <si>
    <r>
      <t>BENEDICTO CRUZ</t>
    </r>
    <r>
      <rPr>
        <sz val="14"/>
        <color rgb="FFFFFFFF"/>
        <rFont val="Calibri"/>
        <family val="2"/>
        <scheme val="minor"/>
      </rPr>
      <t> </t>
    </r>
    <r>
      <rPr>
        <sz val="14"/>
        <color rgb="FF000000"/>
        <rFont val="Calibri"/>
        <family val="2"/>
        <scheme val="minor"/>
      </rPr>
      <t>ROJAS</t>
    </r>
    <r>
      <rPr>
        <sz val="14"/>
        <color rgb="FFFFFFFF"/>
        <rFont val="Calibri"/>
        <family val="2"/>
        <scheme val="minor"/>
      </rPr>
      <t> </t>
    </r>
    <r>
      <rPr>
        <sz val="14"/>
        <color rgb="FF000000"/>
        <rFont val="Calibri"/>
        <family val="2"/>
        <scheme val="minor"/>
      </rPr>
      <t>CORTES</t>
    </r>
  </si>
  <si>
    <t xml:space="preserve">TROMBOCITOPENIA </t>
  </si>
  <si>
    <t>07-05-2024; SE EGRESA DE HEMATOLOGÍA</t>
  </si>
  <si>
    <t>JOSÉ AVENDAÑO CONTRERAS</t>
  </si>
  <si>
    <t>14-08-2024; USUARIO RECIBE ATENCIÓN POR EXTRASISTEMA</t>
  </si>
  <si>
    <t>NELLY SANTIAGO CORTES</t>
  </si>
  <si>
    <t>30-08-2024; SE DESCARTA ENFERMEDAD HEMATOLOGICA</t>
  </si>
  <si>
    <t xml:space="preserve">GREGORIA MERCEDES CORTES   </t>
  </si>
  <si>
    <t>R-CHOP x 6 CICLOS</t>
  </si>
  <si>
    <t>03-09-2024: PCTE FALLECIDA</t>
  </si>
  <si>
    <t xml:space="preserve">VIGILANCIA </t>
  </si>
  <si>
    <t>12-02-2024: EN ATENCIONES HLS</t>
  </si>
  <si>
    <t>ORFELIA DE LAS MERCEDES SALAS JEREZ</t>
  </si>
  <si>
    <t>SOSPECHA HIPOPLASIA</t>
  </si>
  <si>
    <t>28-08-2024: SE EGRESA DE HEMATOLOGIA</t>
  </si>
  <si>
    <t xml:space="preserve">JUAN CARLOS ARAYA SALFATE </t>
  </si>
  <si>
    <t>14-08-2024: PCTE FALLECIDO</t>
  </si>
  <si>
    <t>AURORA DEL CARMEN GÓMEZ CORTÉS</t>
  </si>
  <si>
    <t>OBS. NEOPLASIA OCULTA</t>
  </si>
  <si>
    <t>09-10-2024: ALTA POR HEMATOLOGÍA</t>
  </si>
  <si>
    <t>EDMUNMUNDO ROJAS SALAS</t>
  </si>
  <si>
    <t>28-10-2024; SE EGRESA DE HEMATOLOGÍA</t>
  </si>
  <si>
    <t>VIOLETA ROJAS BERRIOS</t>
  </si>
  <si>
    <t>04-11-2024; ALTA POR HEMATOLOGÍA</t>
  </si>
  <si>
    <t>JOHN DANIEL VEGA DÍAZ</t>
  </si>
  <si>
    <t>RENE ANTONIO ECHEVERRIA BARRAZA</t>
  </si>
  <si>
    <t>NEOPLASIA MIELOPROLIFERATIVA</t>
  </si>
  <si>
    <t>31-10-2024; PCTE FALLECIDO</t>
  </si>
  <si>
    <t>ZAIDA ANGÉLICA MARDONES MARDONES</t>
  </si>
  <si>
    <t>11-11-2024; SE DESCARTA MIELOMÚLTIPLE</t>
  </si>
  <si>
    <t>BERNA MALUENDA DIAZ</t>
  </si>
  <si>
    <t>22-10-2024: PCTE RECHAZA ATENCIÓN</t>
  </si>
  <si>
    <t>PILAR SALFATE AGUIRRE</t>
  </si>
  <si>
    <t>02-12-2024 ALTA POR HEMATOLOGIA</t>
  </si>
  <si>
    <t>JUAN JOVINO ANTONIO ALFARO MONTENEGRO</t>
  </si>
  <si>
    <t>30-11-2024; PCTE FALLECIDO</t>
  </si>
  <si>
    <t>MARCOS HERMINIO ARAYA BÓRQUEZ</t>
  </si>
  <si>
    <t>20-11-2024; EGRESO DE HEMATOLOGÍA</t>
  </si>
  <si>
    <t>ANA DEL CARMEN ALVAREZ PINEDA</t>
  </si>
  <si>
    <t xml:space="preserve">LEUCEMIA </t>
  </si>
  <si>
    <t>13-06-2024; PCTE FALLECIDA</t>
  </si>
  <si>
    <t>FELICIANO ANTONIO LAZO ARAYA</t>
  </si>
  <si>
    <t>04-12-2024: PCTE FALLECIDO</t>
  </si>
  <si>
    <t>GUSTAVO ALBERTO DONOSO MALEBRAN</t>
  </si>
  <si>
    <t>30-12-24; PCTE FALLECIDO</t>
  </si>
  <si>
    <t>VALENTIN CONTRERAS OLIVARES</t>
  </si>
  <si>
    <t>HYDREA</t>
  </si>
  <si>
    <t>25-01-25; PCTE FALLECIDO</t>
  </si>
  <si>
    <t>VICENTE JAVIER CASANGA TORREJON</t>
  </si>
  <si>
    <t>TRASLADO HOSPITALIZADO HOV - HLS</t>
  </si>
  <si>
    <t>30-01-2025; FAMILIAR REFIERE QUE SOLO SE TRATA POR HLS</t>
  </si>
  <si>
    <t>RENÉ CORTES CORTES</t>
  </si>
  <si>
    <t xml:space="preserve">LEN DEX </t>
  </si>
  <si>
    <t>05-01-2025: PCTE FALLECIDO</t>
  </si>
  <si>
    <t>NATALIA DEL CARMEN JOFRE JOFRE</t>
  </si>
  <si>
    <t>11-02-2025; FAMILIAR RECHAZA COMPLETAR ESTUDIOS HEMATOLOGICOS</t>
  </si>
  <si>
    <t>AURORA DEL TRANSITO RODRÍGUEZ RODRIGUEZ</t>
  </si>
  <si>
    <t>LENA-DEX</t>
  </si>
  <si>
    <t>18-02-2025; TRASLADO HLS</t>
  </si>
  <si>
    <t xml:space="preserve">RAÚL DE LOS SANTOS FERNÁNDEZ </t>
  </si>
  <si>
    <t>20-02-2025; SE DESCARTA LEUCEMIA Y SE EGRESA DE CONSULTA</t>
  </si>
  <si>
    <t>WALDO DEL CARMEN MUÑOZ CARVAJAL</t>
  </si>
  <si>
    <t>14-02-2025; SE DESCARTA MM. SE EGRESA DE HEMATOLOGÍA</t>
  </si>
  <si>
    <t xml:space="preserve">PEDRO CASTAÑEDA GOMEZ </t>
  </si>
  <si>
    <t>05-01-2025; USUARIO FALLECIDO</t>
  </si>
  <si>
    <t>ROSSANA CRISTINA HENRÍQUEZ OGALDE</t>
  </si>
  <si>
    <t>11-02-2025; SE DESCARTA LINFOMA</t>
  </si>
  <si>
    <t>CRISTINA CARMEN IBACACHE MONDACA</t>
  </si>
  <si>
    <t>19-02-2025; SE DESCARTA MIELOMA MÚLTIPLE</t>
  </si>
  <si>
    <t>PATRICIO BARRAZA ALFARO</t>
  </si>
  <si>
    <t>17-03-2025; USUARIO FALLECIDO</t>
  </si>
  <si>
    <t>CARLOS EDUARDO BARADIT VICENCIO</t>
  </si>
  <si>
    <t>08-01-2025; USUARIO FALLECIDO</t>
  </si>
  <si>
    <t>MARÍA CRISTINA ROJAS ROJAS</t>
  </si>
  <si>
    <t>02-04-2025; SE DESCARTA LINFOMA</t>
  </si>
  <si>
    <t>JOSEFINA VILLALOBOS VILLALOBOS</t>
  </si>
  <si>
    <t>15-04-2025: SE EGRESA BAJO CONTROL POR RECHAZO CONTINIUDAD ESTUDIOS</t>
  </si>
  <si>
    <t>FRANCISCO ESTEBAN PIZARRO RAMOS</t>
  </si>
  <si>
    <t>04-02-2025; USUARIO FALLECIDO</t>
  </si>
  <si>
    <t>KATTY PASTÉN PASTÉN</t>
  </si>
  <si>
    <t>25-04-2025: SE EGRESA BAJO CONTROL POR ALTA HEMATOLOGÍA</t>
  </si>
  <si>
    <t>PEDRO AMABLE LAZO LAZO</t>
  </si>
  <si>
    <t>27-02-2025: SE EGRESA BAJO CONTROL POR ALTA HEMATOLOGÍA</t>
  </si>
  <si>
    <t xml:space="preserve">MAGALY ANDREA CID MIRANDA </t>
  </si>
  <si>
    <t>27-05-2025: USUARIA FALLECIDA</t>
  </si>
  <si>
    <t>VERONICA ROMERO OLIVARES</t>
  </si>
  <si>
    <t>SOSPECHA NEOPLASIA HEAMTOLOGICA</t>
  </si>
  <si>
    <t>29-05-2025: SE EGRESA BAJO CONTROL DESCARTE LINFOMA. ALTA HEMATOLOGÍA</t>
  </si>
  <si>
    <t>29-05-2025: SE EGRESA BAJO CONTROL DESCARTE LINFOMA Y ALTA HEMATOLOGÍA</t>
  </si>
  <si>
    <t>ANDREA DEL CARMEN COFRÉ SEGOVIA</t>
  </si>
  <si>
    <t>20-05-2025: SE EGRESA BAJO CONTROL DESCARTE LEUCEMIA Y MIELOMA MÚLTIPLE. ALTA HEMATOLOGÍA</t>
  </si>
  <si>
    <t>BETSABETH VILLALÓN ASTUDILLO</t>
  </si>
  <si>
    <t>20-05-2025: SE EGRESA BAJO CONTROL. SE EGRESA DE HEMATOLOGÍA</t>
  </si>
  <si>
    <t>LUIS ANTONIO BARRAZA BARRAZA</t>
  </si>
  <si>
    <t>27-05-2025: SE EGRESA BAJO CONTROL DESCARTE MIELOMA MÚLTIPLE. ALTA HEMATOLOGÍA</t>
  </si>
  <si>
    <t>RENE SEGOVIA SEGOVIA</t>
  </si>
  <si>
    <t>NICOLÁS DE JESÚS  ACUÑA ARAYA</t>
  </si>
  <si>
    <t>09-06-2025: SE EGRESA BAJO CONTROL DESCARTE LINFOMA. ALTA HEMATOLOGÍA</t>
  </si>
  <si>
    <t>DANIEL ANDRES NEIRA DIAZ</t>
  </si>
  <si>
    <t>KIKUCHI FUJIMOTO</t>
  </si>
  <si>
    <t>USUARIO CON ATENCIONES SANTIAGO</t>
  </si>
  <si>
    <t>RIGOBERTO ALEJANDRO ARAYA CORTEZ</t>
  </si>
  <si>
    <t>12-06-2025: SE EGRESA BAJO CONTROL DESCARTE LINFOMA. ALTA HEMATOLOGÍA</t>
  </si>
  <si>
    <t>LISELY MARIA TOVAR IZAGUIRRE</t>
  </si>
  <si>
    <t>NEOPLASIA MIELODISPLASICA</t>
  </si>
  <si>
    <t>MARÍA ELENA BUGUEÑO RODRÍGUEZ</t>
  </si>
  <si>
    <t> 11507410</t>
  </si>
  <si>
    <t>22-04-2025: SE DESCARTA MIELOMA MÚLTIPLE</t>
  </si>
  <si>
    <t>MARCELA GUILLERMINA TAIBA ARAYA</t>
  </si>
  <si>
    <t>LEUCOCITOSIS</t>
  </si>
  <si>
    <t>13-11-2024: SE DESCARTA MALIGNIDAD HEMATOLOGICA</t>
  </si>
  <si>
    <t>BENJAMÍN THOMAS JESUS BARRAZA BARRAZA</t>
  </si>
  <si>
    <t>16-06-2025: SE DESCARTA LINFOMA. SE EGRESA HEMATOLOGÍA</t>
  </si>
  <si>
    <t>ELISA CARMEN CORTÉS CUITIÑO</t>
  </si>
  <si>
    <t>16-06-2025: SE DESCARTA MIELOMA MÚLTIPLE. SE EGRESA HEMATOLOGÍA</t>
  </si>
  <si>
    <t>16-06-2025: SE DESCARTA MIELO MÚLTIPLE. SE EGRESA HEMATOLOGÍA</t>
  </si>
  <si>
    <t>MARIA BUGUEÑO FLORES</t>
  </si>
  <si>
    <t xml:space="preserve">23-06-2025: USUARIA FALLECIDA </t>
  </si>
  <si>
    <t>ANA MARIA PIZARRO BARRAZA</t>
  </si>
  <si>
    <t>24-06-2025: SE DESCARTA MIELOMA MÚLTIPLE</t>
  </si>
  <si>
    <t>NICOLE STEPHANIE ROBLES GUERRERO</t>
  </si>
  <si>
    <t>24-06-2025: SE EGRESA BAJO CONTROL DESCARTE LEUCEMIA. ALTA HEMATOLOGÍA</t>
  </si>
  <si>
    <t>KEVIN ARAYA CONTRERAS</t>
  </si>
  <si>
    <t>07-07-2025: SE EGRESA BAJO CONTROL  POR DESCARTE LINFOMA. ALTA HEMATOLOGÍA</t>
  </si>
  <si>
    <t>FUHAD MOISES SELEME GAETE</t>
  </si>
  <si>
    <t>08-07-2025: SE EGRESA BAJO CONTROL  POR DESCARTE LINFOMA. ALTA HEMATOLOGÍA</t>
  </si>
  <si>
    <t>RUTH GUILLERMINA CASTILLO CASTILLO</t>
  </si>
  <si>
    <t>LINFOCITOSIS</t>
  </si>
  <si>
    <t>09-07-2025: SE EGRESA BAJO CONTROL POR DESCARTE NEOPLASIA HEMATOLOGICA</t>
  </si>
  <si>
    <t xml:space="preserve">FLOR RUIZ JARA </t>
  </si>
  <si>
    <t>15-07-2025: SE EGRESA DE BAJO CONTROL POR TRASLADO H. SANTIAGO. USUARIA FALLECIDA 18-08-2025</t>
  </si>
  <si>
    <t>15-07-2025: SE EGRESA DE BAJO CONTROL POR TRASLADO H. SANTIAGO. USUARIA FALLECIDA 18-08-2026</t>
  </si>
  <si>
    <t>REIMUNDO EDUARDO TELLO NARANJO</t>
  </si>
  <si>
    <t>10-07-2025: SE EGRESA BAJO POR ATENCIONES EN HLS</t>
  </si>
  <si>
    <r>
      <rPr>
        <sz val="14"/>
        <color rgb="FF000000"/>
        <rFont val="Calibri"/>
        <family val="2"/>
        <scheme val="minor"/>
      </rPr>
      <t>MARGARITA PARDO</t>
    </r>
    <r>
      <rPr>
        <sz val="14"/>
        <color rgb="FFFFFFFF"/>
        <rFont val="Calibri"/>
        <family val="2"/>
        <scheme val="minor"/>
      </rPr>
      <t> </t>
    </r>
    <r>
      <rPr>
        <sz val="14"/>
        <color rgb="FF000000"/>
        <rFont val="Calibri"/>
        <family val="2"/>
        <scheme val="minor"/>
      </rPr>
      <t>ROMERO</t>
    </r>
  </si>
  <si>
    <t>07-05-2025: PCTE FALLECIDA</t>
  </si>
  <si>
    <t>ANA ESTER CORTÉS CORTÉS</t>
  </si>
  <si>
    <t>15-07-2025: SE EGRESA DE BAJO CONTROL POR DESCARTE NEOPLASIA HEMATOLOGICA. ALTA POR HEMATOLOGÍA</t>
  </si>
  <si>
    <t>IRMA HAYDEE SANTOYO PALOMINO</t>
  </si>
  <si>
    <t>AMILOIDOSIS RENAL</t>
  </si>
  <si>
    <t>17-07-2025: SE EGRESA DE BAJO CONTROL POR DESCARTE NEOPLASIA HEMATOLOGICA. ALTA POR HEMATOLOGÍA</t>
  </si>
  <si>
    <t>ANDREA SOFIA VERGARA LANDASABAL</t>
  </si>
  <si>
    <t>USUARIA INUBICABLE</t>
  </si>
  <si>
    <t>ALIRO DEL ROSARIO GALLARDO MIRANDA</t>
  </si>
  <si>
    <t>LEUCEMIA</t>
  </si>
  <si>
    <t>13-08-2025: PCTE FALLECIDO</t>
  </si>
  <si>
    <t>HERIBERTO DE JESÚS TIRADO ARAYA</t>
  </si>
  <si>
    <t>02-09-2025: SE EGRESA BAJO CONTROL POR DESCARTE NEOPLASIA HEMATOLOGICA. ALTA POR HEMATOLOGIA</t>
  </si>
  <si>
    <t>NALDA VEGA ARAYA</t>
  </si>
  <si>
    <t>29-09-2025: SE EGRESA BAJO CONTROL POR DESCARTE NEOPLASIA HEMATOLOGICA. ALTA POR HEMATOLOGIA</t>
  </si>
  <si>
    <t>AMALIA MAGDALENA CAMPOS ALVAREZ</t>
  </si>
  <si>
    <t>30-09-2025: SE EGRESA DE BAJO CONTROL POR DESCARTE NEOPLASIA HEMATOLOGICA. ALTA POR HEMATOLOGÍA</t>
  </si>
  <si>
    <t>MARÍA NELLY DEL CARMEN CISTERNAS GALLEGUILLOS</t>
  </si>
  <si>
    <t>CONSUELO AMERICA CORTÉS GARCIA</t>
  </si>
  <si>
    <t>21-10-2025: SE CIERRA CASO EN GES POR 3 INASISTENCIA A CONTROL POR HEMATOLOGÍA</t>
  </si>
  <si>
    <t>YARELA SOLEDAD TORRES CARMONA</t>
  </si>
  <si>
    <t>Los Vilos</t>
  </si>
  <si>
    <t>SOSPECHA NEOPLASIA HEMATOLOGICA</t>
  </si>
  <si>
    <t>USUARIA EN ATENCIONES EN HLS</t>
  </si>
  <si>
    <t>ADRIANA DE LAS MERCEDES CANIVILO</t>
  </si>
  <si>
    <t>EN CURSO</t>
  </si>
  <si>
    <t>18-11-2025: USUARIA CON DIAGNOSTICO DE ANEMIA POR ENFERMEDADES CRÓNICAS, SE DESCARTA MALIGNIDAD</t>
  </si>
  <si>
    <t>MIGUEL DEL CARMEN TAPIA GALLARDO</t>
  </si>
  <si>
    <t>08-11-2025: USUARIO RECHAZA ATENCIONES POR NUESTRO CENTRO</t>
  </si>
  <si>
    <t>ROSA ELENA CARVAJAL CARVAJAL</t>
  </si>
  <si>
    <t>16-09-2025: SE EGRESA DE BAJO CONTROL POR DESCARTE NEOPLASIA HEMATOLOGICA. ALTA POR HEMATOLOGÍA</t>
  </si>
  <si>
    <t>ROSA CRISTINA PIZARRO CARVAJAL</t>
  </si>
  <si>
    <t>12-11-2025: SE EGRESA DE BAJO CONTROL POR DESCARTE NEOPLASIA HEMATOLOGICA. ALTA POR HEMATOLOGÍA</t>
  </si>
  <si>
    <t>JUAN CORTES GARCIA</t>
  </si>
  <si>
    <t>05-11-2025: PCTE FALLECIDO</t>
  </si>
  <si>
    <t>PILAR CISTERNAS DUBO</t>
  </si>
  <si>
    <t>27-11-2025: SE EGRESA DE BAJO CONTROL POR DESCARTE NEOPLASIA HEMATOLOGICA. ALTA POR HEMATOLOGÍA</t>
  </si>
  <si>
    <t>ANA ESTER HEREDIA HEREDIA</t>
  </si>
  <si>
    <t>06-12-2025: PCTE FALLECIDA</t>
  </si>
  <si>
    <t>ELVIRA DEL ROSARIO ARANCIBIA MENESES</t>
  </si>
  <si>
    <t>09-12-2025: SE EGRESA DE BAJO CONTROL POR DESCARTE NEOPLASIA HEMATOLOGICA. ALTA POR HEMATOLOGÍA</t>
  </si>
  <si>
    <t>CLARA ELENA GOMEZ LOPEZ</t>
  </si>
  <si>
    <t>09-12-2025: SE EGRESA DE BAJO CONTROL POR DESCARTE NEOPLASIA HEMATOLOGICA.</t>
  </si>
  <si>
    <t>VERONICA RUTH CORTES PIZARRO</t>
  </si>
  <si>
    <t>22-12-2025: SE EGRESA DE BAJO CONTROL POR DESCARTE NEOPLASIA HEMATOLOGICA. ALTA POR HEMATOLOGIA</t>
  </si>
  <si>
    <t>ROSA CECILIA MEDALLA CASTILLO</t>
  </si>
  <si>
    <t>QMT BFM</t>
  </si>
  <si>
    <t>19-12-2025: PCTE FALLECIDA</t>
  </si>
  <si>
    <r>
      <rPr>
        <sz val="14"/>
        <color rgb="FF000000"/>
        <rFont val="Calibri"/>
        <family val="2"/>
        <scheme val="minor"/>
      </rPr>
      <t>GERMÁN ALIRO</t>
    </r>
    <r>
      <rPr>
        <sz val="14"/>
        <color rgb="FFFFFFFF"/>
        <rFont val="Calibri"/>
        <family val="2"/>
        <scheme val="minor"/>
      </rPr>
      <t> </t>
    </r>
    <r>
      <rPr>
        <sz val="14"/>
        <color rgb="FF000000"/>
        <rFont val="Calibri"/>
        <family val="2"/>
        <scheme val="minor"/>
      </rPr>
      <t>PASTÉN</t>
    </r>
    <r>
      <rPr>
        <sz val="14"/>
        <color rgb="FFFFFFFF"/>
        <rFont val="Calibri"/>
        <family val="2"/>
        <scheme val="minor"/>
      </rPr>
      <t> </t>
    </r>
    <r>
      <rPr>
        <sz val="14"/>
        <color rgb="FF000000"/>
        <rFont val="Calibri"/>
        <family val="2"/>
        <scheme val="minor"/>
      </rPr>
      <t>GUERRERO</t>
    </r>
  </si>
  <si>
    <t>AMILOIDOSIS</t>
  </si>
  <si>
    <t>BORTE-MEL-DEX</t>
  </si>
  <si>
    <t>06-01-2026: PCTE FALLECIDO</t>
  </si>
  <si>
    <t>DOMINGO ALBERTO CORTÉS GÓMEZ</t>
  </si>
  <si>
    <t>CONTROL HP + EDA CADA 3M</t>
  </si>
  <si>
    <t>27-12-2025: PCTE FALLECIDO</t>
  </si>
  <si>
    <t>LESLIE MARIBEL RODRIGUEZ GALLARDO</t>
  </si>
  <si>
    <t>06-01-2026: SE EGRESA DE BAJO CONTROL. ALTA POR CUMPLIR 5 AÑOS DE SEGUIMIENTO</t>
  </si>
  <si>
    <t>06-01-2026: ALTA POR CUMPLIR 5 AÑOS DE SEGUIMIENTO</t>
  </si>
  <si>
    <t>IDA DEL CARMEN CORTÉS TORRES</t>
  </si>
  <si>
    <t>08-01-2026: SE EGRESA DE BAJO CONTROL. ALTA POR RECHAZO DE ESTUDIOS</t>
  </si>
  <si>
    <t>08-01-2026: ALTA POR RECHAZO DE ESTUDIOS</t>
  </si>
  <si>
    <t>JOSE ESMERALDO VILLALOBOS CERDA</t>
  </si>
  <si>
    <t>13-01-2026: SE EGRESA DE BAJO CONTROL POR DESCARTE NEOPLASIA HEMATOLOGICA. ALTA POR HEMATOLOGIA</t>
  </si>
  <si>
    <t>BIEVENIDA DEL ROSARIO  ARAYA ROJAS</t>
  </si>
  <si>
    <t>22-11-2025: PCTE FALLECIDO</t>
  </si>
  <si>
    <r>
      <t>NICODEMO</t>
    </r>
    <r>
      <rPr>
        <sz val="14"/>
        <color rgb="FFFFFFFF"/>
        <rFont val="Calibri"/>
        <family val="2"/>
        <scheme val="minor"/>
      </rPr>
      <t> </t>
    </r>
    <r>
      <rPr>
        <sz val="14"/>
        <color rgb="FF000000"/>
        <rFont val="Calibri"/>
        <family val="2"/>
        <scheme val="minor"/>
      </rPr>
      <t>CORTÉS</t>
    </r>
    <r>
      <rPr>
        <sz val="14"/>
        <color rgb="FFFFFFFF"/>
        <rFont val="Calibri"/>
        <family val="2"/>
        <scheme val="minor"/>
      </rPr>
      <t> </t>
    </r>
    <r>
      <rPr>
        <sz val="14"/>
        <color rgb="FF000000"/>
        <rFont val="Calibri"/>
        <family val="2"/>
        <scheme val="minor"/>
      </rPr>
      <t>CARVAJAL</t>
    </r>
  </si>
  <si>
    <t>21-01-2026: PCTE FALLECIDO</t>
  </si>
  <si>
    <t>LAURA PATRICIA ARAYA RIVERA</t>
  </si>
  <si>
    <t>DE ACUERDO CON R-CLORAMBUCILO</t>
  </si>
  <si>
    <t>08-02-2026: PCTE FALLECIDO</t>
  </si>
  <si>
    <t>GLADYS ANTONIA AROS ALFARO</t>
  </si>
  <si>
    <t>R-MINI CHOP</t>
  </si>
  <si>
    <t>03-01-2026: PCTE FALLECIDA</t>
  </si>
  <si>
    <t>WALTHER EMILIO FERREIRA HIDALGO</t>
  </si>
  <si>
    <t>ABVD</t>
  </si>
  <si>
    <t>15-02-2026: PCTE FALLECIDO</t>
  </si>
  <si>
    <t xml:space="preserve">FELICIANA NORA CASTILLO CASTILLO </t>
  </si>
  <si>
    <t>06-02-2026: PCTE FALLECIDO</t>
  </si>
  <si>
    <t>EFRAIN  CASTILLO VALDIVIA</t>
  </si>
  <si>
    <t>CARLOTA TRANSITO GODOY VERGARA</t>
  </si>
  <si>
    <t>CONTROL DERMATOLOGÍA</t>
  </si>
  <si>
    <t>H. COQUIMBO</t>
  </si>
  <si>
    <t>13-11-2025: SE DESCARTA MICOSIS FUNGOIDE</t>
  </si>
  <si>
    <t>DAVID FERNANDEZ CARVAJAL</t>
  </si>
  <si>
    <t>07-01-2026: SE DESCARTA NEOPLASIA HEMATOLOGICA</t>
  </si>
  <si>
    <t>ÁLVARO DEL CARMEN MIRANDA CONTRERAS</t>
  </si>
  <si>
    <t>Azacitidina</t>
  </si>
  <si>
    <t>10-01-2026: PCTE FALLECIDO</t>
  </si>
  <si>
    <t>ESTEPHANIE ALEJANDRA BANDA LUCO</t>
  </si>
  <si>
    <t>25-02-2026: SE EGRESA DE BAJO CONTROL POR DESCARTE NEOPLASIA HEMATOLOGICA. ALTA POR HEMATOLOGIA</t>
  </si>
  <si>
    <t>IRIS MARIA JOFRE ARO</t>
  </si>
  <si>
    <t>F. DIAG</t>
  </si>
  <si>
    <t>ETAPA</t>
  </si>
  <si>
    <t>F. COMITÉ</t>
  </si>
  <si>
    <t>COMITÉ</t>
  </si>
  <si>
    <t>CENTRO DERIVACIÓN</t>
  </si>
  <si>
    <t>ESTADO</t>
  </si>
  <si>
    <t>SEG. ENFER</t>
  </si>
  <si>
    <t>TTO</t>
  </si>
  <si>
    <t>PERIODICIDAD</t>
  </si>
  <si>
    <t xml:space="preserve">PROFESIONAL </t>
  </si>
  <si>
    <t xml:space="preserve">F.U. CONTROL </t>
  </si>
  <si>
    <t>P.CONTROL</t>
  </si>
  <si>
    <t>DIAS  P.</t>
  </si>
  <si>
    <t xml:space="preserve">ESTADO </t>
  </si>
  <si>
    <t>IMPORTANTE</t>
  </si>
  <si>
    <t xml:space="preserve"> MAGDALENA DEL CARMEN ZEPEDA CASTILLO</t>
  </si>
  <si>
    <t xml:space="preserve">RUXOLITINIB </t>
  </si>
  <si>
    <t xml:space="preserve">CONTROL 3M TELEFONICO </t>
  </si>
  <si>
    <t>3 MESES</t>
  </si>
  <si>
    <t>ENFERMERA</t>
  </si>
  <si>
    <t>ABRAHAM MORALES LOPEZ</t>
  </si>
  <si>
    <t>ADRIANA DEL ROSARIO ALFARO</t>
  </si>
  <si>
    <t>CONTROL 6M + EXAMENES</t>
  </si>
  <si>
    <t>6 MESES</t>
  </si>
  <si>
    <t>MEDICO</t>
  </si>
  <si>
    <t>ALEJANDRO ANTONIO CODOCEO GONZALEZ</t>
  </si>
  <si>
    <t>DETENIDO</t>
  </si>
  <si>
    <t>CONTROL + RESULTADOS</t>
  </si>
  <si>
    <t>CON RESULTADOS</t>
  </si>
  <si>
    <t>PEND. COMPRA DE SERVICIO</t>
  </si>
  <si>
    <t>ALEJANDRO DEL CARMEN SALINAS SALINAS</t>
  </si>
  <si>
    <t>CONTROL 3M + EXAMENES</t>
  </si>
  <si>
    <t xml:space="preserve">ALEJANDRO PINTO  PINTO </t>
  </si>
  <si>
    <t>NO RECUPERADO</t>
  </si>
  <si>
    <t>ALEX JAMIL MORALES HENRIQUEZ</t>
  </si>
  <si>
    <t>HIDROXIUREA</t>
  </si>
  <si>
    <t xml:space="preserve">MEDICO </t>
  </si>
  <si>
    <t>ALFONSO DEL PERPETUO VEGA OLIVERA</t>
  </si>
  <si>
    <t>ALFONSO DEL ROSARIO ANDRADE MICHEA</t>
  </si>
  <si>
    <t>R-CHOP</t>
  </si>
  <si>
    <t>ALFONSO ENRIQUE IBACACHE ROBLES</t>
  </si>
  <si>
    <t xml:space="preserve">N/A </t>
  </si>
  <si>
    <t>ALICIA DEL CARMEN LEMUS CARVAJAL</t>
  </si>
  <si>
    <t>ALICIA ESTELA BARRAZA ALFARO</t>
  </si>
  <si>
    <t>NO ENCONTRADO</t>
  </si>
  <si>
    <t xml:space="preserve">CONTROL 12M + EXAMENES </t>
  </si>
  <si>
    <t>12 MESES</t>
  </si>
  <si>
    <t>ALIDA ARGENTINA ARAYA SEGOVIA</t>
  </si>
  <si>
    <t>ALIRO FELIZ CORTES CORDOVA</t>
  </si>
  <si>
    <t>AMALIA VADERRAMA VIVAR</t>
  </si>
  <si>
    <t>CONTROL CON RESULTADOS</t>
  </si>
  <si>
    <t>AMERICA GUADALUPE CARRASCO CARRASCO</t>
  </si>
  <si>
    <t>CLORAMBUCILO</t>
  </si>
  <si>
    <t>H. LA SERENA</t>
  </si>
  <si>
    <t>ANA BERENICE DEL CARMEN RODRIGUEZ LOPEZ</t>
  </si>
  <si>
    <t>SIN COMITÉ RECUPERADO</t>
  </si>
  <si>
    <t xml:space="preserve">ANA CASTILLO MONTALVAN </t>
  </si>
  <si>
    <t>CONSULTA NUEVA</t>
  </si>
  <si>
    <t>ANA CASTILLO OLIVARES</t>
  </si>
  <si>
    <t>CLADRIBINE</t>
  </si>
  <si>
    <t>ANA ISABEL ROJAS TAPIA</t>
  </si>
  <si>
    <t>ANA LUISA ROJAS ROJAS</t>
  </si>
  <si>
    <t>ANA LUZ ACUÑA MAYA</t>
  </si>
  <si>
    <t>VRD</t>
  </si>
  <si>
    <t>ANA ROSA GODOY NUÑEZ</t>
  </si>
  <si>
    <t>ANDREA MARIELA GALLARDO ARAYA</t>
  </si>
  <si>
    <t>PEND</t>
  </si>
  <si>
    <t>ANGELICA CORTES PONCE</t>
  </si>
  <si>
    <t>ARMANDO ARTURO CORTÉS ELGUEDA</t>
  </si>
  <si>
    <t>ARTEMIO DEL ROSARIO CASTILLO CASTILLO</t>
  </si>
  <si>
    <t>CONTROL 4M + EXAMENES</t>
  </si>
  <si>
    <t>4 MESES</t>
  </si>
  <si>
    <t>AVERCIO DEL ROSARIO MOLINA ARAYA</t>
  </si>
  <si>
    <t>BLANCA  CASTILLO PALACIOS</t>
  </si>
  <si>
    <t xml:space="preserve">RITUXIMAB </t>
  </si>
  <si>
    <t>BLANCA DOMINGA DELGADO DELGADO</t>
  </si>
  <si>
    <t>CARLA ISABEL PIZARRO MORALES</t>
  </si>
  <si>
    <t>CARLOS ANTONIO MURANDA MUÑOZ</t>
  </si>
  <si>
    <t xml:space="preserve">CONTROL 4M + EXAMENES </t>
  </si>
  <si>
    <t>CARLOS EDUARDO MONTENEGRO SEGOVIA</t>
  </si>
  <si>
    <t>NO ENCONTRADO HLS</t>
  </si>
  <si>
    <t>CARLOS ENRIQUE VALDERRAMA JOFRÉ</t>
  </si>
  <si>
    <t>CARLOS WILFRED ROJAS TORREJÓN</t>
  </si>
  <si>
    <t>PLASMAFERESIS + Rituximab / dexametasona / ciclofosfamida</t>
  </si>
  <si>
    <r>
      <t>CARMELA DEL ROSARIO</t>
    </r>
    <r>
      <rPr>
        <sz val="14"/>
        <color rgb="FFFFFFFF"/>
        <rFont val="Calibri"/>
        <family val="2"/>
        <scheme val="minor"/>
      </rPr>
      <t> </t>
    </r>
    <r>
      <rPr>
        <sz val="14"/>
        <color theme="1"/>
        <rFont val="Calibri"/>
        <family val="2"/>
        <scheme val="minor"/>
      </rPr>
      <t>PEREIRA</t>
    </r>
    <r>
      <rPr>
        <sz val="14"/>
        <color rgb="FFFFFFFF"/>
        <rFont val="Calibri"/>
        <family val="2"/>
        <scheme val="minor"/>
      </rPr>
      <t> </t>
    </r>
    <r>
      <rPr>
        <sz val="14"/>
        <color theme="1"/>
        <rFont val="Calibri"/>
        <family val="2"/>
        <scheme val="minor"/>
      </rPr>
      <t>MALUENDA</t>
    </r>
  </si>
  <si>
    <t>W&amp;W</t>
  </si>
  <si>
    <t>CARMEN JACQUELINE VEGA CARVAJAL</t>
  </si>
  <si>
    <t>EOSINOFILIA</t>
  </si>
  <si>
    <t>CARMEN RIVERA ARAYA</t>
  </si>
  <si>
    <t>CAROL JENIFHER HERNÁNDEZ SANCHEZ</t>
  </si>
  <si>
    <t>CAROLINA VIVIANA MALDONADO PIZARRO</t>
  </si>
  <si>
    <t>CATALINA TABILO OROZCO</t>
  </si>
  <si>
    <t>HISTOSITOSIS</t>
  </si>
  <si>
    <t>CONTROL 2M + EXAMENES</t>
  </si>
  <si>
    <t>2 MESES</t>
  </si>
  <si>
    <t>CECILIA ARAYA ROJAS</t>
  </si>
  <si>
    <t>CECILIA OTILIA ROJAS HENRIQUEZ</t>
  </si>
  <si>
    <t>CELINDA DEL ROSARIO GONZÁLEZ ZAMBRA</t>
  </si>
  <si>
    <t>ANEMIA FERROPENICA SUPERAD</t>
  </si>
  <si>
    <t>CLARA FRANCISCA  VEGA COLLARTE</t>
  </si>
  <si>
    <t>CLAUDIA ANDREA DEL CARMEN VARELA MUÑOZ</t>
  </si>
  <si>
    <t>CLAUDIO PATRICIO CASANOVA RODRÍGUEZ</t>
  </si>
  <si>
    <t>AGENDAR CONTROL 10-03 HASTA 13-03</t>
  </si>
  <si>
    <t xml:space="preserve">CLELIA CALDERON VILLARICA </t>
  </si>
  <si>
    <t>CLODOMIRA CASTILLO PLAZA</t>
  </si>
  <si>
    <t>CRISTIAN MALUENDA CASTILLO</t>
  </si>
  <si>
    <t>CRISTINA DEL ROSARIO CASTILLO GÓMEZ</t>
  </si>
  <si>
    <t>CyBorD</t>
  </si>
  <si>
    <t>CUPERTINO ENRIQUE MUÑOZ PIZARRO</t>
  </si>
  <si>
    <t>CHOP cada 14 días x 6 ciclos</t>
  </si>
  <si>
    <t>DAVID ALBERTO CASTILLO MOROSO</t>
  </si>
  <si>
    <t>CTD</t>
  </si>
  <si>
    <t>TALIDOMIDA</t>
  </si>
  <si>
    <t>DIANA CAMPUSANO BUGUEÑO</t>
  </si>
  <si>
    <t>DIDNATOR DEL CARMEN CASTILLO CASTILLO</t>
  </si>
  <si>
    <t>DIEGO SEBASTIAN WHITE ROJAS</t>
  </si>
  <si>
    <t>DIÓGENES JESÚS LUNA OLIVARES</t>
  </si>
  <si>
    <t>DIOSELINDA CARMEN ROCO FÉRNANDEZ</t>
  </si>
  <si>
    <t>PEND. EXAMENES LAB</t>
  </si>
  <si>
    <t>DOLLY TELLO ROJAS</t>
  </si>
  <si>
    <t xml:space="preserve">IMATINIB </t>
  </si>
  <si>
    <t>DORA DEL ROSARIO ALFARO CASTILLO</t>
  </si>
  <si>
    <t>PAMIDRONATO</t>
  </si>
  <si>
    <t>DORALIZA ESPINOSA JERALDO</t>
  </si>
  <si>
    <t>EDITH LOPEZ GALLARDO</t>
  </si>
  <si>
    <t>PACIENTE COMGES GARANTIA EXCEPTUADA DE ETAPIFICACION. EN ESPERA DE REGULARIZACION DE REG POR GES HLS</t>
  </si>
  <si>
    <t>EDMUNDO ENRIQUE SANTANDER JULIO</t>
  </si>
  <si>
    <t>EDUARDO PIZARRO AGUILERA</t>
  </si>
  <si>
    <t>ELBA CARMEN PASTEN CORTÉS</t>
  </si>
  <si>
    <t>ELBA DEL CARMEN GUTIÉRREZ SOLAR</t>
  </si>
  <si>
    <t>ELIANA DE LA CRUZ BARRAZA TORO</t>
  </si>
  <si>
    <t>ELIANA GUILLERMINA GONZÁLEZ VEGA</t>
  </si>
  <si>
    <t>ELIANA MOROSO MOROSO</t>
  </si>
  <si>
    <t>ELISA ANGELICA CARRASCO CAMPOS</t>
  </si>
  <si>
    <t>ELIZABETH CONSTANZA LUNA PEREZ</t>
  </si>
  <si>
    <t>ELIZABETH DEL CARMEN PIZARRO CORTÉS</t>
  </si>
  <si>
    <t>EMA VALENZUELA RAMOS</t>
  </si>
  <si>
    <t>EMILIANO DE JESÚS ÁLVAREZ ANGEL</t>
  </si>
  <si>
    <t xml:space="preserve">ENCARNACIÓN MALUENDA CARVAJAL </t>
  </si>
  <si>
    <t>ERNESTINA DEL ROSARIO ROJAS CAVAJAL</t>
  </si>
  <si>
    <t>R-MINI.CHOP</t>
  </si>
  <si>
    <t>ERNESTINA DEL ROSARIO SIERRA SIERRA</t>
  </si>
  <si>
    <t>ESTER  DEL CARMEN MIRANDA ROJAS</t>
  </si>
  <si>
    <t>EGRESAR?</t>
  </si>
  <si>
    <t xml:space="preserve">EVELYN ARAYA CASTRO </t>
  </si>
  <si>
    <t>PEND. RESULTADOS</t>
  </si>
  <si>
    <t xml:space="preserve">FELIX AGUIRRE CONTRERAS </t>
  </si>
  <si>
    <t>FIDEL OSIAS MUNDACA</t>
  </si>
  <si>
    <t xml:space="preserve">FLORIDOR DEL ROSARIO SOLAR ARDILES </t>
  </si>
  <si>
    <t>FRANCISCO BARRAZA CISTERNAS</t>
  </si>
  <si>
    <t>R-CGVP x 6 CICLOS</t>
  </si>
  <si>
    <t>GABRIEL ANTONIO CUELLO ZEPEDA</t>
  </si>
  <si>
    <t>GLADYS ANGÉLICA DÍAZ ARCOS</t>
  </si>
  <si>
    <t>GLADYS ESTRELLA GALLEGUILLOS SEGOVIA</t>
  </si>
  <si>
    <t>RCHOP</t>
  </si>
  <si>
    <t>GLADYS ODIEL RIVERA</t>
  </si>
  <si>
    <t xml:space="preserve">GRACIELA DEL CARMEN CONTRERAS DIAZ </t>
  </si>
  <si>
    <t>GUILLERMO ALBERTINO VILLALOBOS LÓPEZ</t>
  </si>
  <si>
    <t>DESATINIB</t>
  </si>
  <si>
    <t>DASATINIB</t>
  </si>
  <si>
    <t>GUILLERMO IVAN RUBINA MONDACA</t>
  </si>
  <si>
    <t>HAYDÉE SOLEDAD ARACENA VILLEGAS</t>
  </si>
  <si>
    <t>HECTOR ABEL CORTES CORTES</t>
  </si>
  <si>
    <t>HECTOR ADRIAN MARIN MICHEA</t>
  </si>
  <si>
    <t>PEND. SAF</t>
  </si>
  <si>
    <t>HERNAN CASTILLO SEGOVIA</t>
  </si>
  <si>
    <t>HERNAN RODRIGUEZ RODRIGUEZ</t>
  </si>
  <si>
    <t>HILDA DEL CARMEN RODRÍGUEZ RODRÍGUEZ</t>
  </si>
  <si>
    <t>HIPOLITO GONZALEZ FLORES</t>
  </si>
  <si>
    <t>APLASIA MEDULAR</t>
  </si>
  <si>
    <t>HORTENSIA DEL CARMEN FUENTES CORTÉS</t>
  </si>
  <si>
    <t>HUGO ARIAS ANGEL</t>
  </si>
  <si>
    <t>R- BENDAMUSTINA</t>
  </si>
  <si>
    <t>HUGO ARTURO ASTUDILLO ALFARO</t>
  </si>
  <si>
    <t>PEND. JAK 2</t>
  </si>
  <si>
    <t>HUGO BERNARDO DURÁN CERDA</t>
  </si>
  <si>
    <t>HUGO HERNANI MUÑOZ ZEPEDA</t>
  </si>
  <si>
    <t>HUMBERTO ALONSO TORO</t>
  </si>
  <si>
    <t>HUMBERTO EMILIO HECKERSDORF BUGUEÑO</t>
  </si>
  <si>
    <t>IRELDA DEL ROSARIO VILLARROEL ROJAS</t>
  </si>
  <si>
    <t>ISAAC OMAR ROJAS RODRIGUEZ</t>
  </si>
  <si>
    <t xml:space="preserve">ISAIAS CARTES ORTIZ </t>
  </si>
  <si>
    <t>SINDROME POEMS</t>
  </si>
  <si>
    <t xml:space="preserve">ISNELDA ZEPEDA GOMEZ </t>
  </si>
  <si>
    <t>IVAN IGNACIO TOLEDO TOLEDO</t>
  </si>
  <si>
    <t>JANE CLARA FERNÁNDEZ LÓPEZ</t>
  </si>
  <si>
    <t>JAVIER OLIVARES ARAYA</t>
  </si>
  <si>
    <t>JEREMIAS ANTONIO CAMPOS ALVARADO</t>
  </si>
  <si>
    <t xml:space="preserve">JILBERTO VARELA VARELA </t>
  </si>
  <si>
    <t>JOHANNA CAROLINA ANGEL GODOY</t>
  </si>
  <si>
    <t>JOHN DEL CAMEN RIVERA CORTÉS</t>
  </si>
  <si>
    <t>JOHNNY ARMANDO MORALES ALFARO</t>
  </si>
  <si>
    <t xml:space="preserve">JORGE GONZALEZ ZARATE </t>
  </si>
  <si>
    <t>JORGE LUCIANO DELGADO MUÑOZ</t>
  </si>
  <si>
    <t>JORGE LUIS FERNÁNDEZ BUSCHMANN</t>
  </si>
  <si>
    <t>PEND. EXAMEN GM</t>
  </si>
  <si>
    <t xml:space="preserve">JOSE ANTONIO HERRERA AGUILERA </t>
  </si>
  <si>
    <t>JOSÉ LUIS ITEN PÉREZ</t>
  </si>
  <si>
    <t> 20965940</t>
  </si>
  <si>
    <t>REINTENTAR LLAMADA</t>
  </si>
  <si>
    <t>JOSE MALUENDA ARAYA</t>
  </si>
  <si>
    <t>R-BENDAMUSTINA</t>
  </si>
  <si>
    <t>JOSÉ MANUEL CASTILLO CASTILLO</t>
  </si>
  <si>
    <t>JOSE TOMAS PEREZ PEREZ</t>
  </si>
  <si>
    <t>JOSE VALDIVIA CONTRERAS</t>
  </si>
  <si>
    <t>JOSEFINA ADRIANA YÁÑEZ FORMAS</t>
  </si>
  <si>
    <t>PEND. EDA</t>
  </si>
  <si>
    <t>JUAN CARLOS CORTES PASTEN</t>
  </si>
  <si>
    <t>R- Clorambucilo</t>
  </si>
  <si>
    <t>PREGUNTAR POR REPRESENTACIÓN</t>
  </si>
  <si>
    <r>
      <t>JUAN CARLOS</t>
    </r>
    <r>
      <rPr>
        <sz val="14"/>
        <color rgb="FFFFFFFF"/>
        <rFont val="Calibri"/>
        <family val="2"/>
        <scheme val="minor"/>
      </rPr>
      <t> </t>
    </r>
    <r>
      <rPr>
        <sz val="14"/>
        <color theme="1"/>
        <rFont val="Calibri"/>
        <family val="2"/>
        <scheme val="minor"/>
      </rPr>
      <t>ROJAS</t>
    </r>
    <r>
      <rPr>
        <sz val="14"/>
        <color rgb="FFFFFFFF"/>
        <rFont val="Calibri"/>
        <family val="2"/>
        <scheme val="minor"/>
      </rPr>
      <t> </t>
    </r>
    <r>
      <rPr>
        <sz val="14"/>
        <color theme="1"/>
        <rFont val="Calibri"/>
        <family val="2"/>
        <scheme val="minor"/>
      </rPr>
      <t>ALVAREZ</t>
    </r>
  </si>
  <si>
    <t>JUAN CORTÉS ZAMBRA</t>
  </si>
  <si>
    <t>JUAN LUNA OLIVARES</t>
  </si>
  <si>
    <t>SE PERMITE SIGUIENTE CICLO DE LEN DEX</t>
  </si>
  <si>
    <t>JUAN MANUEL RIVERA BUGUEÑO</t>
  </si>
  <si>
    <t>JUANA FERMINA NÚÑEZ CASTILLO</t>
  </si>
  <si>
    <t>JUANA MIRANDA FLORES</t>
  </si>
  <si>
    <t xml:space="preserve">JUANA RIVERA RIVERA </t>
  </si>
  <si>
    <t>JUDITH MORGADO MIRANDA</t>
  </si>
  <si>
    <t>CYBOR D</t>
  </si>
  <si>
    <t xml:space="preserve">JULIA TRANSITO ARAYA VEGA </t>
  </si>
  <si>
    <t>KAREN ELIZABETH IBACACHE MUNDACA</t>
  </si>
  <si>
    <t>KATHERINE SONIA WELCH FLORES</t>
  </si>
  <si>
    <t xml:space="preserve">KATTY TREBOTICH  TAPIA </t>
  </si>
  <si>
    <t>KRISHNA NAYARETH ESPÍNOLA GALLARDO</t>
  </si>
  <si>
    <t>LEBERIANO ALEJANDRO ADONES FERNÁNDEZ</t>
  </si>
  <si>
    <t xml:space="preserve">CHOP </t>
  </si>
  <si>
    <t>LEONOR ESTELA FLORES CORTES</t>
  </si>
  <si>
    <t>LEVI IVÁN GARCIA ARAYA</t>
  </si>
  <si>
    <t>RUXOLITINIB</t>
  </si>
  <si>
    <t>LILIANA DEL CARMEN VELIZ VELIZ</t>
  </si>
  <si>
    <t>LINA MARGARITA NAVEA AGUIRRE</t>
  </si>
  <si>
    <t>LISANDRO DEL ROSARIO RODRIGUEZ DEL CANTO</t>
  </si>
  <si>
    <t>LUCIA ALEJANDRA ARAYA VEGA</t>
  </si>
  <si>
    <t xml:space="preserve">LUCIANO ANTONIO CAMPUSANO ACUÑA </t>
  </si>
  <si>
    <t>LUCIANO ISAIAS LEMUS CARVAJAL</t>
  </si>
  <si>
    <t xml:space="preserve">LUCINDA MOYA ORELLANA </t>
  </si>
  <si>
    <t>LUIS ANTONIO ASTORGA VEGA</t>
  </si>
  <si>
    <t>LUIS ORLANDO MARÍN BARRZA</t>
  </si>
  <si>
    <r>
      <t>LUIS PINILLA</t>
    </r>
    <r>
      <rPr>
        <sz val="14"/>
        <color rgb="FFFFFFFF"/>
        <rFont val="Calibri"/>
        <family val="2"/>
        <scheme val="minor"/>
      </rPr>
      <t> </t>
    </r>
    <r>
      <rPr>
        <sz val="14"/>
        <color rgb="FF000000"/>
        <rFont val="Calibri"/>
        <family val="2"/>
        <scheme val="minor"/>
      </rPr>
      <t>MORGADO</t>
    </r>
  </si>
  <si>
    <t xml:space="preserve">HISTOSITOSIS </t>
  </si>
  <si>
    <t>LUISA ELENA ADAROS ADAROS</t>
  </si>
  <si>
    <t>LUZ ERNESTINA VALDIVIA HIDALGO</t>
  </si>
  <si>
    <t>MANUEL  SANTOS MICHEA ASTUDILLO</t>
  </si>
  <si>
    <t>MANUEL ALBERTO ARÁNGUIZ LEIGHTON</t>
  </si>
  <si>
    <t>MANUEL ANTONIO CORTES ARAYA</t>
  </si>
  <si>
    <t xml:space="preserve"> </t>
  </si>
  <si>
    <t>CONTROL 6M + RESULTADOS</t>
  </si>
  <si>
    <t>MANUEL FERNANDO RIVERA ROJAS</t>
  </si>
  <si>
    <t>MANUEL IRARRAZABAL LANAS</t>
  </si>
  <si>
    <t>PEND. ECOABDOMINAL</t>
  </si>
  <si>
    <t>MANUEL JESÚS NÚÑEZ BARRAZA</t>
  </si>
  <si>
    <t>CICLOSPORINA+ELTROMBOPAG</t>
  </si>
  <si>
    <t>MARCELA DEL CARMEN PASTEN CONTRERAS</t>
  </si>
  <si>
    <t>MARCELINA PACHECO GONZALEZ</t>
  </si>
  <si>
    <t>MARGARITA CARVAJAL AGUILERA</t>
  </si>
  <si>
    <t>MARGARITA DE LA CRUZ GARCÍA OLIVARES</t>
  </si>
  <si>
    <t>MARGARITA DEL CARMEN ARAYA TORREJON</t>
  </si>
  <si>
    <t>MARIA  DEL ROSARIO ZAPATA GARCIA</t>
  </si>
  <si>
    <t>LEN DEX</t>
  </si>
  <si>
    <t>MARÍA ANGÉLICA CONTRERAS ARCOS</t>
  </si>
  <si>
    <t>MARIA ARAYA PARRA</t>
  </si>
  <si>
    <t>MARÍA AURISTELA SAAVEDRA YÁÑEZ</t>
  </si>
  <si>
    <t>MARIA BERNARDA CASTILLO BARRAZA</t>
  </si>
  <si>
    <t xml:space="preserve">MARIA CARMEN LEDEZMA CARVAJAL </t>
  </si>
  <si>
    <t>MARIA CECILIA MONARDEZ VARGAS</t>
  </si>
  <si>
    <t>MARÍA CECILIA PIZARRO ROBLEDO</t>
  </si>
  <si>
    <t xml:space="preserve">MARIA CRISTINA MUÑOZ MUÑOZ </t>
  </si>
  <si>
    <t>MARIA ELIZABETH PINTO PASTEN</t>
  </si>
  <si>
    <t>MARÍA ESTER ESQUIVEL VERGARA</t>
  </si>
  <si>
    <t xml:space="preserve">4 MESES </t>
  </si>
  <si>
    <t>MARÍA GEORGINA ROJAS LUNA</t>
  </si>
  <si>
    <t>MARÍA GUSTAVINA ARAYA ROJAS</t>
  </si>
  <si>
    <t>MARÍA ISABEL JOFRÉ SALINAS</t>
  </si>
  <si>
    <t>MARÍA ISABEL VEGA ALVARADO</t>
  </si>
  <si>
    <t>CONTROL 3M TELFÓNICO</t>
  </si>
  <si>
    <t>MARÍA LEONARDA MIRANDA RAMOS</t>
  </si>
  <si>
    <t>MINI R-CHOP</t>
  </si>
  <si>
    <t>MARIA TERESA JORQUERA FLORES</t>
  </si>
  <si>
    <t xml:space="preserve">7946093	</t>
  </si>
  <si>
    <t>03/03/2022 </t>
  </si>
  <si>
    <t>MARIELA JOSEFINA LOPEZ VALERIO</t>
  </si>
  <si>
    <t>R-DA-EPOCH</t>
  </si>
  <si>
    <r>
      <rPr>
        <sz val="14"/>
        <color theme="1"/>
        <rFont val="Calibri"/>
        <family val="2"/>
        <scheme val="minor"/>
      </rPr>
      <t>MARIELA</t>
    </r>
    <r>
      <rPr>
        <sz val="14"/>
        <color rgb="FFFFFFFF"/>
        <rFont val="Calibri"/>
        <family val="2"/>
        <scheme val="minor"/>
      </rPr>
      <t> </t>
    </r>
    <r>
      <rPr>
        <sz val="14"/>
        <color theme="1"/>
        <rFont val="Calibri"/>
        <family val="2"/>
        <scheme val="minor"/>
      </rPr>
      <t>CONTRERAS</t>
    </r>
    <r>
      <rPr>
        <sz val="14"/>
        <color rgb="FFFFFFFF"/>
        <rFont val="Calibri"/>
        <family val="2"/>
        <scheme val="minor"/>
      </rPr>
      <t> </t>
    </r>
    <r>
      <rPr>
        <sz val="14"/>
        <color theme="1"/>
        <rFont val="Calibri"/>
        <family val="2"/>
        <scheme val="minor"/>
      </rPr>
      <t>ARAYA</t>
    </r>
  </si>
  <si>
    <t>PEND. TOMA DE EXAMENES</t>
  </si>
  <si>
    <t>MARINO HERNÁN VELÁSQUEZ ARAYA</t>
  </si>
  <si>
    <t xml:space="preserve">MARTA DEL TRANSITO  RODRIGUEZ </t>
  </si>
  <si>
    <t xml:space="preserve">MARY RíOS AVALOS </t>
  </si>
  <si>
    <t>MAURICIO ENRIQUE ALEJANDRO MICHEA CONTRERAS</t>
  </si>
  <si>
    <t> 22-08-2022</t>
  </si>
  <si>
    <t>MERCEDES ELENA ARAYA ARAYA</t>
  </si>
  <si>
    <t>PEND. MM + TAC</t>
  </si>
  <si>
    <t>MIGUEL ANTONIO MORALES YAÑEZ</t>
  </si>
  <si>
    <t>MIGUEL DEL ROSARIO CARVAJAL OLIVARES</t>
  </si>
  <si>
    <t>PEND. TOMA EX</t>
  </si>
  <si>
    <t>MIRIAM ANGELICA ROJAS BERRIOS</t>
  </si>
  <si>
    <t>MOISES ANTONIO JORQUERA ECHEVERRIA</t>
  </si>
  <si>
    <t>CALBG 10430</t>
  </si>
  <si>
    <t>MÓNICA DEL CARMEN FIGUEROA DÍAZ</t>
  </si>
  <si>
    <t>NANCY VIGORENA ALBURQUENQUE</t>
  </si>
  <si>
    <t>NEDJULLY DEL VALLE TORREALBA SOLORZANO</t>
  </si>
  <si>
    <t>NELLY ALFARO GUERRA</t>
  </si>
  <si>
    <r>
      <t>NELSON GALVEZ</t>
    </r>
    <r>
      <rPr>
        <sz val="14"/>
        <color rgb="FFFFFFFF"/>
        <rFont val="Calibri"/>
        <family val="2"/>
        <scheme val="minor"/>
      </rPr>
      <t> </t>
    </r>
    <r>
      <rPr>
        <sz val="14"/>
        <color rgb="FF000000"/>
        <rFont val="Calibri"/>
        <family val="2"/>
        <scheme val="minor"/>
      </rPr>
      <t>ARDILES</t>
    </r>
  </si>
  <si>
    <t>NILDA DEL TRANSITO SEGOVIA DONOSO</t>
  </si>
  <si>
    <t>NILSA DEL PILAR DONOSO DONOSO</t>
  </si>
  <si>
    <t>RADIOTERAPIA 20 CICLOS</t>
  </si>
  <si>
    <t>NOLFA MILENA ALDAY ALDAY</t>
  </si>
  <si>
    <t>OMAR DEL CARMEN ROJAS SALINAS</t>
  </si>
  <si>
    <t>OMAR ENRIQUE CERDA CASTILLO</t>
  </si>
  <si>
    <t xml:space="preserve">OMAR SERGIO ARAYA CASTRO </t>
  </si>
  <si>
    <t>ORFELIO DEL ROSARIO ARREDONDO VILLARROEL</t>
  </si>
  <si>
    <t xml:space="preserve">ORLANDO  ANGEL ROJAS </t>
  </si>
  <si>
    <t>OSCAR RENE CORTES CORTES</t>
  </si>
  <si>
    <r>
      <t>OSCIEL</t>
    </r>
    <r>
      <rPr>
        <sz val="14"/>
        <color rgb="FFFFFFFF"/>
        <rFont val="Calibri"/>
        <family val="2"/>
        <scheme val="minor"/>
      </rPr>
      <t> </t>
    </r>
    <r>
      <rPr>
        <sz val="14"/>
        <color rgb="FF000000"/>
        <rFont val="Calibri"/>
        <family val="2"/>
        <scheme val="minor"/>
      </rPr>
      <t>ÁLVAREZ</t>
    </r>
    <r>
      <rPr>
        <sz val="14"/>
        <color rgb="FFFFFFFF"/>
        <rFont val="Calibri"/>
        <family val="2"/>
        <scheme val="minor"/>
      </rPr>
      <t> </t>
    </r>
    <r>
      <rPr>
        <sz val="14"/>
        <color rgb="FF000000"/>
        <rFont val="Calibri"/>
        <family val="2"/>
        <scheme val="minor"/>
      </rPr>
      <t>COLLADO</t>
    </r>
  </si>
  <si>
    <t>OTILIO CIRTERNA MUÑOZ</t>
  </si>
  <si>
    <t>PAOLO NICOLÁS LÓPEZ ROJAS</t>
  </si>
  <si>
    <t>PEND. ECO PARTES BLANDAS</t>
  </si>
  <si>
    <t>PASCUAL  ANTONIO VARGAS ALBÁNEZ</t>
  </si>
  <si>
    <t>PEND. REPETIR COLONO</t>
  </si>
  <si>
    <t>PATRICIA GALVEZ REYES</t>
  </si>
  <si>
    <t>PATRICIA ORTIZ HUERTA</t>
  </si>
  <si>
    <t>PATRICIO ARAYA ARAYA</t>
  </si>
  <si>
    <t>PAULINA ANTONIA CASTILLO ESPINOSA</t>
  </si>
  <si>
    <t>PEDRO ARMANDO LAGUNAS CABEZAS</t>
  </si>
  <si>
    <t>PEDRO ENRIQUE DEL CARMEN ARRIAGADA VILLEGAS</t>
  </si>
  <si>
    <t xml:space="preserve">RAMIRO DE MERCEDES RAMIREZ </t>
  </si>
  <si>
    <t>RAMÓN ANTONIO SALAS HERRERA</t>
  </si>
  <si>
    <t>REPRESENTAR</t>
  </si>
  <si>
    <t>CONTROL 1M + EXAMENES</t>
  </si>
  <si>
    <t>1 MES</t>
  </si>
  <si>
    <t xml:space="preserve">RAQUEL FLORES ROJAS </t>
  </si>
  <si>
    <t>RAÚL CORTES ROJAS</t>
  </si>
  <si>
    <t>RENE BENEDICTO ZEPEDA ZEPEDA</t>
  </si>
  <si>
    <t>PCTE HOSPITALIZADO</t>
  </si>
  <si>
    <t>RENE PERFECTO JIMÉNEZ CORVACHO</t>
  </si>
  <si>
    <r>
      <t>REOMILDO DEL ROSARIO</t>
    </r>
    <r>
      <rPr>
        <sz val="14"/>
        <color rgb="FFFFFFFF"/>
        <rFont val="Calibri"/>
        <family val="2"/>
        <scheme val="minor"/>
      </rPr>
      <t> </t>
    </r>
    <r>
      <rPr>
        <sz val="14"/>
        <color theme="1"/>
        <rFont val="Calibri"/>
        <family val="2"/>
        <scheme val="minor"/>
      </rPr>
      <t>CISTERNAS</t>
    </r>
    <r>
      <rPr>
        <sz val="14"/>
        <color rgb="FFFFFFFF"/>
        <rFont val="Calibri"/>
        <family val="2"/>
        <scheme val="minor"/>
      </rPr>
      <t> </t>
    </r>
    <r>
      <rPr>
        <sz val="14"/>
        <color theme="1"/>
        <rFont val="Calibri"/>
        <family val="2"/>
        <scheme val="minor"/>
      </rPr>
      <t>CISTERNAS</t>
    </r>
  </si>
  <si>
    <t>RIGOBERTO CASTILLO CASTILLO</t>
  </si>
  <si>
    <t xml:space="preserve">ROCÍO ALEJANDRA TAPIA MANZANO </t>
  </si>
  <si>
    <t>ROCÍO NICOLE ARANCIBIA ZAMBRA</t>
  </si>
  <si>
    <r>
      <t>RODOLFO NICOLÁS DEL</t>
    </r>
    <r>
      <rPr>
        <sz val="14"/>
        <color rgb="FFFFFFFF"/>
        <rFont val="Calibri"/>
        <family val="2"/>
        <scheme val="minor"/>
      </rPr>
      <t> </t>
    </r>
    <r>
      <rPr>
        <sz val="14"/>
        <color rgb="FF000000"/>
        <rFont val="Calibri"/>
        <family val="2"/>
        <scheme val="minor"/>
      </rPr>
      <t>CHACÓN</t>
    </r>
    <r>
      <rPr>
        <sz val="14"/>
        <color rgb="FFFFFFFF"/>
        <rFont val="Calibri"/>
        <family val="2"/>
        <scheme val="minor"/>
      </rPr>
      <t> </t>
    </r>
    <r>
      <rPr>
        <sz val="14"/>
        <color rgb="FF000000"/>
        <rFont val="Calibri"/>
        <family val="2"/>
        <scheme val="minor"/>
      </rPr>
      <t>VALLEJOS</t>
    </r>
  </si>
  <si>
    <r>
      <t>ROMAN ELIAS</t>
    </r>
    <r>
      <rPr>
        <sz val="14"/>
        <color rgb="FFFFFFFF"/>
        <rFont val="Calibri"/>
        <family val="2"/>
        <scheme val="minor"/>
      </rPr>
      <t> </t>
    </r>
    <r>
      <rPr>
        <sz val="14"/>
        <color theme="1"/>
        <rFont val="Calibri"/>
        <family val="2"/>
        <scheme val="minor"/>
      </rPr>
      <t>CABRERA</t>
    </r>
    <r>
      <rPr>
        <sz val="14"/>
        <color rgb="FFFFFFFF"/>
        <rFont val="Calibri"/>
        <family val="2"/>
        <scheme val="minor"/>
      </rPr>
      <t> </t>
    </r>
    <r>
      <rPr>
        <sz val="14"/>
        <color theme="1"/>
        <rFont val="Calibri"/>
        <family val="2"/>
        <scheme val="minor"/>
      </rPr>
      <t>LOPEZ</t>
    </r>
  </si>
  <si>
    <t>ROSA DE LAS MERCEDES RIVES PEREZ</t>
  </si>
  <si>
    <t>ROSA DE LAS NIEVES CASTILLO ARAYA</t>
  </si>
  <si>
    <t xml:space="preserve">ROSA ELIZABETH VILLARROEL HERRERA </t>
  </si>
  <si>
    <t>ROSA ESMILDA RIVERA CASTILLO</t>
  </si>
  <si>
    <t>ROSA INELDA ARAYA ARAYA</t>
  </si>
  <si>
    <t>ROXANA DEL CARMEN RIVERA POZO</t>
  </si>
  <si>
    <t>ESQUEMA POMP</t>
  </si>
  <si>
    <t>RUBEN ANTONIO ROJAS OLGUÍN</t>
  </si>
  <si>
    <t>RUBEN ANTONIO ROJAS SEGOVIA</t>
  </si>
  <si>
    <t xml:space="preserve">RUTH ASTORGA ROJAS </t>
  </si>
  <si>
    <t>SADY MARGARITA ROJAS RODRIGUEZ</t>
  </si>
  <si>
    <t>CHOP</t>
  </si>
  <si>
    <t>SANDRA INOSTROZA CARVAJAL</t>
  </si>
  <si>
    <t xml:space="preserve">SANDRA PAOLA ESCOBAR VÉLIZ </t>
  </si>
  <si>
    <t>SEGUNDO RIGOBERTO DIAZ COFRE</t>
  </si>
  <si>
    <t>SERGIO HAUYON MANTEROLA</t>
  </si>
  <si>
    <t> 8075018</t>
  </si>
  <si>
    <t>SILVIA DEL CARMEN CARMONA JOPIA</t>
  </si>
  <si>
    <t>SILVIA MERCEDES CASTILLO CASTILLO</t>
  </si>
  <si>
    <t>SILVIA RAQUEL CORTES HIDALGO</t>
  </si>
  <si>
    <t>SOFIA ALICIA CORTÉS CONTRERAS</t>
  </si>
  <si>
    <t xml:space="preserve">DESATINIB </t>
  </si>
  <si>
    <t xml:space="preserve">SOFIA DEL CARMEN RODRIGUEZ HONORES                                                                                                                                                                                                                                                                                                                                                                                                                                                                                                                                                                                                                                                                                                                                                                                                                                                                                                                                                                                                                                                                                                                                                                                                                                                                                                                                                                                                                                                                                                                                                                                                                                                                                                                                                                                                                                                                                                                                                                                                                                                                                                                                                                                                                                                                                                                                                                                 </t>
  </si>
  <si>
    <t>SOLIANN MILENS LEDEZMA ROJAS</t>
  </si>
  <si>
    <t>SONIA BOZO NUÑEZ</t>
  </si>
  <si>
    <t>SONIA DEL CARMEN QUISPE MARÍN</t>
  </si>
  <si>
    <t>TERESA MARTA ARIAS TAPIA</t>
  </si>
  <si>
    <t>PENDIENTE BP GRASA SUBCUTANEA</t>
  </si>
  <si>
    <t>TOMAS FERNANDEZ MATAMOROS</t>
  </si>
  <si>
    <t>UNIBALDO FUENTES NAVARRETE</t>
  </si>
  <si>
    <t>URBANO DEL CARMEN CASTILLO CARVAJAL</t>
  </si>
  <si>
    <t xml:space="preserve">WILLIAM ARNOLDO LAZO GODOY </t>
  </si>
  <si>
    <t>WILSON WUILLANS VIVANCO</t>
  </si>
  <si>
    <t>XIMENA DEL CARMEN CAMPUSANO CARVAJAL</t>
  </si>
  <si>
    <r>
      <t>YANET</t>
    </r>
    <r>
      <rPr>
        <sz val="14"/>
        <color rgb="FFFFFFFF"/>
        <rFont val="Calibri"/>
        <family val="2"/>
        <scheme val="minor"/>
      </rPr>
      <t> </t>
    </r>
    <r>
      <rPr>
        <sz val="14"/>
        <color theme="1"/>
        <rFont val="Calibri"/>
        <family val="2"/>
        <scheme val="minor"/>
      </rPr>
      <t>CONTRERAS</t>
    </r>
    <r>
      <rPr>
        <sz val="14"/>
        <color rgb="FFFFFFFF"/>
        <rFont val="Calibri"/>
        <family val="2"/>
        <scheme val="minor"/>
      </rPr>
      <t> </t>
    </r>
    <r>
      <rPr>
        <sz val="14"/>
        <color theme="1"/>
        <rFont val="Calibri"/>
        <family val="2"/>
        <scheme val="minor"/>
      </rPr>
      <t>SANTANDER</t>
    </r>
  </si>
  <si>
    <t>CONTROL 12M + EXAMENES</t>
  </si>
  <si>
    <t>YUDEYSI ZUNILDE PERTUZ RIVAS</t>
  </si>
  <si>
    <t>ZOILA KATERINE VILLALOBOS CORTÉS</t>
  </si>
  <si>
    <t>ZULEMA BEATRIZ CORTÉS GUTIÉRREZ</t>
  </si>
  <si>
    <t>ZULEMA DEL CARMEN PEREZ GALLEGUILLOS</t>
  </si>
  <si>
    <t>CRISTIAN JAVIER SOLIZ MASIAS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</si>
</sst>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8"/>
      <name val="Calibri"/>
      <family val="2"/>
      <scheme val="minor"/>
    </font>
    <font>
      <sz val="12"/>
      <color theme="1"/>
      <name val="Calibri"/>
      <family val="2"/>
      <scheme val="minor"/>
    </font>
    <font>
      <b/>
      <sz val="14"/>
      <color theme="1"/>
      <name val="Calibri"/>
      <family val="2"/>
      <scheme val="minor"/>
    </font>
    <font>
      <sz val="14"/>
      <color theme="1"/>
      <name val="Calibri"/>
      <family val="2"/>
      <scheme val="minor"/>
    </font>
    <font>
      <b/>
      <sz val="14"/>
      <color theme="1"/>
      <name val="Calibri"/>
      <family val="2"/>
    </font>
    <font>
      <b/>
      <sz val="14"/>
      <color rgb="FF000000"/>
      <name val="Calibri"/>
      <family val="2"/>
    </font>
    <font>
      <sz val="14"/>
      <name val="Calibri"/>
      <family val="2"/>
      <scheme val="minor"/>
    </font>
    <font>
      <sz val="14"/>
      <color rgb="FF000000"/>
      <name val="Calibri"/>
      <family val="2"/>
      <scheme val="minor"/>
    </font>
    <font>
      <b/>
      <sz val="14"/>
      <color rgb="FFFFFFFF"/>
      <name val="Calibri"/>
      <family val="2"/>
      <scheme val="minor"/>
    </font>
    <font>
      <sz val="14"/>
      <color rgb="FFFFFFFF"/>
      <name val="Calibri"/>
      <family val="2"/>
      <scheme val="minor"/>
    </font>
    <font>
      <sz val="14"/>
      <color rgb="FF333333"/>
      <name val="Calibri"/>
      <family val="2"/>
      <scheme val="minor"/>
    </font>
    <font>
      <sz val="14"/>
      <color theme="1"/>
      <name val="Calibri"/>
      <family val="2"/>
    </font>
    <font>
      <sz val="14"/>
      <color rgb="FF000000"/>
      <name val="Calibri"/>
      <family val="2"/>
    </font>
    <font>
      <sz val="14"/>
      <name val="Calibri"/>
      <family val="2"/>
    </font>
    <font>
      <b/>
      <sz val="14"/>
      <name val="Verdana"/>
      <family val="2"/>
    </font>
    <font>
      <b/>
      <sz val="14"/>
      <color rgb="FFFFFFFF"/>
      <name val="Verdana"/>
      <family val="2"/>
    </font>
    <font>
      <b/>
      <sz val="14"/>
      <color rgb="FFFFFFFF"/>
      <name val="Calibri"/>
      <family val="2"/>
    </font>
    <font>
      <sz val="14"/>
      <color rgb="FF000000"/>
      <name val="Calibri Light"/>
      <family val="2"/>
    </font>
    <font>
      <sz val="14"/>
      <color rgb="FF434343"/>
      <name val="Calibri"/>
      <family val="2"/>
    </font>
    <font>
      <sz val="14"/>
      <color rgb="FF434343"/>
      <name val="Calibri"/>
      <family val="2"/>
      <scheme val="minor"/>
    </font>
    <font>
      <sz val="14"/>
      <color rgb="FF434343"/>
      <name val="Verdana"/>
      <family val="2"/>
    </font>
    <font>
      <u/>
      <sz val="11"/>
      <color theme="10"/>
      <name val="Calibri"/>
      <family val="2"/>
      <scheme val="minor"/>
    </font>
    <font>
      <sz val="8"/>
      <color rgb="FF434343"/>
      <name val="Verdana"/>
      <family val="2"/>
    </font>
    <font>
      <sz val="11"/>
      <color rgb="FF434343"/>
      <name val="Verdana"/>
      <family val="2"/>
    </font>
    <font>
      <sz val="14"/>
      <color rgb="FF4B4B4B"/>
      <name val="Calibri"/>
      <family val="2"/>
    </font>
  </fonts>
  <fills count="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8" tint="0.79998168889431442"/>
        <bgColor indexed="64"/>
      </patternFill>
    </fill>
    <fill>
      <patternFill patternType="solid">
        <fgColor rgb="FF003366"/>
        <bgColor indexed="64"/>
      </patternFill>
    </fill>
    <fill>
      <patternFill patternType="solid">
        <fgColor theme="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auto="1"/>
      </left>
      <right style="thin">
        <color auto="1"/>
      </right>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bottom style="thin">
        <color indexed="64"/>
      </bottom>
      <diagonal/>
    </border>
    <border>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s>
  <cellStyleXfs count="2">
    <xf numFmtId="0" fontId="0" fillId="0" borderId="0"/>
    <xf numFmtId="0" fontId="22" fillId="0" borderId="0" applyNumberFormat="0" applyFill="0" applyBorder="0" applyAlignment="0" applyProtection="0"/>
  </cellStyleXfs>
  <cellXfs count="174">
    <xf numFmtId="0" fontId="0" fillId="0" borderId="0" xfId="0"/>
    <xf numFmtId="0" fontId="0" fillId="0" borderId="0" xfId="0" applyAlignment="1">
      <alignment vertical="center"/>
    </xf>
    <xf numFmtId="0" fontId="4" fillId="0" borderId="0" xfId="0" applyFont="1" applyAlignment="1">
      <alignment vertical="center"/>
    </xf>
    <xf numFmtId="0" fontId="4" fillId="0" borderId="0" xfId="0" applyFont="1" applyAlignment="1">
      <alignment horizontal="left" vertical="center"/>
    </xf>
    <xf numFmtId="0" fontId="0" fillId="2" borderId="0" xfId="0" applyFill="1" applyAlignment="1">
      <alignment vertical="center"/>
    </xf>
    <xf numFmtId="0" fontId="0" fillId="3" borderId="0" xfId="0" applyFill="1" applyAlignment="1">
      <alignment vertical="center"/>
    </xf>
    <xf numFmtId="0" fontId="4" fillId="0" borderId="8" xfId="0" applyFont="1" applyBorder="1" applyAlignment="1">
      <alignment horizontal="left" vertical="center"/>
    </xf>
    <xf numFmtId="0" fontId="5" fillId="0" borderId="12" xfId="0" applyFont="1" applyBorder="1" applyAlignment="1">
      <alignment vertical="center"/>
    </xf>
    <xf numFmtId="0" fontId="5" fillId="0" borderId="13" xfId="0" applyFont="1" applyBorder="1" applyAlignment="1">
      <alignment vertical="center"/>
    </xf>
    <xf numFmtId="0" fontId="5" fillId="0" borderId="14" xfId="0" applyFont="1" applyBorder="1" applyAlignment="1">
      <alignment vertical="center"/>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5" fillId="0" borderId="14" xfId="0" applyFont="1" applyBorder="1" applyAlignment="1">
      <alignment vertical="center" wrapText="1"/>
    </xf>
    <xf numFmtId="0" fontId="5" fillId="0" borderId="13" xfId="0" applyFont="1" applyBorder="1" applyAlignment="1">
      <alignment vertical="center" wrapText="1"/>
    </xf>
    <xf numFmtId="0" fontId="6" fillId="0" borderId="13" xfId="0" applyFont="1" applyBorder="1" applyAlignment="1">
      <alignment vertical="center" wrapText="1"/>
    </xf>
    <xf numFmtId="0" fontId="4" fillId="0" borderId="1" xfId="0" applyFont="1" applyBorder="1" applyAlignment="1">
      <alignment horizontal="center" vertical="center"/>
    </xf>
    <xf numFmtId="0" fontId="12" fillId="0" borderId="11" xfId="0" applyFont="1" applyBorder="1" applyAlignment="1">
      <alignment horizontal="left" vertical="center" wrapText="1"/>
    </xf>
    <xf numFmtId="0" fontId="12" fillId="0" borderId="2" xfId="0" applyFont="1" applyBorder="1" applyAlignment="1">
      <alignment horizontal="left" vertical="center" wrapText="1"/>
    </xf>
    <xf numFmtId="14" fontId="12" fillId="0" borderId="2" xfId="0" applyNumberFormat="1" applyFont="1" applyBorder="1" applyAlignment="1">
      <alignment horizontal="left" vertical="center" wrapText="1"/>
    </xf>
    <xf numFmtId="0" fontId="4" fillId="0" borderId="5" xfId="0" applyFont="1" applyBorder="1" applyAlignment="1">
      <alignment horizontal="left" vertical="center" wrapText="1"/>
    </xf>
    <xf numFmtId="0" fontId="13" fillId="0" borderId="1" xfId="0" applyFont="1" applyBorder="1" applyAlignment="1">
      <alignment horizontal="left" vertical="center" wrapText="1"/>
    </xf>
    <xf numFmtId="0" fontId="12" fillId="0" borderId="1" xfId="0" applyFont="1" applyBorder="1" applyAlignment="1">
      <alignment horizontal="left" vertical="center" wrapText="1"/>
    </xf>
    <xf numFmtId="14" fontId="13" fillId="0" borderId="1" xfId="0" applyNumberFormat="1" applyFont="1" applyBorder="1" applyAlignment="1">
      <alignment horizontal="left" vertical="center" wrapText="1"/>
    </xf>
    <xf numFmtId="1" fontId="12" fillId="0" borderId="1" xfId="0" applyNumberFormat="1" applyFont="1" applyBorder="1" applyAlignment="1">
      <alignment horizontal="left" vertical="center" wrapText="1"/>
    </xf>
    <xf numFmtId="14" fontId="12" fillId="0" borderId="1" xfId="0" applyNumberFormat="1" applyFont="1" applyBorder="1" applyAlignment="1">
      <alignment horizontal="left" vertical="center" wrapText="1"/>
    </xf>
    <xf numFmtId="0" fontId="14" fillId="0" borderId="1" xfId="0" applyFont="1" applyBorder="1" applyAlignment="1">
      <alignment horizontal="left" vertical="center" wrapText="1"/>
    </xf>
    <xf numFmtId="0" fontId="4" fillId="0" borderId="1" xfId="0" applyFont="1" applyBorder="1" applyAlignment="1">
      <alignment horizontal="left" vertical="center" wrapText="1"/>
    </xf>
    <xf numFmtId="0" fontId="7" fillId="0" borderId="1" xfId="0" applyFont="1" applyBorder="1" applyAlignment="1">
      <alignment horizontal="left" vertical="center" wrapText="1"/>
    </xf>
    <xf numFmtId="1" fontId="13" fillId="0" borderId="1" xfId="0" applyNumberFormat="1" applyFont="1" applyBorder="1" applyAlignment="1">
      <alignment horizontal="left" vertical="center" wrapText="1"/>
    </xf>
    <xf numFmtId="17" fontId="13" fillId="0" borderId="1" xfId="0" applyNumberFormat="1" applyFont="1" applyBorder="1" applyAlignment="1">
      <alignment horizontal="left" vertical="center" wrapText="1"/>
    </xf>
    <xf numFmtId="0" fontId="16" fillId="0" borderId="1" xfId="0" applyFont="1" applyBorder="1" applyAlignment="1">
      <alignment horizontal="left" vertical="center" wrapText="1"/>
    </xf>
    <xf numFmtId="14" fontId="14" fillId="0" borderId="1" xfId="0" applyNumberFormat="1" applyFont="1" applyBorder="1" applyAlignment="1">
      <alignment horizontal="left" vertical="center" wrapText="1"/>
    </xf>
    <xf numFmtId="0" fontId="18" fillId="0" borderId="1" xfId="0" applyFont="1" applyBorder="1" applyAlignment="1">
      <alignment horizontal="left" vertical="center" wrapText="1"/>
    </xf>
    <xf numFmtId="0" fontId="19" fillId="0" borderId="1" xfId="0" applyFont="1" applyBorder="1" applyAlignment="1">
      <alignment horizontal="left" vertical="center" wrapText="1"/>
    </xf>
    <xf numFmtId="0" fontId="4" fillId="0" borderId="1" xfId="0" applyFont="1" applyBorder="1" applyAlignment="1">
      <alignment horizontal="left" vertical="center"/>
    </xf>
    <xf numFmtId="0" fontId="20" fillId="0" borderId="1" xfId="0" applyFont="1" applyBorder="1" applyAlignment="1">
      <alignment horizontal="left" vertical="center" wrapText="1"/>
    </xf>
    <xf numFmtId="0" fontId="21" fillId="0" borderId="1" xfId="0" applyFont="1" applyBorder="1" applyAlignment="1">
      <alignment horizontal="left" vertical="center" wrapText="1"/>
    </xf>
    <xf numFmtId="0" fontId="13" fillId="0" borderId="6" xfId="0" applyFont="1" applyBorder="1" applyAlignment="1">
      <alignment horizontal="left" vertical="center" wrapText="1"/>
    </xf>
    <xf numFmtId="0" fontId="12" fillId="0" borderId="6" xfId="0" applyFont="1" applyBorder="1" applyAlignment="1">
      <alignment horizontal="left" vertical="center" wrapText="1"/>
    </xf>
    <xf numFmtId="0" fontId="8" fillId="0" borderId="1" xfId="0" applyFont="1" applyBorder="1" applyAlignment="1">
      <alignment horizontal="left" vertical="center" wrapText="1"/>
    </xf>
    <xf numFmtId="0" fontId="7" fillId="0" borderId="1" xfId="0" applyFont="1" applyBorder="1" applyAlignment="1">
      <alignment horizontal="left" vertical="center"/>
    </xf>
    <xf numFmtId="0" fontId="12" fillId="0" borderId="5" xfId="0" applyFont="1" applyBorder="1" applyAlignment="1">
      <alignment horizontal="left" vertical="center" wrapText="1"/>
    </xf>
    <xf numFmtId="0" fontId="12" fillId="0" borderId="3" xfId="0" applyFont="1" applyBorder="1" applyAlignment="1">
      <alignment horizontal="left" vertical="center" wrapText="1"/>
    </xf>
    <xf numFmtId="14" fontId="8" fillId="0" borderId="1" xfId="0" applyNumberFormat="1" applyFont="1" applyBorder="1" applyAlignment="1">
      <alignment horizontal="left" vertical="center" wrapText="1"/>
    </xf>
    <xf numFmtId="14" fontId="4" fillId="0" borderId="1" xfId="0" applyNumberFormat="1" applyFont="1" applyBorder="1" applyAlignment="1">
      <alignment horizontal="left" vertical="center" wrapText="1"/>
    </xf>
    <xf numFmtId="1" fontId="14" fillId="0" borderId="1" xfId="0" applyNumberFormat="1" applyFont="1" applyBorder="1" applyAlignment="1">
      <alignment horizontal="left" vertical="center" wrapText="1"/>
    </xf>
    <xf numFmtId="0" fontId="14" fillId="0" borderId="0" xfId="0" applyFont="1" applyAlignment="1">
      <alignment horizontal="left" vertical="center" wrapText="1"/>
    </xf>
    <xf numFmtId="1" fontId="8" fillId="0" borderId="1" xfId="0" applyNumberFormat="1" applyFont="1" applyBorder="1" applyAlignment="1">
      <alignment horizontal="left" vertical="center" wrapText="1"/>
    </xf>
    <xf numFmtId="0" fontId="8" fillId="0" borderId="2" xfId="0" applyFont="1" applyBorder="1" applyAlignment="1">
      <alignment horizontal="left" vertical="center" wrapText="1"/>
    </xf>
    <xf numFmtId="1" fontId="8" fillId="0" borderId="2" xfId="0" applyNumberFormat="1" applyFont="1" applyBorder="1" applyAlignment="1">
      <alignment horizontal="left" vertical="center" wrapText="1"/>
    </xf>
    <xf numFmtId="0" fontId="4" fillId="0" borderId="2" xfId="0" applyFont="1" applyBorder="1" applyAlignment="1">
      <alignment horizontal="left" vertical="center" wrapText="1"/>
    </xf>
    <xf numFmtId="14" fontId="8" fillId="0" borderId="2" xfId="0" applyNumberFormat="1" applyFont="1" applyBorder="1" applyAlignment="1">
      <alignment horizontal="left" vertical="center" wrapText="1"/>
    </xf>
    <xf numFmtId="14" fontId="4" fillId="0" borderId="1" xfId="0" applyNumberFormat="1" applyFont="1" applyBorder="1" applyAlignment="1">
      <alignment horizontal="left" vertical="center"/>
    </xf>
    <xf numFmtId="0" fontId="7" fillId="0" borderId="2" xfId="0" applyFont="1" applyBorder="1" applyAlignment="1">
      <alignment horizontal="left" vertical="center" wrapText="1"/>
    </xf>
    <xf numFmtId="14" fontId="4" fillId="0" borderId="2" xfId="0" applyNumberFormat="1" applyFont="1" applyBorder="1" applyAlignment="1">
      <alignment horizontal="left" vertical="center" wrapText="1"/>
    </xf>
    <xf numFmtId="0" fontId="4" fillId="0" borderId="4" xfId="0" applyFont="1" applyBorder="1" applyAlignment="1">
      <alignment horizontal="left" vertical="center" wrapText="1"/>
    </xf>
    <xf numFmtId="0" fontId="7" fillId="0" borderId="4" xfId="0" applyFont="1" applyBorder="1" applyAlignment="1">
      <alignment horizontal="left" vertical="center" wrapText="1"/>
    </xf>
    <xf numFmtId="0" fontId="8" fillId="0" borderId="4" xfId="0" applyFont="1" applyBorder="1" applyAlignment="1">
      <alignment horizontal="left" vertical="center" wrapText="1"/>
    </xf>
    <xf numFmtId="0" fontId="13" fillId="0" borderId="4" xfId="0" applyFont="1" applyBorder="1" applyAlignment="1">
      <alignment horizontal="left" vertical="center" wrapText="1"/>
    </xf>
    <xf numFmtId="0" fontId="4" fillId="0" borderId="3" xfId="0" applyFont="1" applyBorder="1" applyAlignment="1">
      <alignment horizontal="left" vertical="center" wrapText="1"/>
    </xf>
    <xf numFmtId="0" fontId="4" fillId="0" borderId="3" xfId="0" applyFont="1" applyBorder="1" applyAlignment="1">
      <alignment horizontal="left" vertical="center"/>
    </xf>
    <xf numFmtId="0" fontId="4" fillId="0" borderId="7" xfId="0" applyFont="1" applyBorder="1" applyAlignment="1">
      <alignment horizontal="left" vertical="center"/>
    </xf>
    <xf numFmtId="0" fontId="4" fillId="0" borderId="4" xfId="0" applyFont="1" applyBorder="1" applyAlignment="1">
      <alignment horizontal="left" vertical="center"/>
    </xf>
    <xf numFmtId="0" fontId="4" fillId="0" borderId="1" xfId="0" applyFont="1" applyBorder="1" applyAlignment="1">
      <alignment wrapText="1"/>
    </xf>
    <xf numFmtId="0" fontId="4" fillId="0" borderId="1" xfId="0" applyFont="1" applyBorder="1"/>
    <xf numFmtId="0" fontId="4" fillId="0" borderId="1" xfId="0" applyFont="1" applyBorder="1" applyAlignment="1">
      <alignment horizontal="left" wrapText="1"/>
    </xf>
    <xf numFmtId="1" fontId="4" fillId="0" borderId="1" xfId="0" applyNumberFormat="1" applyFont="1" applyBorder="1" applyAlignment="1">
      <alignment horizontal="left" vertical="center" wrapText="1"/>
    </xf>
    <xf numFmtId="0" fontId="2" fillId="0" borderId="0" xfId="0" applyFont="1" applyAlignment="1">
      <alignment vertical="center"/>
    </xf>
    <xf numFmtId="0" fontId="4" fillId="0" borderId="1" xfId="0" applyFont="1" applyBorder="1" applyAlignment="1">
      <alignment vertical="center" wrapText="1"/>
    </xf>
    <xf numFmtId="0" fontId="4" fillId="0" borderId="1" xfId="0" applyFont="1" applyBorder="1" applyAlignment="1">
      <alignment vertical="center"/>
    </xf>
    <xf numFmtId="0" fontId="4" fillId="0" borderId="4" xfId="0" applyFont="1" applyBorder="1" applyAlignment="1">
      <alignment vertical="center" wrapText="1"/>
    </xf>
    <xf numFmtId="0" fontId="0" fillId="0" borderId="1" xfId="0" applyBorder="1" applyAlignment="1">
      <alignment vertical="center"/>
    </xf>
    <xf numFmtId="1" fontId="7" fillId="0" borderId="1" xfId="0" applyNumberFormat="1" applyFont="1" applyBorder="1" applyAlignment="1">
      <alignment horizontal="left" vertical="center" wrapText="1"/>
    </xf>
    <xf numFmtId="14" fontId="7" fillId="0" borderId="1" xfId="0" applyNumberFormat="1" applyFont="1" applyBorder="1" applyAlignment="1">
      <alignment horizontal="left" vertical="center" wrapText="1"/>
    </xf>
    <xf numFmtId="0" fontId="7" fillId="0" borderId="6" xfId="0" applyFont="1" applyBorder="1" applyAlignment="1">
      <alignment horizontal="left" vertical="center" wrapText="1"/>
    </xf>
    <xf numFmtId="17" fontId="4" fillId="0" borderId="1" xfId="0" applyNumberFormat="1" applyFont="1" applyBorder="1" applyAlignment="1">
      <alignment horizontal="left" vertical="center" wrapText="1"/>
    </xf>
    <xf numFmtId="0" fontId="4" fillId="0" borderId="2" xfId="0" applyFont="1" applyBorder="1" applyAlignment="1">
      <alignment horizontal="left" vertical="center"/>
    </xf>
    <xf numFmtId="0" fontId="4" fillId="0" borderId="6" xfId="0" applyFont="1" applyBorder="1" applyAlignment="1">
      <alignment horizontal="left" vertical="center"/>
    </xf>
    <xf numFmtId="0" fontId="4" fillId="0" borderId="6" xfId="0" applyFont="1" applyBorder="1" applyAlignment="1">
      <alignment horizontal="left" vertical="center" wrapText="1"/>
    </xf>
    <xf numFmtId="0" fontId="0" fillId="0" borderId="0" xfId="0" applyAlignment="1">
      <alignment horizontal="left" vertical="center"/>
    </xf>
    <xf numFmtId="0" fontId="10" fillId="0" borderId="1" xfId="0" applyFont="1" applyBorder="1" applyAlignment="1">
      <alignment horizontal="left" vertical="center" wrapText="1"/>
    </xf>
    <xf numFmtId="0" fontId="7" fillId="0" borderId="3" xfId="0" applyFont="1" applyBorder="1" applyAlignment="1">
      <alignment horizontal="left" vertical="center" wrapText="1"/>
    </xf>
    <xf numFmtId="0" fontId="4"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14" fontId="4" fillId="0" borderId="0" xfId="0" applyNumberFormat="1" applyFont="1" applyAlignment="1">
      <alignment vertical="center" wrapText="1"/>
    </xf>
    <xf numFmtId="0" fontId="7" fillId="0" borderId="0" xfId="0" applyFont="1" applyAlignment="1">
      <alignment vertical="center"/>
    </xf>
    <xf numFmtId="0" fontId="7" fillId="4" borderId="0" xfId="0" applyFont="1" applyFill="1" applyAlignment="1">
      <alignment vertical="center"/>
    </xf>
    <xf numFmtId="0" fontId="0" fillId="4" borderId="0" xfId="0" applyFill="1" applyAlignment="1">
      <alignment vertical="center"/>
    </xf>
    <xf numFmtId="0" fontId="4" fillId="5" borderId="0" xfId="0" applyFont="1" applyFill="1" applyAlignment="1">
      <alignment vertical="center" wrapText="1"/>
    </xf>
    <xf numFmtId="0" fontId="4" fillId="5" borderId="0" xfId="0" applyFont="1" applyFill="1" applyAlignment="1">
      <alignment vertical="center"/>
    </xf>
    <xf numFmtId="0" fontId="4" fillId="5" borderId="0" xfId="0" applyFont="1" applyFill="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center" vertical="center"/>
    </xf>
    <xf numFmtId="0" fontId="4" fillId="5" borderId="0" xfId="0" applyFont="1" applyFill="1" applyAlignment="1">
      <alignment horizontal="left" vertical="center" wrapText="1"/>
    </xf>
    <xf numFmtId="0" fontId="8" fillId="0" borderId="0" xfId="0" applyFont="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left" vertical="center" wrapText="1"/>
    </xf>
    <xf numFmtId="0" fontId="7" fillId="0" borderId="0" xfId="0" applyFont="1" applyAlignment="1">
      <alignment horizontal="left" vertical="center"/>
    </xf>
    <xf numFmtId="0" fontId="7" fillId="4" borderId="0" xfId="0" applyFont="1" applyFill="1" applyAlignment="1">
      <alignment horizontal="left" vertical="center"/>
    </xf>
    <xf numFmtId="1" fontId="4" fillId="0" borderId="0" xfId="0" applyNumberFormat="1" applyFont="1" applyAlignment="1">
      <alignment horizontal="left" vertical="center" wrapText="1"/>
    </xf>
    <xf numFmtId="1" fontId="8" fillId="0" borderId="0" xfId="0" applyNumberFormat="1" applyFont="1" applyAlignment="1">
      <alignment horizontal="left" vertical="center" wrapText="1"/>
    </xf>
    <xf numFmtId="1" fontId="7" fillId="0" borderId="0" xfId="0" applyNumberFormat="1" applyFont="1" applyAlignment="1">
      <alignment horizontal="left" vertical="center" wrapText="1"/>
    </xf>
    <xf numFmtId="3" fontId="8" fillId="0" borderId="0" xfId="0" applyNumberFormat="1" applyFont="1" applyAlignment="1">
      <alignment horizontal="left"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7" fillId="4" borderId="0" xfId="0" applyFont="1" applyFill="1" applyAlignment="1">
      <alignment horizontal="left" vertical="center" wrapText="1"/>
    </xf>
    <xf numFmtId="14" fontId="4" fillId="0" borderId="0" xfId="0" applyNumberFormat="1" applyFont="1" applyAlignment="1">
      <alignment horizontal="left" vertical="center" wrapText="1"/>
    </xf>
    <xf numFmtId="14" fontId="8" fillId="0" borderId="0" xfId="0" applyNumberFormat="1" applyFont="1" applyAlignment="1">
      <alignment horizontal="left" vertical="center" wrapText="1"/>
    </xf>
    <xf numFmtId="14" fontId="4" fillId="0" borderId="0" xfId="0" applyNumberFormat="1" applyFont="1" applyAlignment="1">
      <alignment horizontal="left" vertical="center"/>
    </xf>
    <xf numFmtId="14" fontId="7" fillId="0" borderId="0" xfId="0" applyNumberFormat="1" applyFont="1" applyAlignment="1">
      <alignment horizontal="left" vertical="center" wrapText="1"/>
    </xf>
    <xf numFmtId="17" fontId="7" fillId="0" borderId="0" xfId="0" applyNumberFormat="1" applyFont="1" applyAlignment="1">
      <alignment horizontal="left" vertical="center" wrapText="1"/>
    </xf>
    <xf numFmtId="17" fontId="8" fillId="0" borderId="0" xfId="0" applyNumberFormat="1" applyFont="1" applyAlignment="1">
      <alignment horizontal="left" vertical="center" wrapText="1"/>
    </xf>
    <xf numFmtId="0" fontId="25" fillId="0" borderId="0" xfId="0" applyFont="1" applyAlignment="1">
      <alignment horizontal="left" vertical="center"/>
    </xf>
    <xf numFmtId="14" fontId="7" fillId="0" borderId="0" xfId="0" applyNumberFormat="1" applyFont="1" applyAlignment="1">
      <alignment horizontal="left" vertical="center"/>
    </xf>
    <xf numFmtId="0" fontId="8" fillId="4" borderId="0" xfId="0" applyFont="1" applyFill="1" applyAlignment="1">
      <alignment horizontal="left" vertical="center" wrapText="1"/>
    </xf>
    <xf numFmtId="0" fontId="22" fillId="0" borderId="0" xfId="1" applyFill="1" applyBorder="1" applyAlignment="1">
      <alignment horizontal="left" vertical="center" wrapText="1"/>
    </xf>
    <xf numFmtId="0" fontId="0" fillId="0" borderId="0" xfId="0" applyAlignment="1">
      <alignment horizontal="left" vertical="center" wrapText="1"/>
    </xf>
    <xf numFmtId="0" fontId="23" fillId="0" borderId="0" xfId="0" applyFont="1" applyAlignment="1">
      <alignment horizontal="left" vertical="center"/>
    </xf>
    <xf numFmtId="0" fontId="24" fillId="0" borderId="0" xfId="0" applyFont="1" applyAlignment="1">
      <alignment horizontal="left" vertical="center"/>
    </xf>
    <xf numFmtId="14" fontId="0" fillId="0" borderId="0" xfId="0" applyNumberFormat="1" applyAlignment="1">
      <alignment horizontal="left" vertical="center"/>
    </xf>
    <xf numFmtId="0" fontId="4" fillId="4" borderId="0" xfId="0" applyFont="1" applyFill="1" applyAlignment="1">
      <alignment horizontal="left" vertical="center"/>
    </xf>
    <xf numFmtId="0" fontId="4" fillId="4" borderId="0" xfId="0" applyFont="1" applyFill="1" applyAlignment="1">
      <alignment horizontal="left" vertical="center" wrapText="1"/>
    </xf>
    <xf numFmtId="0" fontId="0" fillId="0" borderId="0" xfId="0" applyAlignment="1">
      <alignment horizontal="left" wrapText="1"/>
    </xf>
    <xf numFmtId="0" fontId="4" fillId="4" borderId="0" xfId="0" applyFont="1" applyFill="1" applyAlignment="1">
      <alignment horizontal="center" vertical="center" wrapText="1"/>
    </xf>
    <xf numFmtId="0" fontId="4" fillId="0" borderId="4" xfId="0" applyFont="1" applyBorder="1" applyAlignment="1">
      <alignment horizontal="center" vertical="center"/>
    </xf>
    <xf numFmtId="0" fontId="4" fillId="0" borderId="16" xfId="0" applyFont="1" applyBorder="1" applyAlignment="1">
      <alignment horizontal="left" vertical="center"/>
    </xf>
    <xf numFmtId="0" fontId="7" fillId="0" borderId="16" xfId="0" applyFont="1" applyBorder="1" applyAlignment="1">
      <alignment horizontal="left" vertical="center" wrapText="1"/>
    </xf>
    <xf numFmtId="0" fontId="4" fillId="0" borderId="16" xfId="0" applyFont="1" applyBorder="1" applyAlignment="1">
      <alignment horizontal="left" vertical="center" wrapText="1"/>
    </xf>
    <xf numFmtId="0" fontId="8" fillId="0" borderId="16" xfId="0" applyFont="1" applyBorder="1" applyAlignment="1">
      <alignment horizontal="left" vertical="center" wrapText="1"/>
    </xf>
    <xf numFmtId="0" fontId="12" fillId="0" borderId="0" xfId="0" applyFont="1" applyAlignment="1">
      <alignment horizontal="left" vertical="center" wrapText="1"/>
    </xf>
    <xf numFmtId="14" fontId="4" fillId="0" borderId="16" xfId="0" applyNumberFormat="1" applyFont="1" applyBorder="1" applyAlignment="1">
      <alignment horizontal="left" vertical="center"/>
    </xf>
    <xf numFmtId="0" fontId="10" fillId="0" borderId="16" xfId="0" applyFont="1" applyBorder="1" applyAlignment="1">
      <alignment horizontal="left" vertical="center" wrapText="1"/>
    </xf>
    <xf numFmtId="14" fontId="8" fillId="0" borderId="16" xfId="0" applyNumberFormat="1" applyFont="1" applyBorder="1" applyAlignment="1">
      <alignment horizontal="left" vertical="center" wrapText="1"/>
    </xf>
    <xf numFmtId="0" fontId="8" fillId="0" borderId="16" xfId="0" applyFont="1" applyBorder="1" applyAlignment="1">
      <alignment vertical="center" wrapText="1"/>
    </xf>
    <xf numFmtId="0" fontId="4" fillId="0" borderId="18" xfId="0" applyFont="1" applyBorder="1" applyAlignment="1">
      <alignment horizontal="left" vertical="center" wrapText="1"/>
    </xf>
    <xf numFmtId="0" fontId="4" fillId="0" borderId="15" xfId="0" applyFont="1" applyBorder="1" applyAlignment="1">
      <alignment horizontal="left" vertical="center" wrapText="1"/>
    </xf>
    <xf numFmtId="0" fontId="7" fillId="0" borderId="15" xfId="0" applyFont="1" applyBorder="1" applyAlignment="1">
      <alignment horizontal="left" vertical="center" wrapText="1"/>
    </xf>
    <xf numFmtId="0" fontId="4" fillId="0" borderId="15" xfId="0" applyFont="1" applyBorder="1" applyAlignment="1">
      <alignment horizontal="left" vertical="center"/>
    </xf>
    <xf numFmtId="0" fontId="8" fillId="0" borderId="15" xfId="0" applyFont="1" applyBorder="1" applyAlignment="1">
      <alignment horizontal="left" vertical="center" wrapText="1"/>
    </xf>
    <xf numFmtId="0" fontId="4" fillId="0" borderId="15" xfId="0" applyFont="1" applyBorder="1" applyAlignment="1">
      <alignment vertical="center" wrapText="1"/>
    </xf>
    <xf numFmtId="0" fontId="4" fillId="6" borderId="16" xfId="0" applyFont="1" applyFill="1" applyBorder="1" applyAlignment="1">
      <alignment horizontal="left" vertical="center" wrapText="1"/>
    </xf>
    <xf numFmtId="0" fontId="4" fillId="6" borderId="16" xfId="0" applyFont="1" applyFill="1" applyBorder="1" applyAlignment="1">
      <alignment horizontal="left" vertical="center"/>
    </xf>
    <xf numFmtId="0" fontId="8" fillId="6" borderId="16" xfId="0" applyFont="1" applyFill="1" applyBorder="1" applyAlignment="1">
      <alignment horizontal="left" vertical="center" wrapText="1"/>
    </xf>
    <xf numFmtId="14" fontId="4" fillId="6" borderId="16" xfId="0" applyNumberFormat="1" applyFont="1" applyFill="1" applyBorder="1" applyAlignment="1">
      <alignment horizontal="left" vertical="center"/>
    </xf>
    <xf numFmtId="0" fontId="0" fillId="6" borderId="0" xfId="0" applyFill="1"/>
    <xf numFmtId="0" fontId="7" fillId="0" borderId="15" xfId="0" applyFont="1" applyBorder="1" applyAlignment="1">
      <alignment horizontal="left" vertical="center"/>
    </xf>
    <xf numFmtId="0" fontId="4" fillId="6" borderId="15" xfId="0" applyFont="1" applyFill="1" applyBorder="1" applyAlignment="1">
      <alignment horizontal="left" vertical="center" wrapText="1"/>
    </xf>
    <xf numFmtId="0" fontId="4" fillId="6" borderId="15" xfId="0" applyFont="1" applyFill="1" applyBorder="1" applyAlignment="1">
      <alignment horizontal="left" vertical="center"/>
    </xf>
    <xf numFmtId="0" fontId="7" fillId="6" borderId="15" xfId="0" applyFont="1" applyFill="1" applyBorder="1" applyAlignment="1">
      <alignment horizontal="left" vertical="center" wrapText="1"/>
    </xf>
    <xf numFmtId="0" fontId="8" fillId="6" borderId="15" xfId="0" applyFont="1" applyFill="1" applyBorder="1" applyAlignment="1">
      <alignment horizontal="left" vertical="center" wrapText="1"/>
    </xf>
    <xf numFmtId="14" fontId="8" fillId="6" borderId="15" xfId="0" applyNumberFormat="1" applyFont="1" applyFill="1" applyBorder="1" applyAlignment="1">
      <alignment horizontal="left" vertical="center" wrapText="1"/>
    </xf>
    <xf numFmtId="0" fontId="8" fillId="6" borderId="15" xfId="0" applyFont="1" applyFill="1" applyBorder="1" applyAlignment="1">
      <alignment vertical="center" wrapText="1"/>
    </xf>
    <xf numFmtId="14" fontId="4" fillId="0" borderId="15" xfId="0" applyNumberFormat="1" applyFont="1" applyBorder="1" applyAlignment="1">
      <alignment horizontal="left" vertical="center"/>
    </xf>
    <xf numFmtId="0" fontId="4" fillId="0" borderId="16" xfId="0" applyFont="1" applyBorder="1" applyAlignment="1">
      <alignment vertical="center" wrapText="1"/>
    </xf>
    <xf numFmtId="0" fontId="7" fillId="0" borderId="15" xfId="0" applyFont="1" applyBorder="1" applyAlignment="1">
      <alignment vertical="center" wrapText="1"/>
    </xf>
    <xf numFmtId="0" fontId="5" fillId="0" borderId="10" xfId="0" applyFont="1" applyBorder="1" applyAlignment="1">
      <alignment horizontal="center" vertical="center" wrapText="1"/>
    </xf>
    <xf numFmtId="0" fontId="4" fillId="0" borderId="17" xfId="0" applyFont="1" applyBorder="1" applyAlignment="1">
      <alignment vertical="center" wrapText="1"/>
    </xf>
    <xf numFmtId="0" fontId="0" fillId="0" borderId="0" xfId="0" applyAlignment="1">
      <alignment wrapText="1"/>
    </xf>
    <xf numFmtId="1" fontId="4" fillId="0" borderId="16" xfId="0" applyNumberFormat="1" applyFont="1" applyBorder="1" applyAlignment="1">
      <alignment horizontal="left" vertical="center" wrapText="1"/>
    </xf>
    <xf numFmtId="14" fontId="4" fillId="0" borderId="16" xfId="0" applyNumberFormat="1" applyFont="1" applyBorder="1" applyAlignment="1">
      <alignment horizontal="left" vertical="center" wrapText="1"/>
    </xf>
    <xf numFmtId="0" fontId="4" fillId="0" borderId="2" xfId="0" applyFont="1" applyBorder="1" applyAlignment="1">
      <alignment horizontal="left" vertical="top" wrapText="1"/>
    </xf>
    <xf numFmtId="0" fontId="4" fillId="6" borderId="16" xfId="0" applyFont="1" applyFill="1" applyBorder="1" applyAlignment="1">
      <alignment vertical="center" wrapText="1"/>
    </xf>
    <xf numFmtId="0" fontId="4" fillId="6" borderId="15" xfId="0" applyFont="1" applyFill="1" applyBorder="1" applyAlignment="1">
      <alignment vertical="center"/>
    </xf>
    <xf numFmtId="0" fontId="7" fillId="6" borderId="16" xfId="0" applyFont="1" applyFill="1" applyBorder="1" applyAlignment="1">
      <alignment horizontal="left" vertical="center" wrapText="1"/>
    </xf>
    <xf numFmtId="0" fontId="4" fillId="6" borderId="16" xfId="0" applyFont="1" applyFill="1" applyBorder="1" applyAlignment="1">
      <alignment vertical="center"/>
    </xf>
    <xf numFmtId="14" fontId="7" fillId="6" borderId="16" xfId="0" applyNumberFormat="1" applyFont="1" applyFill="1" applyBorder="1" applyAlignment="1">
      <alignment horizontal="left" vertical="center" wrapText="1"/>
    </xf>
    <xf numFmtId="0" fontId="4" fillId="0" borderId="15" xfId="0" applyFont="1" applyBorder="1" applyAlignment="1">
      <alignment horizontal="center" vertical="center"/>
    </xf>
    <xf numFmtId="0" fontId="4" fillId="6" borderId="0" xfId="0" applyFont="1" applyFill="1" applyAlignment="1">
      <alignment horizontal="left" vertical="center" wrapText="1"/>
    </xf>
    <xf numFmtId="0" fontId="4" fillId="6" borderId="0" xfId="0" applyFont="1" applyFill="1" applyAlignment="1">
      <alignment horizontal="left" vertical="center"/>
    </xf>
    <xf numFmtId="0" fontId="8" fillId="6" borderId="0" xfId="0" applyFont="1" applyFill="1" applyAlignment="1">
      <alignment horizontal="left" vertical="center" wrapText="1"/>
    </xf>
    <xf numFmtId="0" fontId="4" fillId="0" borderId="19" xfId="0" applyFont="1" applyBorder="1" applyAlignment="1">
      <alignment horizontal="center" vertical="center"/>
    </xf>
    <xf numFmtId="0" fontId="7" fillId="0" borderId="16" xfId="0" applyFont="1" applyBorder="1" applyAlignment="1">
      <alignment horizontal="left" vertical="center"/>
    </xf>
    <xf numFmtId="0" fontId="4" fillId="0" borderId="16" xfId="0" applyFont="1" applyBorder="1" applyAlignment="1">
      <alignment vertical="center"/>
    </xf>
  </cellXfs>
  <cellStyles count="2">
    <cellStyle name="Hipervínculo" xfId="1" builtinId="8"/>
    <cellStyle name="Normal" xfId="0" builtinId="0"/>
  </cellStyles>
  <dxfs count="29">
    <dxf>
      <font>
        <b val="0"/>
        <i val="0"/>
        <strike val="0"/>
        <condense val="0"/>
        <extend val="0"/>
        <outline val="0"/>
        <shadow val="0"/>
        <u val="none"/>
        <vertAlign val="baseline"/>
        <sz val="14"/>
        <color theme="1"/>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numFmt numFmtId="19" formatCode="dd/mm/yyyy"/>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numFmt numFmtId="19" formatCode="dd/mm/yyyy"/>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theme="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rgb="FF000000"/>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4"/>
        <color auto="1"/>
        <name val="Calibri"/>
        <family val="2"/>
        <scheme val="minor"/>
      </font>
      <fill>
        <patternFill patternType="none">
          <fgColor indexed="64"/>
          <bgColor indexed="65"/>
        </patternFill>
      </fill>
      <alignment horizontal="left" vertical="center" textRotation="0" wrapText="0" indent="0" justifyLastLine="0" shrinkToFit="0" readingOrder="0"/>
    </dxf>
    <dxf>
      <fill>
        <patternFill patternType="none"/>
      </fill>
      <alignment horizontal="left" vertical="center"/>
    </dxf>
    <dxf>
      <font>
        <b val="0"/>
        <i val="0"/>
        <strike val="0"/>
        <condense val="0"/>
        <extend val="0"/>
        <outline val="0"/>
        <shadow val="0"/>
        <u val="none"/>
        <vertAlign val="baseline"/>
        <sz val="14"/>
        <color theme="1"/>
        <name val="Calibri"/>
        <family val="2"/>
        <scheme val="minor"/>
      </font>
      <fill>
        <patternFill patternType="none">
          <fgColor indexed="64"/>
          <bgColor indexed="65"/>
        </patternFill>
      </fill>
      <alignment horizontal="left" vertical="center" textRotation="0" wrapText="1" indent="0" justifyLastLine="0" shrinkToFit="0" readingOrder="0"/>
    </dxf>
    <dxf>
      <font>
        <b val="0"/>
        <i val="0"/>
        <strike val="0"/>
        <condense val="0"/>
        <extend val="0"/>
        <outline val="0"/>
        <shadow val="0"/>
        <u val="none"/>
        <vertAlign val="baseline"/>
        <sz val="14"/>
        <color theme="1"/>
        <name val="Calibri"/>
        <family val="2"/>
        <scheme val="minor"/>
      </font>
      <fill>
        <patternFill patternType="none">
          <fgColor indexed="64"/>
          <bgColor indexed="65"/>
        </patternFill>
      </fill>
      <alignment horizontal="center" vertical="center" textRotation="0" wrapText="1" indent="0" justifyLastLine="0" shrinkToFit="0" readingOrder="0"/>
    </dxf>
    <dxf>
      <border>
        <left/>
        <right/>
        <top/>
        <bottom/>
      </border>
    </dxf>
    <dxf>
      <fill>
        <patternFill patternType="none"/>
      </fill>
      <alignment horizontal="general" vertical="center"/>
    </dxf>
    <dxf>
      <font>
        <b val="0"/>
        <i val="0"/>
        <strike val="0"/>
        <condense val="0"/>
        <extend val="0"/>
        <outline val="0"/>
        <shadow val="0"/>
        <u val="none"/>
        <vertAlign val="baseline"/>
        <sz val="14"/>
        <color theme="1"/>
        <name val="Calibri"/>
        <family val="2"/>
        <scheme val="minor"/>
      </font>
      <fill>
        <patternFill patternType="solid">
          <fgColor indexed="64"/>
          <bgColor rgb="FF003366"/>
        </patternFill>
      </fill>
      <alignment horizontal="general" vertical="center" textRotation="0" wrapText="1" indent="0" justifyLastLine="0" shrinkToFit="0" readingOrder="0"/>
      <border diagonalUp="0" diagonalDown="0">
        <left style="medium">
          <color indexed="64"/>
        </left>
        <right style="medium">
          <color indexed="64"/>
        </right>
        <top/>
        <bottom/>
      </border>
    </dxf>
  </dxfs>
  <tableStyles count="0" defaultTableStyle="TableStyleMedium2" defaultPivotStyle="PivotStyleLight16"/>
  <colors>
    <mruColors>
      <color rgb="FFFAD5FB"/>
      <color rgb="FFF399F5"/>
      <color rgb="FF003366"/>
      <color rgb="FFD6C3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2FA151-1354-4B43-9365-78C41BDA33DD}" name="BC_HEM" displayName="BC_HEM" ref="A1:Z272" totalsRowShown="0" headerRowDxfId="28" dataDxfId="27" tableBorderDxfId="26">
  <autoFilter ref="A1:Z272" xr:uid="{5B2FA151-1354-4B43-9365-78C41BDA33DD}">
    <filterColumn colId="2">
      <filters>
        <filter val="LUCINDA MOYA ORELLANA"/>
      </filters>
    </filterColumn>
  </autoFilter>
  <sortState xmlns:xlrd2="http://schemas.microsoft.com/office/spreadsheetml/2017/richdata2" ref="A2:Z272">
    <sortCondition ref="C1:C272"/>
  </sortState>
  <tableColumns count="26">
    <tableColumn id="1" xr3:uid="{31AA0E59-641F-4176-8F84-43A9FB004567}" name="N°" dataDxfId="25">
      <calculatedColumnFormula>ROW() - ROW(BC_HEM[[#Headers],[N°]]) + 2</calculatedColumnFormula>
    </tableColumn>
    <tableColumn id="2" xr3:uid="{70C77DB3-D772-4683-916F-B7D0A7E652D0}" name="GES" dataDxfId="24"/>
    <tableColumn id="3" xr3:uid="{0FE1F1A7-6ABB-4E77-A0F8-BBF17EBBACC8}" name="NOMBRE" dataDxfId="23"/>
    <tableColumn id="4" xr3:uid="{CD1CD593-DD20-4252-B35D-7F4A6A7BA1AF}" name="RUT " dataDxfId="22"/>
    <tableColumn id="5" xr3:uid="{2521B043-E2F8-41FC-8D6F-759A9EF038B6}" name="DV" dataDxfId="21"/>
    <tableColumn id="6" xr3:uid="{03219A10-64D1-4A23-B070-7EB554975D6D}" name="EDAD" dataDxfId="20"/>
    <tableColumn id="7" xr3:uid="{7E1C29AA-42FC-42D4-A216-1654354F3BE8}" name="COMUNA" dataDxfId="19"/>
    <tableColumn id="8" xr3:uid="{88E7EDC6-7921-4081-8C54-F52120F3E7CC}" name="DIAGNOSTICO" dataDxfId="18"/>
    <tableColumn id="9" xr3:uid="{632FE470-D132-4380-92F1-DB456BE6B16E}" name="AÑO DG" dataDxfId="17"/>
    <tableColumn id="10" xr3:uid="{1683686B-4EB7-41A1-BCF6-3DCACA7F8DA0}" name="F. DIAG" dataDxfId="16"/>
    <tableColumn id="11" xr3:uid="{23E8FDAD-CA44-4A32-AFFE-62FFB4E25BA6}" name="CPYAD" dataDxfId="15"/>
    <tableColumn id="12" xr3:uid="{E067D53D-7DF9-4DE7-A02B-6CA9F0C68417}" name="ETAPA" dataDxfId="14"/>
    <tableColumn id="13" xr3:uid="{3C757BC0-11D3-40D3-9D16-FF49402FC10E}" name="F. COMITÉ" dataDxfId="13"/>
    <tableColumn id="14" xr3:uid="{AE735BE1-390A-41EF-B094-68891B506627}" name="COMITÉ" dataDxfId="12"/>
    <tableColumn id="15" xr3:uid="{53C74A92-6675-43C8-854E-E1D3EC1C2A40}" name="CENTRO DERIVACIÓN" dataDxfId="11"/>
    <tableColumn id="16" xr3:uid="{478FFA4E-7E55-4138-BAA8-CF8D42A1F768}" name="ESTADO" dataDxfId="10"/>
    <tableColumn id="17" xr3:uid="{B96A3ED6-9216-44DB-9883-569DF726D6D8}" name="CAUSAL" dataDxfId="9"/>
    <tableColumn id="18" xr3:uid="{B62898AF-7B9A-461F-B1E7-82A02555D6EB}" name="SEG. ENFER" dataDxfId="8"/>
    <tableColumn id="19" xr3:uid="{F896A82A-9AFD-4562-9B4F-53CA71434CF2}" name="TTO" dataDxfId="7"/>
    <tableColumn id="20" xr3:uid="{E7E07665-3892-40FD-8DC6-D946C26B4ABB}" name="PERIODICIDAD" dataDxfId="6"/>
    <tableColumn id="21" xr3:uid="{374DAF33-98FE-4B36-AF77-EE1B9EA22AC8}" name="PROFESIONAL " dataDxfId="5"/>
    <tableColumn id="22" xr3:uid="{FB706E44-B0BD-42E4-AB91-2137A7ADD3EB}" name="F.U. CONTROL " dataDxfId="4"/>
    <tableColumn id="23" xr3:uid="{F47E42C4-3A67-4EFF-A1E4-8C863EC28206}" name="P.CONTROL" dataDxfId="3"/>
    <tableColumn id="24" xr3:uid="{EBD99C02-6182-4A3A-8E22-EC3333170A9D}" name="DIAS  P." dataDxfId="2">
      <calculatedColumnFormula>W2-TODAY()</calculatedColumnFormula>
    </tableColumn>
    <tableColumn id="25" xr3:uid="{07E6E007-20B1-428D-BBC6-A43FA5AB9E9E}" name="ESTADO " dataDxfId="1">
      <calculatedColumnFormula>IF(X2&gt;=60,"Vigente",IF(AND(X2&gt;=1,X2&lt;=59),"Por Vencer","Vencido"))</calculatedColumnFormula>
    </tableColumn>
    <tableColumn id="26" xr3:uid="{4DDF4453-4361-4D67-8BE8-9D9023ED9350}" name="IMPORTANTE"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180"/>
  <sheetViews>
    <sheetView topLeftCell="A174" zoomScaleNormal="100" workbookViewId="0">
      <selection activeCell="C184" sqref="C184"/>
    </sheetView>
  </sheetViews>
  <sheetFormatPr defaultColWidth="11.42578125" defaultRowHeight="15"/>
  <cols>
    <col min="1" max="1" width="6" customWidth="1"/>
    <col min="2" max="2" width="10.42578125" customWidth="1"/>
    <col min="3" max="3" width="49.7109375" customWidth="1"/>
    <col min="4" max="4" width="14.5703125" customWidth="1"/>
    <col min="5" max="5" width="8.140625" customWidth="1"/>
    <col min="6" max="6" width="8.5703125" customWidth="1"/>
    <col min="7" max="7" width="20.7109375" customWidth="1"/>
    <col min="8" max="8" width="27.28515625" customWidth="1"/>
    <col min="9" max="13" width="20.7109375" customWidth="1"/>
    <col min="14" max="14" width="23.28515625" customWidth="1"/>
    <col min="15" max="16" width="20.7109375" customWidth="1"/>
    <col min="17" max="17" width="60.5703125" style="158" customWidth="1"/>
    <col min="18" max="18" width="64.7109375" customWidth="1"/>
  </cols>
  <sheetData>
    <row r="1" spans="1:18" ht="41.25" customHeight="1">
      <c r="A1" s="6" t="s">
        <v>0</v>
      </c>
      <c r="B1" s="7" t="s">
        <v>1</v>
      </c>
      <c r="C1" s="8" t="s">
        <v>2</v>
      </c>
      <c r="D1" s="8" t="s">
        <v>3</v>
      </c>
      <c r="E1" s="7" t="s">
        <v>4</v>
      </c>
      <c r="F1" s="9" t="s">
        <v>5</v>
      </c>
      <c r="G1" s="9" t="s">
        <v>6</v>
      </c>
      <c r="H1" s="10" t="s">
        <v>7</v>
      </c>
      <c r="I1" s="7" t="s">
        <v>8</v>
      </c>
      <c r="J1" s="11" t="s">
        <v>9</v>
      </c>
      <c r="K1" s="12" t="s">
        <v>10</v>
      </c>
      <c r="L1" s="9" t="s">
        <v>11</v>
      </c>
      <c r="M1" s="12" t="s">
        <v>12</v>
      </c>
      <c r="N1" s="12" t="s">
        <v>13</v>
      </c>
      <c r="O1" s="13" t="s">
        <v>14</v>
      </c>
      <c r="P1" s="7" t="s">
        <v>15</v>
      </c>
      <c r="Q1" s="156" t="s">
        <v>16</v>
      </c>
      <c r="R1" s="14" t="s">
        <v>17</v>
      </c>
    </row>
    <row r="2" spans="1:18" ht="50.25" customHeight="1">
      <c r="A2" s="15">
        <v>1</v>
      </c>
      <c r="B2" s="16" t="s">
        <v>18</v>
      </c>
      <c r="C2" s="17" t="s">
        <v>19</v>
      </c>
      <c r="D2" s="17">
        <v>4752796</v>
      </c>
      <c r="E2" s="17">
        <v>1</v>
      </c>
      <c r="F2" s="17">
        <v>86</v>
      </c>
      <c r="G2" s="17" t="s">
        <v>20</v>
      </c>
      <c r="H2" s="17" t="s">
        <v>21</v>
      </c>
      <c r="I2" s="17">
        <v>2023</v>
      </c>
      <c r="J2" s="18">
        <v>45139</v>
      </c>
      <c r="K2" s="17" t="s">
        <v>22</v>
      </c>
      <c r="L2" s="17" t="s">
        <v>23</v>
      </c>
      <c r="M2" s="18">
        <v>45127</v>
      </c>
      <c r="N2" s="17" t="s">
        <v>24</v>
      </c>
      <c r="O2" s="17" t="s">
        <v>25</v>
      </c>
      <c r="P2" s="17" t="s">
        <v>26</v>
      </c>
      <c r="Q2" s="18" t="s">
        <v>27</v>
      </c>
      <c r="R2" s="18" t="s">
        <v>27</v>
      </c>
    </row>
    <row r="3" spans="1:18" ht="44.25" customHeight="1">
      <c r="A3" s="15">
        <v>2</v>
      </c>
      <c r="B3" s="19" t="s">
        <v>28</v>
      </c>
      <c r="C3" s="20" t="s">
        <v>29</v>
      </c>
      <c r="D3" s="20">
        <v>11507356</v>
      </c>
      <c r="E3" s="20">
        <v>7</v>
      </c>
      <c r="F3" s="20">
        <v>53</v>
      </c>
      <c r="G3" s="21" t="s">
        <v>30</v>
      </c>
      <c r="H3" s="20" t="s">
        <v>31</v>
      </c>
      <c r="I3" s="20" t="s">
        <v>32</v>
      </c>
      <c r="J3" s="20" t="s">
        <v>33</v>
      </c>
      <c r="K3" s="20" t="s">
        <v>33</v>
      </c>
      <c r="L3" s="20" t="s">
        <v>34</v>
      </c>
      <c r="M3" s="20" t="s">
        <v>35</v>
      </c>
      <c r="N3" s="20" t="s">
        <v>33</v>
      </c>
      <c r="O3" s="17" t="s">
        <v>25</v>
      </c>
      <c r="P3" s="20" t="s">
        <v>36</v>
      </c>
      <c r="Q3" s="20" t="s">
        <v>37</v>
      </c>
      <c r="R3" s="22" t="s">
        <v>31</v>
      </c>
    </row>
    <row r="4" spans="1:18" ht="88.5" customHeight="1">
      <c r="A4" s="15">
        <v>3</v>
      </c>
      <c r="B4" s="16" t="s">
        <v>18</v>
      </c>
      <c r="C4" s="21" t="s">
        <v>38</v>
      </c>
      <c r="D4" s="21">
        <v>12427622</v>
      </c>
      <c r="E4" s="21">
        <v>5</v>
      </c>
      <c r="F4" s="23">
        <v>49</v>
      </c>
      <c r="G4" s="21" t="s">
        <v>20</v>
      </c>
      <c r="H4" s="21" t="s">
        <v>39</v>
      </c>
      <c r="I4" s="23">
        <v>2022</v>
      </c>
      <c r="J4" s="24">
        <v>44789</v>
      </c>
      <c r="K4" s="21" t="s">
        <v>40</v>
      </c>
      <c r="L4" s="21" t="s">
        <v>23</v>
      </c>
      <c r="M4" s="24">
        <v>45050</v>
      </c>
      <c r="N4" s="21" t="s">
        <v>41</v>
      </c>
      <c r="O4" s="21" t="s">
        <v>42</v>
      </c>
      <c r="P4" s="21" t="s">
        <v>26</v>
      </c>
      <c r="Q4" s="21" t="s">
        <v>43</v>
      </c>
      <c r="R4" s="21" t="s">
        <v>43</v>
      </c>
    </row>
    <row r="5" spans="1:18" ht="18.75">
      <c r="A5" s="15">
        <v>4</v>
      </c>
      <c r="B5" s="16" t="s">
        <v>18</v>
      </c>
      <c r="C5" s="25" t="s">
        <v>44</v>
      </c>
      <c r="D5" s="26">
        <v>12396263</v>
      </c>
      <c r="E5" s="26" t="s">
        <v>45</v>
      </c>
      <c r="F5" s="26">
        <v>50</v>
      </c>
      <c r="G5" s="27"/>
      <c r="H5" s="25" t="s">
        <v>46</v>
      </c>
      <c r="I5" s="25"/>
      <c r="J5" s="25"/>
      <c r="K5" s="25" t="s">
        <v>40</v>
      </c>
      <c r="L5" s="25" t="s">
        <v>23</v>
      </c>
      <c r="M5" s="25"/>
      <c r="N5" s="25"/>
      <c r="O5" s="21" t="s">
        <v>42</v>
      </c>
      <c r="P5" s="25" t="s">
        <v>26</v>
      </c>
      <c r="Q5" s="25" t="s">
        <v>47</v>
      </c>
      <c r="R5" s="25" t="s">
        <v>48</v>
      </c>
    </row>
    <row r="6" spans="1:18" ht="37.5">
      <c r="A6" s="15">
        <v>5</v>
      </c>
      <c r="B6" s="16" t="s">
        <v>18</v>
      </c>
      <c r="C6" s="20" t="s">
        <v>49</v>
      </c>
      <c r="D6" s="21">
        <v>7619438</v>
      </c>
      <c r="E6" s="20">
        <v>6</v>
      </c>
      <c r="F6" s="20">
        <v>69</v>
      </c>
      <c r="G6" s="21" t="s">
        <v>30</v>
      </c>
      <c r="H6" s="20" t="s">
        <v>50</v>
      </c>
      <c r="I6" s="20"/>
      <c r="J6" s="20"/>
      <c r="K6" s="20"/>
      <c r="L6" s="20" t="s">
        <v>51</v>
      </c>
      <c r="M6" s="20"/>
      <c r="N6" s="20"/>
      <c r="O6" s="17" t="s">
        <v>25</v>
      </c>
      <c r="P6" s="20" t="s">
        <v>26</v>
      </c>
      <c r="Q6" s="20" t="s">
        <v>52</v>
      </c>
      <c r="R6" s="20" t="s">
        <v>52</v>
      </c>
    </row>
    <row r="7" spans="1:18" ht="18.75">
      <c r="A7" s="15">
        <v>6</v>
      </c>
      <c r="B7" s="16" t="s">
        <v>18</v>
      </c>
      <c r="C7" s="20" t="s">
        <v>53</v>
      </c>
      <c r="D7" s="20">
        <v>6703302</v>
      </c>
      <c r="E7" s="20">
        <v>7</v>
      </c>
      <c r="F7" s="20">
        <v>80</v>
      </c>
      <c r="G7" s="21" t="s">
        <v>20</v>
      </c>
      <c r="H7" s="20" t="s">
        <v>54</v>
      </c>
      <c r="I7" s="20"/>
      <c r="J7" s="22" t="s">
        <v>55</v>
      </c>
      <c r="K7" s="20" t="s">
        <v>55</v>
      </c>
      <c r="L7" s="20" t="s">
        <v>34</v>
      </c>
      <c r="M7" s="20" t="s">
        <v>35</v>
      </c>
      <c r="N7" s="20" t="s">
        <v>33</v>
      </c>
      <c r="O7" s="17" t="s">
        <v>25</v>
      </c>
      <c r="P7" s="20" t="s">
        <v>36</v>
      </c>
      <c r="Q7" s="20" t="s">
        <v>56</v>
      </c>
      <c r="R7" s="20" t="s">
        <v>56</v>
      </c>
    </row>
    <row r="8" spans="1:18" ht="37.5">
      <c r="A8" s="15">
        <v>7</v>
      </c>
      <c r="B8" s="16" t="s">
        <v>18</v>
      </c>
      <c r="C8" s="20" t="s">
        <v>57</v>
      </c>
      <c r="D8" s="20">
        <v>10882793</v>
      </c>
      <c r="E8" s="20">
        <v>9</v>
      </c>
      <c r="F8" s="28">
        <v>56</v>
      </c>
      <c r="G8" s="21" t="s">
        <v>58</v>
      </c>
      <c r="H8" s="20" t="s">
        <v>59</v>
      </c>
      <c r="I8" s="28"/>
      <c r="J8" s="22"/>
      <c r="K8" s="22" t="s">
        <v>28</v>
      </c>
      <c r="L8" s="20" t="s">
        <v>34</v>
      </c>
      <c r="M8" s="20" t="s">
        <v>35</v>
      </c>
      <c r="N8" s="20" t="s">
        <v>33</v>
      </c>
      <c r="O8" s="17" t="s">
        <v>25</v>
      </c>
      <c r="P8" s="20" t="s">
        <v>36</v>
      </c>
      <c r="Q8" s="20" t="s">
        <v>60</v>
      </c>
      <c r="R8" s="25" t="s">
        <v>61</v>
      </c>
    </row>
    <row r="9" spans="1:18" ht="35.25" customHeight="1">
      <c r="A9" s="15">
        <v>8</v>
      </c>
      <c r="B9" s="16" t="s">
        <v>18</v>
      </c>
      <c r="C9" s="20" t="s">
        <v>62</v>
      </c>
      <c r="D9" s="20">
        <v>13180612</v>
      </c>
      <c r="E9" s="20">
        <v>4</v>
      </c>
      <c r="F9" s="20">
        <v>46</v>
      </c>
      <c r="G9" s="21" t="s">
        <v>63</v>
      </c>
      <c r="H9" s="20" t="s">
        <v>64</v>
      </c>
      <c r="I9" s="20"/>
      <c r="J9" s="29">
        <v>45139</v>
      </c>
      <c r="K9" s="20" t="s">
        <v>28</v>
      </c>
      <c r="L9" s="20" t="s">
        <v>34</v>
      </c>
      <c r="M9" s="20" t="s">
        <v>33</v>
      </c>
      <c r="N9" s="20" t="s">
        <v>33</v>
      </c>
      <c r="O9" s="17" t="s">
        <v>25</v>
      </c>
      <c r="P9" s="20" t="s">
        <v>36</v>
      </c>
      <c r="Q9" s="20" t="s">
        <v>60</v>
      </c>
      <c r="R9" s="22" t="s">
        <v>65</v>
      </c>
    </row>
    <row r="10" spans="1:18" ht="78.75" customHeight="1">
      <c r="A10" s="15">
        <v>9</v>
      </c>
      <c r="B10" s="16" t="s">
        <v>18</v>
      </c>
      <c r="C10" s="20" t="s">
        <v>66</v>
      </c>
      <c r="D10" s="20">
        <v>3998057</v>
      </c>
      <c r="E10" s="20">
        <v>6</v>
      </c>
      <c r="F10" s="20">
        <v>83</v>
      </c>
      <c r="G10" s="21" t="s">
        <v>20</v>
      </c>
      <c r="H10" s="20" t="s">
        <v>64</v>
      </c>
      <c r="I10" s="20"/>
      <c r="J10" s="20" t="s">
        <v>67</v>
      </c>
      <c r="K10" s="20" t="s">
        <v>35</v>
      </c>
      <c r="L10" s="20" t="s">
        <v>51</v>
      </c>
      <c r="M10" s="20"/>
      <c r="N10" s="20"/>
      <c r="O10" s="17" t="s">
        <v>25</v>
      </c>
      <c r="P10" s="20" t="s">
        <v>26</v>
      </c>
      <c r="Q10" s="20" t="s">
        <v>68</v>
      </c>
      <c r="R10" s="20" t="s">
        <v>68</v>
      </c>
    </row>
    <row r="11" spans="1:18" ht="30" customHeight="1">
      <c r="A11" s="15">
        <v>10</v>
      </c>
      <c r="B11" s="16" t="s">
        <v>18</v>
      </c>
      <c r="C11" s="20" t="s">
        <v>69</v>
      </c>
      <c r="D11" s="20">
        <v>4675558</v>
      </c>
      <c r="E11" s="20">
        <v>8</v>
      </c>
      <c r="F11" s="28">
        <v>85</v>
      </c>
      <c r="G11" s="21" t="s">
        <v>20</v>
      </c>
      <c r="H11" s="20" t="s">
        <v>59</v>
      </c>
      <c r="I11" s="28"/>
      <c r="J11" s="22">
        <v>44944</v>
      </c>
      <c r="K11" s="20" t="s">
        <v>40</v>
      </c>
      <c r="L11" s="20" t="s">
        <v>70</v>
      </c>
      <c r="M11" s="22">
        <v>44987</v>
      </c>
      <c r="N11" s="20" t="s">
        <v>71</v>
      </c>
      <c r="O11" s="17" t="s">
        <v>25</v>
      </c>
      <c r="P11" s="20" t="s">
        <v>26</v>
      </c>
      <c r="Q11" s="20" t="s">
        <v>72</v>
      </c>
      <c r="R11" s="20" t="s">
        <v>72</v>
      </c>
    </row>
    <row r="12" spans="1:18" ht="37.5">
      <c r="A12" s="15">
        <v>11</v>
      </c>
      <c r="B12" s="16" t="s">
        <v>18</v>
      </c>
      <c r="C12" s="20" t="s">
        <v>73</v>
      </c>
      <c r="D12" s="20">
        <v>4658991</v>
      </c>
      <c r="E12" s="20">
        <v>2</v>
      </c>
      <c r="F12" s="20">
        <v>82</v>
      </c>
      <c r="G12" s="21" t="s">
        <v>20</v>
      </c>
      <c r="H12" s="20" t="s">
        <v>74</v>
      </c>
      <c r="I12" s="20"/>
      <c r="J12" s="20"/>
      <c r="K12" s="20"/>
      <c r="L12" s="20"/>
      <c r="M12" s="20"/>
      <c r="N12" s="20"/>
      <c r="O12" s="17" t="s">
        <v>25</v>
      </c>
      <c r="P12" s="20" t="s">
        <v>26</v>
      </c>
      <c r="Q12" s="22" t="s">
        <v>75</v>
      </c>
      <c r="R12" s="22" t="s">
        <v>75</v>
      </c>
    </row>
    <row r="13" spans="1:18" ht="43.5" customHeight="1">
      <c r="A13" s="15">
        <v>12</v>
      </c>
      <c r="B13" s="16" t="s">
        <v>18</v>
      </c>
      <c r="C13" s="21" t="s">
        <v>76</v>
      </c>
      <c r="D13" s="30" t="s">
        <v>77</v>
      </c>
      <c r="E13" s="21">
        <v>3</v>
      </c>
      <c r="F13" s="21">
        <v>60</v>
      </c>
      <c r="G13" s="21" t="s">
        <v>20</v>
      </c>
      <c r="H13" s="21" t="s">
        <v>78</v>
      </c>
      <c r="I13" s="21"/>
      <c r="J13" s="21" t="s">
        <v>79</v>
      </c>
      <c r="K13" s="21" t="s">
        <v>33</v>
      </c>
      <c r="L13" s="21" t="s">
        <v>51</v>
      </c>
      <c r="M13" s="21" t="s">
        <v>33</v>
      </c>
      <c r="N13" s="20" t="s">
        <v>33</v>
      </c>
      <c r="O13" s="21" t="s">
        <v>42</v>
      </c>
      <c r="P13" s="20" t="s">
        <v>26</v>
      </c>
      <c r="Q13" s="24" t="s">
        <v>80</v>
      </c>
      <c r="R13" s="24" t="s">
        <v>80</v>
      </c>
    </row>
    <row r="14" spans="1:18" ht="37.5">
      <c r="A14" s="15">
        <v>13</v>
      </c>
      <c r="B14" s="16" t="s">
        <v>18</v>
      </c>
      <c r="C14" s="21" t="s">
        <v>81</v>
      </c>
      <c r="D14" s="21">
        <v>7215895</v>
      </c>
      <c r="E14" s="21">
        <v>4</v>
      </c>
      <c r="F14" s="23">
        <v>69</v>
      </c>
      <c r="G14" s="21" t="s">
        <v>20</v>
      </c>
      <c r="H14" s="21" t="s">
        <v>78</v>
      </c>
      <c r="I14" s="23"/>
      <c r="J14" s="21" t="s">
        <v>82</v>
      </c>
      <c r="K14" s="21" t="s">
        <v>83</v>
      </c>
      <c r="L14" s="21" t="s">
        <v>84</v>
      </c>
      <c r="M14" s="21" t="s">
        <v>85</v>
      </c>
      <c r="N14" s="21" t="s">
        <v>86</v>
      </c>
      <c r="O14" s="21" t="s">
        <v>42</v>
      </c>
      <c r="P14" s="20" t="s">
        <v>26</v>
      </c>
      <c r="Q14" s="21" t="s">
        <v>87</v>
      </c>
      <c r="R14" s="21" t="s">
        <v>87</v>
      </c>
    </row>
    <row r="15" spans="1:18" ht="37.5">
      <c r="A15" s="15">
        <v>14</v>
      </c>
      <c r="B15" s="19" t="s">
        <v>28</v>
      </c>
      <c r="C15" s="21" t="s">
        <v>88</v>
      </c>
      <c r="D15" s="20">
        <v>18012067</v>
      </c>
      <c r="E15" s="20" t="s">
        <v>45</v>
      </c>
      <c r="F15" s="20">
        <v>31</v>
      </c>
      <c r="G15" s="21" t="s">
        <v>30</v>
      </c>
      <c r="H15" s="20" t="s">
        <v>89</v>
      </c>
      <c r="I15" s="20"/>
      <c r="J15" s="20"/>
      <c r="K15" s="20"/>
      <c r="L15" s="20" t="s">
        <v>51</v>
      </c>
      <c r="M15" s="20"/>
      <c r="N15" s="20"/>
      <c r="O15" s="17" t="s">
        <v>25</v>
      </c>
      <c r="P15" s="20" t="s">
        <v>26</v>
      </c>
      <c r="Q15" s="21" t="s">
        <v>90</v>
      </c>
      <c r="R15" s="21" t="s">
        <v>90</v>
      </c>
    </row>
    <row r="16" spans="1:18" ht="37.5">
      <c r="A16" s="15">
        <v>15</v>
      </c>
      <c r="B16" s="19" t="s">
        <v>28</v>
      </c>
      <c r="C16" s="26" t="s">
        <v>29</v>
      </c>
      <c r="D16" s="26">
        <v>11507356</v>
      </c>
      <c r="E16" s="26">
        <v>7</v>
      </c>
      <c r="F16" s="26"/>
      <c r="G16" s="26" t="s">
        <v>30</v>
      </c>
      <c r="H16" s="26" t="s">
        <v>91</v>
      </c>
      <c r="I16" s="26"/>
      <c r="J16" s="26" t="s">
        <v>33</v>
      </c>
      <c r="K16" s="26" t="s">
        <v>33</v>
      </c>
      <c r="L16" s="26" t="s">
        <v>37</v>
      </c>
      <c r="M16" s="26" t="s">
        <v>35</v>
      </c>
      <c r="N16" s="20" t="s">
        <v>33</v>
      </c>
      <c r="O16" s="17" t="s">
        <v>25</v>
      </c>
      <c r="P16" s="20" t="s">
        <v>36</v>
      </c>
      <c r="Q16" s="26" t="s">
        <v>92</v>
      </c>
      <c r="R16" s="26" t="s">
        <v>93</v>
      </c>
    </row>
    <row r="17" spans="1:18" ht="37.5">
      <c r="A17" s="15">
        <v>16</v>
      </c>
      <c r="B17" s="19" t="s">
        <v>28</v>
      </c>
      <c r="C17" s="20" t="s">
        <v>94</v>
      </c>
      <c r="D17" s="20">
        <v>4546546</v>
      </c>
      <c r="E17" s="20">
        <v>2</v>
      </c>
      <c r="F17" s="20">
        <v>83</v>
      </c>
      <c r="G17" s="21" t="s">
        <v>58</v>
      </c>
      <c r="H17" s="20" t="s">
        <v>95</v>
      </c>
      <c r="I17" s="26"/>
      <c r="J17" s="26"/>
      <c r="K17" s="26"/>
      <c r="L17" s="26" t="s">
        <v>37</v>
      </c>
      <c r="M17" s="26"/>
      <c r="N17" s="26"/>
      <c r="O17" s="17" t="s">
        <v>25</v>
      </c>
      <c r="P17" s="20" t="s">
        <v>36</v>
      </c>
      <c r="Q17" s="26" t="s">
        <v>96</v>
      </c>
      <c r="R17" s="26" t="s">
        <v>97</v>
      </c>
    </row>
    <row r="18" spans="1:18" ht="31.5" customHeight="1">
      <c r="A18" s="15">
        <v>17</v>
      </c>
      <c r="B18" s="19" t="s">
        <v>28</v>
      </c>
      <c r="C18" s="20" t="s">
        <v>98</v>
      </c>
      <c r="D18" s="20">
        <v>15574753</v>
      </c>
      <c r="E18" s="20">
        <v>6</v>
      </c>
      <c r="F18" s="20">
        <v>31</v>
      </c>
      <c r="G18" s="21" t="s">
        <v>20</v>
      </c>
      <c r="H18" s="20" t="s">
        <v>95</v>
      </c>
      <c r="I18" s="20"/>
      <c r="J18" s="20" t="s">
        <v>35</v>
      </c>
      <c r="K18" s="20" t="s">
        <v>35</v>
      </c>
      <c r="L18" s="20" t="s">
        <v>34</v>
      </c>
      <c r="M18" s="20" t="s">
        <v>35</v>
      </c>
      <c r="N18" s="20" t="s">
        <v>33</v>
      </c>
      <c r="O18" s="17" t="s">
        <v>25</v>
      </c>
      <c r="P18" s="20" t="s">
        <v>36</v>
      </c>
      <c r="Q18" s="26" t="s">
        <v>99</v>
      </c>
      <c r="R18" s="20" t="s">
        <v>100</v>
      </c>
    </row>
    <row r="19" spans="1:18" ht="33" customHeight="1">
      <c r="A19" s="15">
        <v>18</v>
      </c>
      <c r="B19" s="19" t="s">
        <v>28</v>
      </c>
      <c r="C19" s="20" t="s">
        <v>94</v>
      </c>
      <c r="D19" s="20">
        <v>4546546</v>
      </c>
      <c r="E19" s="20">
        <v>2</v>
      </c>
      <c r="F19" s="20">
        <v>83</v>
      </c>
      <c r="G19" s="21" t="s">
        <v>58</v>
      </c>
      <c r="H19" s="20" t="s">
        <v>95</v>
      </c>
      <c r="I19" s="20"/>
      <c r="J19" s="20"/>
      <c r="K19" s="20"/>
      <c r="L19" s="20" t="s">
        <v>34</v>
      </c>
      <c r="M19" s="20" t="s">
        <v>35</v>
      </c>
      <c r="N19" s="20" t="s">
        <v>33</v>
      </c>
      <c r="O19" s="17" t="s">
        <v>25</v>
      </c>
      <c r="P19" s="20" t="s">
        <v>36</v>
      </c>
      <c r="Q19" s="20" t="s">
        <v>101</v>
      </c>
      <c r="R19" s="22" t="s">
        <v>102</v>
      </c>
    </row>
    <row r="20" spans="1:18" ht="36.75" customHeight="1">
      <c r="A20" s="15">
        <v>19</v>
      </c>
      <c r="B20" s="16" t="s">
        <v>18</v>
      </c>
      <c r="C20" s="20" t="s">
        <v>103</v>
      </c>
      <c r="D20" s="20">
        <v>5689003</v>
      </c>
      <c r="E20" s="20">
        <v>3</v>
      </c>
      <c r="F20" s="20">
        <v>73</v>
      </c>
      <c r="G20" s="21" t="s">
        <v>30</v>
      </c>
      <c r="H20" s="20" t="s">
        <v>104</v>
      </c>
      <c r="I20" s="20" t="s">
        <v>105</v>
      </c>
      <c r="J20" s="20" t="s">
        <v>105</v>
      </c>
      <c r="K20" s="20" t="s">
        <v>83</v>
      </c>
      <c r="L20" s="20" t="s">
        <v>23</v>
      </c>
      <c r="M20" s="22">
        <v>44896</v>
      </c>
      <c r="N20" s="20" t="s">
        <v>106</v>
      </c>
      <c r="O20" s="26" t="s">
        <v>107</v>
      </c>
      <c r="P20" s="20" t="s">
        <v>108</v>
      </c>
      <c r="Q20" s="26" t="s">
        <v>109</v>
      </c>
      <c r="R20" s="31" t="s">
        <v>110</v>
      </c>
    </row>
    <row r="21" spans="1:18" ht="28.5" customHeight="1">
      <c r="A21" s="15">
        <v>20</v>
      </c>
      <c r="B21" s="16" t="s">
        <v>18</v>
      </c>
      <c r="C21" s="26" t="s">
        <v>111</v>
      </c>
      <c r="D21" s="26">
        <v>20091357</v>
      </c>
      <c r="E21" s="26">
        <v>4</v>
      </c>
      <c r="F21" s="26">
        <v>25</v>
      </c>
      <c r="G21" s="26" t="s">
        <v>112</v>
      </c>
      <c r="H21" s="26" t="s">
        <v>113</v>
      </c>
      <c r="I21" s="26" t="s">
        <v>33</v>
      </c>
      <c r="J21" s="26" t="s">
        <v>33</v>
      </c>
      <c r="K21" s="26" t="s">
        <v>33</v>
      </c>
      <c r="L21" s="26" t="s">
        <v>34</v>
      </c>
      <c r="M21" s="26" t="s">
        <v>33</v>
      </c>
      <c r="N21" s="20" t="s">
        <v>33</v>
      </c>
      <c r="O21" s="17" t="s">
        <v>25</v>
      </c>
      <c r="P21" s="20" t="s">
        <v>36</v>
      </c>
      <c r="Q21" s="26" t="s">
        <v>114</v>
      </c>
      <c r="R21" s="26" t="s">
        <v>115</v>
      </c>
    </row>
    <row r="22" spans="1:18" ht="18.75">
      <c r="A22" s="15">
        <v>21</v>
      </c>
      <c r="B22" s="16" t="s">
        <v>18</v>
      </c>
      <c r="C22" s="20" t="s">
        <v>116</v>
      </c>
      <c r="D22" s="20">
        <v>2618509</v>
      </c>
      <c r="E22" s="20">
        <v>2</v>
      </c>
      <c r="F22" s="20">
        <v>99</v>
      </c>
      <c r="G22" s="21" t="s">
        <v>30</v>
      </c>
      <c r="H22" s="20" t="s">
        <v>59</v>
      </c>
      <c r="I22" s="20" t="s">
        <v>33</v>
      </c>
      <c r="J22" s="20" t="s">
        <v>117</v>
      </c>
      <c r="K22" s="26" t="s">
        <v>28</v>
      </c>
      <c r="L22" s="20" t="s">
        <v>51</v>
      </c>
      <c r="M22" s="20" t="s">
        <v>35</v>
      </c>
      <c r="N22" s="20" t="s">
        <v>33</v>
      </c>
      <c r="O22" s="17" t="s">
        <v>25</v>
      </c>
      <c r="P22" s="20" t="s">
        <v>26</v>
      </c>
      <c r="Q22" s="20" t="s">
        <v>118</v>
      </c>
      <c r="R22" s="20" t="s">
        <v>118</v>
      </c>
    </row>
    <row r="23" spans="1:18" ht="18.75">
      <c r="A23" s="15">
        <v>22</v>
      </c>
      <c r="B23" s="16" t="s">
        <v>18</v>
      </c>
      <c r="C23" s="20" t="s">
        <v>119</v>
      </c>
      <c r="D23" s="20">
        <v>3569505</v>
      </c>
      <c r="E23" s="20">
        <v>2</v>
      </c>
      <c r="F23" s="20">
        <v>88</v>
      </c>
      <c r="G23" s="21" t="s">
        <v>120</v>
      </c>
      <c r="H23" s="20" t="s">
        <v>121</v>
      </c>
      <c r="I23" s="20" t="s">
        <v>33</v>
      </c>
      <c r="J23" s="20" t="s">
        <v>35</v>
      </c>
      <c r="K23" s="26" t="s">
        <v>40</v>
      </c>
      <c r="L23" s="20" t="s">
        <v>51</v>
      </c>
      <c r="M23" s="20" t="s">
        <v>35</v>
      </c>
      <c r="N23" s="20" t="s">
        <v>33</v>
      </c>
      <c r="O23" s="17" t="s">
        <v>25</v>
      </c>
      <c r="P23" s="20" t="s">
        <v>26</v>
      </c>
      <c r="Q23" s="20" t="s">
        <v>122</v>
      </c>
      <c r="R23" s="20" t="s">
        <v>122</v>
      </c>
    </row>
    <row r="24" spans="1:18" ht="57">
      <c r="A24" s="15">
        <v>23</v>
      </c>
      <c r="B24" s="16" t="s">
        <v>18</v>
      </c>
      <c r="C24" s="21" t="s">
        <v>76</v>
      </c>
      <c r="D24" s="30" t="s">
        <v>77</v>
      </c>
      <c r="E24" s="21">
        <v>3</v>
      </c>
      <c r="F24" s="21">
        <v>60</v>
      </c>
      <c r="G24" s="21" t="s">
        <v>20</v>
      </c>
      <c r="H24" s="21" t="s">
        <v>78</v>
      </c>
      <c r="I24" s="21"/>
      <c r="J24" s="21" t="s">
        <v>79</v>
      </c>
      <c r="K24" s="21" t="s">
        <v>33</v>
      </c>
      <c r="L24" s="21" t="s">
        <v>51</v>
      </c>
      <c r="M24" s="21" t="s">
        <v>33</v>
      </c>
      <c r="N24" s="20" t="s">
        <v>33</v>
      </c>
      <c r="O24" s="21" t="s">
        <v>42</v>
      </c>
      <c r="P24" s="20" t="s">
        <v>26</v>
      </c>
      <c r="Q24" s="20" t="s">
        <v>80</v>
      </c>
      <c r="R24" s="24" t="s">
        <v>80</v>
      </c>
    </row>
    <row r="25" spans="1:18" ht="94.5">
      <c r="A25" s="15">
        <v>24</v>
      </c>
      <c r="B25" s="19" t="s">
        <v>28</v>
      </c>
      <c r="C25" s="20" t="s">
        <v>29</v>
      </c>
      <c r="D25" s="20">
        <v>11507356</v>
      </c>
      <c r="E25" s="20">
        <v>7</v>
      </c>
      <c r="F25" s="20">
        <v>53</v>
      </c>
      <c r="G25" s="21" t="s">
        <v>30</v>
      </c>
      <c r="H25" s="20" t="s">
        <v>31</v>
      </c>
      <c r="I25" s="20" t="s">
        <v>32</v>
      </c>
      <c r="J25" s="20" t="s">
        <v>33</v>
      </c>
      <c r="K25" s="20" t="s">
        <v>33</v>
      </c>
      <c r="L25" s="20" t="s">
        <v>34</v>
      </c>
      <c r="M25" s="20" t="s">
        <v>35</v>
      </c>
      <c r="N25" s="20" t="s">
        <v>33</v>
      </c>
      <c r="O25" s="17" t="s">
        <v>25</v>
      </c>
      <c r="P25" s="20" t="s">
        <v>36</v>
      </c>
      <c r="Q25" s="20" t="s">
        <v>123</v>
      </c>
      <c r="R25" s="22" t="s">
        <v>31</v>
      </c>
    </row>
    <row r="26" spans="1:18" ht="18.75">
      <c r="A26" s="15">
        <v>25</v>
      </c>
      <c r="B26" s="19" t="s">
        <v>28</v>
      </c>
      <c r="C26" s="20" t="s">
        <v>124</v>
      </c>
      <c r="D26" s="20">
        <v>15574753</v>
      </c>
      <c r="E26" s="20">
        <v>6</v>
      </c>
      <c r="F26" s="20">
        <v>31</v>
      </c>
      <c r="G26" s="21" t="s">
        <v>20</v>
      </c>
      <c r="H26" s="20" t="s">
        <v>95</v>
      </c>
      <c r="I26" s="20"/>
      <c r="J26" s="20" t="s">
        <v>35</v>
      </c>
      <c r="K26" s="20" t="s">
        <v>35</v>
      </c>
      <c r="L26" s="20" t="s">
        <v>34</v>
      </c>
      <c r="M26" s="20" t="s">
        <v>35</v>
      </c>
      <c r="N26" s="20" t="s">
        <v>33</v>
      </c>
      <c r="O26" s="17" t="s">
        <v>25</v>
      </c>
      <c r="P26" s="20" t="s">
        <v>36</v>
      </c>
      <c r="Q26" s="20" t="s">
        <v>125</v>
      </c>
      <c r="R26" s="20" t="s">
        <v>126</v>
      </c>
    </row>
    <row r="27" spans="1:18" ht="18.75">
      <c r="A27" s="15">
        <v>26</v>
      </c>
      <c r="B27" s="16" t="s">
        <v>18</v>
      </c>
      <c r="C27" s="20" t="s">
        <v>127</v>
      </c>
      <c r="D27" s="20">
        <v>4279872</v>
      </c>
      <c r="E27" s="20" t="s">
        <v>128</v>
      </c>
      <c r="F27" s="20">
        <v>92</v>
      </c>
      <c r="G27" s="21" t="s">
        <v>20</v>
      </c>
      <c r="H27" s="20" t="s">
        <v>59</v>
      </c>
      <c r="I27" s="20"/>
      <c r="J27" s="20" t="s">
        <v>35</v>
      </c>
      <c r="K27" s="20" t="s">
        <v>129</v>
      </c>
      <c r="L27" s="20" t="s">
        <v>51</v>
      </c>
      <c r="M27" s="20" t="s">
        <v>35</v>
      </c>
      <c r="N27" s="20" t="s">
        <v>33</v>
      </c>
      <c r="O27" s="17" t="s">
        <v>25</v>
      </c>
      <c r="P27" s="20" t="s">
        <v>26</v>
      </c>
      <c r="Q27" s="20" t="s">
        <v>130</v>
      </c>
      <c r="R27" s="20" t="s">
        <v>130</v>
      </c>
    </row>
    <row r="28" spans="1:18" ht="18.75">
      <c r="A28" s="15">
        <v>27</v>
      </c>
      <c r="B28" s="19" t="s">
        <v>28</v>
      </c>
      <c r="C28" s="20" t="s">
        <v>131</v>
      </c>
      <c r="D28" s="20">
        <v>5136597</v>
      </c>
      <c r="E28" s="20">
        <v>6</v>
      </c>
      <c r="F28" s="20">
        <v>78</v>
      </c>
      <c r="G28" s="21" t="s">
        <v>20</v>
      </c>
      <c r="H28" s="20" t="s">
        <v>121</v>
      </c>
      <c r="I28" s="20"/>
      <c r="J28" s="20" t="s">
        <v>33</v>
      </c>
      <c r="K28" s="20" t="s">
        <v>33</v>
      </c>
      <c r="L28" s="20" t="s">
        <v>51</v>
      </c>
      <c r="M28" s="20" t="s">
        <v>35</v>
      </c>
      <c r="N28" s="20" t="s">
        <v>33</v>
      </c>
      <c r="O28" s="17" t="s">
        <v>25</v>
      </c>
      <c r="P28" s="20" t="s">
        <v>26</v>
      </c>
      <c r="Q28" s="20" t="s">
        <v>132</v>
      </c>
      <c r="R28" s="20" t="s">
        <v>132</v>
      </c>
    </row>
    <row r="29" spans="1:18" ht="37.5">
      <c r="A29" s="15">
        <v>28</v>
      </c>
      <c r="B29" s="19" t="s">
        <v>28</v>
      </c>
      <c r="C29" s="20" t="s">
        <v>73</v>
      </c>
      <c r="D29" s="20">
        <v>4658991</v>
      </c>
      <c r="E29" s="20">
        <v>2</v>
      </c>
      <c r="F29" s="20">
        <v>82</v>
      </c>
      <c r="G29" s="21" t="s">
        <v>20</v>
      </c>
      <c r="H29" s="20" t="s">
        <v>74</v>
      </c>
      <c r="I29" s="20"/>
      <c r="J29" s="20"/>
      <c r="K29" s="20" t="s">
        <v>83</v>
      </c>
      <c r="L29" s="20" t="s">
        <v>51</v>
      </c>
      <c r="M29" s="20" t="s">
        <v>35</v>
      </c>
      <c r="N29" s="20" t="s">
        <v>33</v>
      </c>
      <c r="O29" s="17" t="s">
        <v>25</v>
      </c>
      <c r="P29" s="20" t="s">
        <v>26</v>
      </c>
      <c r="Q29" s="20" t="s">
        <v>133</v>
      </c>
      <c r="R29" s="22" t="s">
        <v>75</v>
      </c>
    </row>
    <row r="30" spans="1:18" ht="37.5">
      <c r="A30" s="15">
        <v>29</v>
      </c>
      <c r="B30" s="16" t="s">
        <v>18</v>
      </c>
      <c r="C30" s="21" t="s">
        <v>81</v>
      </c>
      <c r="D30" s="21">
        <v>7215895</v>
      </c>
      <c r="E30" s="21">
        <v>4</v>
      </c>
      <c r="F30" s="23">
        <v>69</v>
      </c>
      <c r="G30" s="21" t="s">
        <v>20</v>
      </c>
      <c r="H30" s="21" t="s">
        <v>78</v>
      </c>
      <c r="I30" s="23"/>
      <c r="J30" s="21" t="s">
        <v>82</v>
      </c>
      <c r="K30" s="21" t="s">
        <v>83</v>
      </c>
      <c r="L30" s="21" t="s">
        <v>84</v>
      </c>
      <c r="M30" s="21" t="s">
        <v>85</v>
      </c>
      <c r="N30" s="21" t="s">
        <v>86</v>
      </c>
      <c r="O30" s="21" t="s">
        <v>42</v>
      </c>
      <c r="P30" s="26" t="s">
        <v>26</v>
      </c>
      <c r="Q30" s="20" t="s">
        <v>134</v>
      </c>
      <c r="R30" s="21" t="s">
        <v>87</v>
      </c>
    </row>
    <row r="31" spans="1:18" ht="57">
      <c r="A31" s="15">
        <v>30</v>
      </c>
      <c r="B31" s="16" t="s">
        <v>18</v>
      </c>
      <c r="C31" s="20" t="s">
        <v>135</v>
      </c>
      <c r="D31" s="20">
        <v>11938668</v>
      </c>
      <c r="E31" s="20">
        <v>3</v>
      </c>
      <c r="F31" s="20">
        <v>51</v>
      </c>
      <c r="G31" s="21" t="s">
        <v>20</v>
      </c>
      <c r="H31" s="20" t="s">
        <v>136</v>
      </c>
      <c r="I31" s="20">
        <v>2021</v>
      </c>
      <c r="J31" s="22">
        <v>44342</v>
      </c>
      <c r="K31" s="20" t="s">
        <v>129</v>
      </c>
      <c r="L31" s="20" t="s">
        <v>23</v>
      </c>
      <c r="M31" s="20" t="s">
        <v>35</v>
      </c>
      <c r="N31" s="20" t="s">
        <v>33</v>
      </c>
      <c r="O31" s="17" t="s">
        <v>25</v>
      </c>
      <c r="P31" s="20" t="s">
        <v>137</v>
      </c>
      <c r="Q31" s="20" t="s">
        <v>138</v>
      </c>
      <c r="R31" s="20" t="s">
        <v>138</v>
      </c>
    </row>
    <row r="32" spans="1:18" ht="57">
      <c r="A32" s="15">
        <v>31</v>
      </c>
      <c r="B32" s="16" t="s">
        <v>18</v>
      </c>
      <c r="C32" s="21" t="s">
        <v>38</v>
      </c>
      <c r="D32" s="21">
        <v>12427622</v>
      </c>
      <c r="E32" s="21">
        <v>5</v>
      </c>
      <c r="F32" s="23">
        <v>49</v>
      </c>
      <c r="G32" s="21" t="s">
        <v>20</v>
      </c>
      <c r="H32" s="21" t="s">
        <v>39</v>
      </c>
      <c r="I32" s="23">
        <v>2022</v>
      </c>
      <c r="J32" s="24">
        <v>44789</v>
      </c>
      <c r="K32" s="21" t="s">
        <v>40</v>
      </c>
      <c r="L32" s="21" t="s">
        <v>23</v>
      </c>
      <c r="M32" s="24">
        <v>45050</v>
      </c>
      <c r="N32" s="21" t="s">
        <v>41</v>
      </c>
      <c r="O32" s="21" t="s">
        <v>42</v>
      </c>
      <c r="P32" s="21" t="s">
        <v>26</v>
      </c>
      <c r="Q32" s="21" t="s">
        <v>43</v>
      </c>
      <c r="R32" s="21" t="s">
        <v>43</v>
      </c>
    </row>
    <row r="33" spans="1:18" ht="189">
      <c r="A33" s="15">
        <v>32</v>
      </c>
      <c r="B33" s="16" t="s">
        <v>18</v>
      </c>
      <c r="C33" s="20" t="s">
        <v>69</v>
      </c>
      <c r="D33" s="20">
        <v>4675558</v>
      </c>
      <c r="E33" s="20">
        <v>8</v>
      </c>
      <c r="F33" s="28">
        <v>85</v>
      </c>
      <c r="G33" s="21" t="s">
        <v>20</v>
      </c>
      <c r="H33" s="20" t="s">
        <v>59</v>
      </c>
      <c r="I33" s="28"/>
      <c r="J33" s="22">
        <v>44944</v>
      </c>
      <c r="K33" s="20" t="s">
        <v>40</v>
      </c>
      <c r="L33" s="20" t="s">
        <v>70</v>
      </c>
      <c r="M33" s="22">
        <v>44987</v>
      </c>
      <c r="N33" s="20" t="s">
        <v>71</v>
      </c>
      <c r="O33" s="17" t="s">
        <v>25</v>
      </c>
      <c r="P33" s="20" t="s">
        <v>26</v>
      </c>
      <c r="Q33" s="20" t="s">
        <v>72</v>
      </c>
      <c r="R33" s="20" t="s">
        <v>72</v>
      </c>
    </row>
    <row r="34" spans="1:18" ht="35.25" customHeight="1">
      <c r="A34" s="15">
        <v>33</v>
      </c>
      <c r="B34" s="16" t="s">
        <v>18</v>
      </c>
      <c r="C34" s="21" t="s">
        <v>139</v>
      </c>
      <c r="D34" s="21">
        <v>12171582</v>
      </c>
      <c r="E34" s="21">
        <v>1</v>
      </c>
      <c r="F34" s="23">
        <v>50</v>
      </c>
      <c r="G34" s="21" t="s">
        <v>58</v>
      </c>
      <c r="H34" s="32" t="s">
        <v>140</v>
      </c>
      <c r="I34" s="23">
        <v>2022</v>
      </c>
      <c r="J34" s="24">
        <v>44922</v>
      </c>
      <c r="K34" s="21" t="s">
        <v>18</v>
      </c>
      <c r="L34" s="21" t="s">
        <v>84</v>
      </c>
      <c r="M34" s="24">
        <v>44945</v>
      </c>
      <c r="N34" s="21" t="s">
        <v>141</v>
      </c>
      <c r="O34" s="21" t="s">
        <v>42</v>
      </c>
      <c r="P34" s="21" t="s">
        <v>26</v>
      </c>
      <c r="Q34" s="21" t="s">
        <v>142</v>
      </c>
      <c r="R34" s="21" t="s">
        <v>142</v>
      </c>
    </row>
    <row r="35" spans="1:18" ht="37.5">
      <c r="A35" s="15">
        <v>34</v>
      </c>
      <c r="B35" s="16" t="s">
        <v>18</v>
      </c>
      <c r="C35" s="20" t="s">
        <v>49</v>
      </c>
      <c r="D35" s="21">
        <v>7619438</v>
      </c>
      <c r="E35" s="20">
        <v>6</v>
      </c>
      <c r="F35" s="20">
        <v>69</v>
      </c>
      <c r="G35" s="21" t="s">
        <v>30</v>
      </c>
      <c r="H35" s="20" t="s">
        <v>143</v>
      </c>
      <c r="I35" s="20" t="s">
        <v>33</v>
      </c>
      <c r="J35" s="20" t="s">
        <v>33</v>
      </c>
      <c r="K35" s="20" t="s">
        <v>40</v>
      </c>
      <c r="L35" s="20" t="s">
        <v>51</v>
      </c>
      <c r="M35" s="20" t="s">
        <v>35</v>
      </c>
      <c r="N35" s="20" t="s">
        <v>33</v>
      </c>
      <c r="O35" s="17" t="s">
        <v>25</v>
      </c>
      <c r="P35" s="20" t="s">
        <v>26</v>
      </c>
      <c r="Q35" s="22" t="s">
        <v>52</v>
      </c>
      <c r="R35" s="22" t="s">
        <v>52</v>
      </c>
    </row>
    <row r="36" spans="1:18" ht="18.75">
      <c r="A36" s="15">
        <v>35</v>
      </c>
      <c r="B36" s="16" t="s">
        <v>18</v>
      </c>
      <c r="C36" s="25" t="s">
        <v>44</v>
      </c>
      <c r="D36" s="25">
        <v>12396263</v>
      </c>
      <c r="E36" s="25" t="s">
        <v>45</v>
      </c>
      <c r="F36" s="25">
        <v>50</v>
      </c>
      <c r="G36" s="21" t="s">
        <v>30</v>
      </c>
      <c r="H36" s="25" t="s">
        <v>46</v>
      </c>
      <c r="I36" s="25">
        <v>2022</v>
      </c>
      <c r="J36" s="31">
        <v>44629</v>
      </c>
      <c r="K36" s="25" t="s">
        <v>40</v>
      </c>
      <c r="L36" s="25" t="s">
        <v>23</v>
      </c>
      <c r="M36" s="25" t="s">
        <v>35</v>
      </c>
      <c r="N36" s="20" t="s">
        <v>33</v>
      </c>
      <c r="O36" s="21" t="s">
        <v>42</v>
      </c>
      <c r="P36" s="25" t="s">
        <v>26</v>
      </c>
      <c r="Q36" s="31" t="s">
        <v>144</v>
      </c>
      <c r="R36" s="31" t="s">
        <v>144</v>
      </c>
    </row>
    <row r="37" spans="1:18" ht="57">
      <c r="A37" s="15">
        <v>36</v>
      </c>
      <c r="B37" s="16" t="s">
        <v>18</v>
      </c>
      <c r="C37" s="20" t="s">
        <v>145</v>
      </c>
      <c r="D37" s="20">
        <v>6703302</v>
      </c>
      <c r="E37" s="20">
        <v>7</v>
      </c>
      <c r="F37" s="20">
        <v>80</v>
      </c>
      <c r="G37" s="21" t="s">
        <v>20</v>
      </c>
      <c r="H37" s="20" t="s">
        <v>54</v>
      </c>
      <c r="I37" s="20" t="s">
        <v>33</v>
      </c>
      <c r="J37" s="22" t="s">
        <v>33</v>
      </c>
      <c r="K37" s="20" t="s">
        <v>83</v>
      </c>
      <c r="L37" s="20" t="s">
        <v>34</v>
      </c>
      <c r="M37" s="20" t="s">
        <v>35</v>
      </c>
      <c r="N37" s="20" t="s">
        <v>33</v>
      </c>
      <c r="O37" s="17" t="s">
        <v>25</v>
      </c>
      <c r="P37" s="20" t="s">
        <v>36</v>
      </c>
      <c r="Q37" s="22" t="s">
        <v>146</v>
      </c>
      <c r="R37" s="22" t="s">
        <v>146</v>
      </c>
    </row>
    <row r="38" spans="1:18" ht="37.5">
      <c r="A38" s="15">
        <v>37</v>
      </c>
      <c r="B38" s="16" t="s">
        <v>18</v>
      </c>
      <c r="C38" s="20" t="s">
        <v>57</v>
      </c>
      <c r="D38" s="20">
        <v>10882793</v>
      </c>
      <c r="E38" s="20">
        <v>9</v>
      </c>
      <c r="F38" s="28">
        <v>56</v>
      </c>
      <c r="G38" s="21" t="s">
        <v>58</v>
      </c>
      <c r="H38" s="20" t="s">
        <v>59</v>
      </c>
      <c r="I38" s="28"/>
      <c r="J38" s="22"/>
      <c r="K38" s="22" t="s">
        <v>28</v>
      </c>
      <c r="L38" s="20" t="s">
        <v>34</v>
      </c>
      <c r="M38" s="20" t="s">
        <v>35</v>
      </c>
      <c r="N38" s="20" t="s">
        <v>33</v>
      </c>
      <c r="O38" s="17" t="s">
        <v>25</v>
      </c>
      <c r="P38" s="20" t="s">
        <v>36</v>
      </c>
      <c r="Q38" s="25" t="s">
        <v>61</v>
      </c>
      <c r="R38" s="25" t="s">
        <v>61</v>
      </c>
    </row>
    <row r="39" spans="1:18" ht="37.5">
      <c r="A39" s="15">
        <v>38</v>
      </c>
      <c r="B39" s="16" t="s">
        <v>18</v>
      </c>
      <c r="C39" s="20" t="s">
        <v>147</v>
      </c>
      <c r="D39" s="20">
        <v>8450570</v>
      </c>
      <c r="E39" s="20">
        <v>6</v>
      </c>
      <c r="F39" s="20">
        <v>65</v>
      </c>
      <c r="G39" s="21" t="s">
        <v>20</v>
      </c>
      <c r="H39" s="20" t="s">
        <v>59</v>
      </c>
      <c r="I39" s="20">
        <v>2022</v>
      </c>
      <c r="J39" s="22">
        <v>44740</v>
      </c>
      <c r="K39" s="20" t="s">
        <v>40</v>
      </c>
      <c r="L39" s="20" t="s">
        <v>84</v>
      </c>
      <c r="M39" s="22">
        <v>45056</v>
      </c>
      <c r="N39" s="20" t="s">
        <v>148</v>
      </c>
      <c r="O39" s="17" t="s">
        <v>149</v>
      </c>
      <c r="P39" s="20" t="s">
        <v>108</v>
      </c>
      <c r="Q39" s="20" t="s">
        <v>150</v>
      </c>
      <c r="R39" s="33" t="s">
        <v>151</v>
      </c>
    </row>
    <row r="40" spans="1:18" ht="57">
      <c r="A40" s="15">
        <v>39</v>
      </c>
      <c r="B40" s="19" t="s">
        <v>28</v>
      </c>
      <c r="C40" s="20" t="s">
        <v>62</v>
      </c>
      <c r="D40" s="20">
        <v>13180612</v>
      </c>
      <c r="E40" s="20">
        <v>4</v>
      </c>
      <c r="F40" s="20">
        <v>46</v>
      </c>
      <c r="G40" s="21" t="s">
        <v>63</v>
      </c>
      <c r="H40" s="20" t="s">
        <v>152</v>
      </c>
      <c r="I40" s="20" t="s">
        <v>33</v>
      </c>
      <c r="J40" s="29" t="s">
        <v>33</v>
      </c>
      <c r="K40" s="20" t="s">
        <v>28</v>
      </c>
      <c r="L40" s="20" t="s">
        <v>51</v>
      </c>
      <c r="M40" s="20" t="s">
        <v>33</v>
      </c>
      <c r="N40" s="20" t="s">
        <v>33</v>
      </c>
      <c r="O40" s="17" t="s">
        <v>25</v>
      </c>
      <c r="P40" s="20" t="s">
        <v>36</v>
      </c>
      <c r="Q40" s="22" t="s">
        <v>65</v>
      </c>
      <c r="R40" s="22" t="s">
        <v>65</v>
      </c>
    </row>
    <row r="41" spans="1:18" ht="18.75">
      <c r="A41" s="15">
        <v>40</v>
      </c>
      <c r="B41" s="16" t="s">
        <v>18</v>
      </c>
      <c r="C41" s="20" t="s">
        <v>66</v>
      </c>
      <c r="D41" s="20">
        <v>3998057</v>
      </c>
      <c r="E41" s="20">
        <v>6</v>
      </c>
      <c r="F41" s="20">
        <v>83</v>
      </c>
      <c r="G41" s="21" t="s">
        <v>20</v>
      </c>
      <c r="H41" s="20" t="s">
        <v>64</v>
      </c>
      <c r="I41" s="20">
        <v>2023</v>
      </c>
      <c r="J41" s="22">
        <v>45114</v>
      </c>
      <c r="K41" s="20" t="s">
        <v>35</v>
      </c>
      <c r="L41" s="20" t="s">
        <v>51</v>
      </c>
      <c r="M41" s="20" t="s">
        <v>35</v>
      </c>
      <c r="N41" s="20" t="s">
        <v>33</v>
      </c>
      <c r="O41" s="17" t="s">
        <v>25</v>
      </c>
      <c r="P41" s="20" t="s">
        <v>26</v>
      </c>
      <c r="Q41" s="22" t="s">
        <v>153</v>
      </c>
      <c r="R41" s="22" t="s">
        <v>153</v>
      </c>
    </row>
    <row r="42" spans="1:18" ht="37.5">
      <c r="A42" s="15">
        <v>41</v>
      </c>
      <c r="B42" s="19" t="s">
        <v>28</v>
      </c>
      <c r="C42" s="21" t="s">
        <v>88</v>
      </c>
      <c r="D42" s="20">
        <v>18012067</v>
      </c>
      <c r="E42" s="20" t="s">
        <v>45</v>
      </c>
      <c r="F42" s="20">
        <v>31</v>
      </c>
      <c r="G42" s="21" t="s">
        <v>30</v>
      </c>
      <c r="H42" s="20" t="s">
        <v>89</v>
      </c>
      <c r="I42" s="20">
        <v>2023</v>
      </c>
      <c r="J42" s="20">
        <v>2023</v>
      </c>
      <c r="K42" s="20" t="s">
        <v>33</v>
      </c>
      <c r="L42" s="20" t="s">
        <v>34</v>
      </c>
      <c r="M42" s="20" t="s">
        <v>33</v>
      </c>
      <c r="N42" s="20" t="s">
        <v>33</v>
      </c>
      <c r="O42" s="17" t="s">
        <v>25</v>
      </c>
      <c r="P42" s="20" t="s">
        <v>26</v>
      </c>
      <c r="Q42" s="21" t="s">
        <v>90</v>
      </c>
      <c r="R42" s="21" t="s">
        <v>90</v>
      </c>
    </row>
    <row r="43" spans="1:18" ht="44.25" customHeight="1">
      <c r="A43" s="15">
        <v>42</v>
      </c>
      <c r="B43" s="16" t="s">
        <v>18</v>
      </c>
      <c r="C43" s="20" t="s">
        <v>154</v>
      </c>
      <c r="D43" s="20">
        <v>8075371</v>
      </c>
      <c r="E43" s="20">
        <v>3</v>
      </c>
      <c r="F43" s="20">
        <v>65</v>
      </c>
      <c r="G43" s="21" t="s">
        <v>63</v>
      </c>
      <c r="H43" s="20" t="s">
        <v>50</v>
      </c>
      <c r="I43" s="20" t="s">
        <v>33</v>
      </c>
      <c r="J43" s="20" t="s">
        <v>33</v>
      </c>
      <c r="K43" s="20" t="s">
        <v>28</v>
      </c>
      <c r="L43" s="20" t="s">
        <v>34</v>
      </c>
      <c r="M43" s="20" t="s">
        <v>33</v>
      </c>
      <c r="N43" s="20" t="s">
        <v>33</v>
      </c>
      <c r="O43" s="17" t="s">
        <v>25</v>
      </c>
      <c r="P43" s="20" t="s">
        <v>36</v>
      </c>
      <c r="Q43" s="22" t="s">
        <v>155</v>
      </c>
      <c r="R43" s="22" t="s">
        <v>155</v>
      </c>
    </row>
    <row r="44" spans="1:18" ht="37.5">
      <c r="A44" s="15">
        <v>43</v>
      </c>
      <c r="B44" s="16" t="s">
        <v>18</v>
      </c>
      <c r="C44" s="26" t="s">
        <v>156</v>
      </c>
      <c r="D44" s="20">
        <v>14314576</v>
      </c>
      <c r="E44" s="34" t="s">
        <v>45</v>
      </c>
      <c r="F44" s="20">
        <v>47</v>
      </c>
      <c r="G44" s="21" t="s">
        <v>20</v>
      </c>
      <c r="H44" s="20" t="s">
        <v>157</v>
      </c>
      <c r="I44" s="20" t="s">
        <v>33</v>
      </c>
      <c r="J44" s="20" t="s">
        <v>33</v>
      </c>
      <c r="K44" s="20" t="s">
        <v>33</v>
      </c>
      <c r="L44" s="20" t="s">
        <v>34</v>
      </c>
      <c r="M44" s="20" t="s">
        <v>35</v>
      </c>
      <c r="N44" s="20" t="s">
        <v>33</v>
      </c>
      <c r="O44" s="17" t="s">
        <v>25</v>
      </c>
      <c r="P44" s="20" t="s">
        <v>36</v>
      </c>
      <c r="Q44" s="35" t="s">
        <v>158</v>
      </c>
      <c r="R44" s="35" t="s">
        <v>158</v>
      </c>
    </row>
    <row r="45" spans="1:18" ht="36">
      <c r="A45" s="15">
        <v>44</v>
      </c>
      <c r="B45" s="16" t="s">
        <v>18</v>
      </c>
      <c r="C45" s="26" t="s">
        <v>159</v>
      </c>
      <c r="D45" s="20">
        <v>10006862</v>
      </c>
      <c r="E45" s="20">
        <v>1</v>
      </c>
      <c r="F45" s="20">
        <v>55</v>
      </c>
      <c r="G45" s="21" t="s">
        <v>20</v>
      </c>
      <c r="H45" s="20" t="s">
        <v>160</v>
      </c>
      <c r="I45" s="20" t="s">
        <v>33</v>
      </c>
      <c r="J45" s="20" t="s">
        <v>33</v>
      </c>
      <c r="K45" s="20" t="s">
        <v>33</v>
      </c>
      <c r="L45" s="20" t="s">
        <v>34</v>
      </c>
      <c r="M45" s="20" t="s">
        <v>35</v>
      </c>
      <c r="N45" s="20" t="s">
        <v>33</v>
      </c>
      <c r="O45" s="17" t="s">
        <v>25</v>
      </c>
      <c r="P45" s="20" t="s">
        <v>36</v>
      </c>
      <c r="Q45" s="36" t="s">
        <v>161</v>
      </c>
      <c r="R45" s="36" t="s">
        <v>161</v>
      </c>
    </row>
    <row r="46" spans="1:18" ht="36">
      <c r="A46" s="15">
        <v>45</v>
      </c>
      <c r="B46" s="16" t="s">
        <v>18</v>
      </c>
      <c r="C46" s="26" t="s">
        <v>162</v>
      </c>
      <c r="D46" s="37">
        <v>7600431</v>
      </c>
      <c r="E46" s="37">
        <v>5</v>
      </c>
      <c r="F46" s="3"/>
      <c r="G46" s="38" t="s">
        <v>120</v>
      </c>
      <c r="H46" s="20" t="s">
        <v>160</v>
      </c>
      <c r="I46" s="20" t="s">
        <v>33</v>
      </c>
      <c r="J46" s="20" t="s">
        <v>33</v>
      </c>
      <c r="K46" s="20" t="s">
        <v>33</v>
      </c>
      <c r="L46" s="20" t="s">
        <v>34</v>
      </c>
      <c r="M46" s="20" t="s">
        <v>35</v>
      </c>
      <c r="N46" s="20" t="s">
        <v>33</v>
      </c>
      <c r="O46" s="17" t="s">
        <v>25</v>
      </c>
      <c r="P46" s="20" t="s">
        <v>36</v>
      </c>
      <c r="Q46" s="36" t="s">
        <v>163</v>
      </c>
      <c r="R46" s="36" t="s">
        <v>163</v>
      </c>
    </row>
    <row r="47" spans="1:18" ht="36">
      <c r="A47" s="15">
        <v>46</v>
      </c>
      <c r="B47" s="16" t="s">
        <v>18</v>
      </c>
      <c r="C47" s="26" t="s">
        <v>164</v>
      </c>
      <c r="D47" s="26">
        <v>18010376</v>
      </c>
      <c r="E47" s="39">
        <v>7</v>
      </c>
      <c r="F47" s="26">
        <v>32</v>
      </c>
      <c r="G47" s="26" t="s">
        <v>165</v>
      </c>
      <c r="H47" s="26" t="s">
        <v>143</v>
      </c>
      <c r="I47" s="26" t="s">
        <v>32</v>
      </c>
      <c r="J47" s="26" t="s">
        <v>166</v>
      </c>
      <c r="K47" s="39" t="s">
        <v>35</v>
      </c>
      <c r="L47" s="26" t="s">
        <v>167</v>
      </c>
      <c r="M47" s="26" t="s">
        <v>33</v>
      </c>
      <c r="N47" s="20" t="s">
        <v>33</v>
      </c>
      <c r="O47" s="17" t="s">
        <v>25</v>
      </c>
      <c r="P47" s="20" t="s">
        <v>36</v>
      </c>
      <c r="Q47" s="36" t="s">
        <v>168</v>
      </c>
      <c r="R47" s="36" t="s">
        <v>168</v>
      </c>
    </row>
    <row r="48" spans="1:18" ht="37.5">
      <c r="A48" s="15">
        <v>47</v>
      </c>
      <c r="B48" s="19" t="s">
        <v>28</v>
      </c>
      <c r="C48" s="26" t="s">
        <v>169</v>
      </c>
      <c r="D48" s="40">
        <v>15574392</v>
      </c>
      <c r="E48" s="26">
        <v>1</v>
      </c>
      <c r="F48" s="34">
        <v>46</v>
      </c>
      <c r="G48" s="34" t="s">
        <v>120</v>
      </c>
      <c r="H48" s="26" t="s">
        <v>170</v>
      </c>
      <c r="I48" s="34" t="s">
        <v>33</v>
      </c>
      <c r="J48" s="34" t="s">
        <v>33</v>
      </c>
      <c r="K48" s="34" t="s">
        <v>33</v>
      </c>
      <c r="L48" s="34" t="s">
        <v>171</v>
      </c>
      <c r="M48" s="34" t="s">
        <v>33</v>
      </c>
      <c r="N48" s="20" t="s">
        <v>33</v>
      </c>
      <c r="O48" s="17" t="s">
        <v>25</v>
      </c>
      <c r="P48" s="20" t="s">
        <v>36</v>
      </c>
      <c r="Q48" s="26" t="s">
        <v>172</v>
      </c>
      <c r="R48" s="26" t="s">
        <v>172</v>
      </c>
    </row>
    <row r="49" spans="1:18" ht="37.5">
      <c r="A49" s="15">
        <v>48</v>
      </c>
      <c r="B49" s="19" t="s">
        <v>28</v>
      </c>
      <c r="C49" s="21" t="s">
        <v>173</v>
      </c>
      <c r="D49" s="21">
        <v>4642088</v>
      </c>
      <c r="E49" s="21">
        <v>8</v>
      </c>
      <c r="F49" s="21">
        <v>80</v>
      </c>
      <c r="G49" s="21" t="s">
        <v>20</v>
      </c>
      <c r="H49" s="21" t="s">
        <v>95</v>
      </c>
      <c r="I49" s="21" t="s">
        <v>33</v>
      </c>
      <c r="J49" s="21" t="s">
        <v>35</v>
      </c>
      <c r="K49" s="21" t="s">
        <v>35</v>
      </c>
      <c r="L49" s="21" t="s">
        <v>51</v>
      </c>
      <c r="M49" s="21" t="s">
        <v>35</v>
      </c>
      <c r="N49" s="20" t="s">
        <v>33</v>
      </c>
      <c r="O49" s="17" t="s">
        <v>25</v>
      </c>
      <c r="P49" s="20" t="s">
        <v>36</v>
      </c>
      <c r="Q49" s="21" t="s">
        <v>174</v>
      </c>
      <c r="R49" s="21" t="s">
        <v>174</v>
      </c>
    </row>
    <row r="50" spans="1:18" ht="94.5">
      <c r="A50" s="15">
        <v>49</v>
      </c>
      <c r="B50" s="16" t="s">
        <v>18</v>
      </c>
      <c r="C50" s="21" t="s">
        <v>175</v>
      </c>
      <c r="D50" s="21">
        <v>5108602</v>
      </c>
      <c r="E50" s="21">
        <v>3</v>
      </c>
      <c r="F50" s="23">
        <v>77</v>
      </c>
      <c r="G50" s="21" t="s">
        <v>20</v>
      </c>
      <c r="H50" s="21" t="s">
        <v>176</v>
      </c>
      <c r="I50" s="23">
        <v>2023</v>
      </c>
      <c r="J50" s="24">
        <v>45061</v>
      </c>
      <c r="K50" s="21" t="s">
        <v>83</v>
      </c>
      <c r="L50" s="42" t="s">
        <v>51</v>
      </c>
      <c r="M50" s="24">
        <v>45092</v>
      </c>
      <c r="N50" s="41" t="s">
        <v>177</v>
      </c>
      <c r="O50" s="17" t="s">
        <v>25</v>
      </c>
      <c r="P50" s="20" t="s">
        <v>26</v>
      </c>
      <c r="Q50" s="21" t="s">
        <v>178</v>
      </c>
      <c r="R50" s="21" t="s">
        <v>179</v>
      </c>
    </row>
    <row r="51" spans="1:18" ht="51.75" customHeight="1">
      <c r="A51" s="15">
        <v>50</v>
      </c>
      <c r="B51" s="16" t="s">
        <v>18</v>
      </c>
      <c r="C51" s="39" t="s">
        <v>180</v>
      </c>
      <c r="D51" s="39">
        <v>28043220</v>
      </c>
      <c r="E51" s="39">
        <v>2</v>
      </c>
      <c r="F51" s="39">
        <v>87</v>
      </c>
      <c r="G51" s="26" t="s">
        <v>20</v>
      </c>
      <c r="H51" s="39" t="s">
        <v>181</v>
      </c>
      <c r="I51" s="43">
        <v>45237</v>
      </c>
      <c r="J51" s="43">
        <v>45237</v>
      </c>
      <c r="K51" s="26" t="s">
        <v>18</v>
      </c>
      <c r="L51" s="39" t="s">
        <v>23</v>
      </c>
      <c r="M51" s="44">
        <v>45316</v>
      </c>
      <c r="N51" s="26" t="s">
        <v>182</v>
      </c>
      <c r="O51" s="17" t="s">
        <v>25</v>
      </c>
      <c r="P51" s="26" t="s">
        <v>26</v>
      </c>
      <c r="Q51" s="43" t="s">
        <v>183</v>
      </c>
      <c r="R51" s="43" t="s">
        <v>183</v>
      </c>
    </row>
    <row r="52" spans="1:18" ht="37.5">
      <c r="A52" s="15">
        <v>51</v>
      </c>
      <c r="B52" s="16" t="s">
        <v>18</v>
      </c>
      <c r="C52" s="20" t="s">
        <v>184</v>
      </c>
      <c r="D52" s="20">
        <v>8075371</v>
      </c>
      <c r="E52" s="20">
        <v>3</v>
      </c>
      <c r="F52" s="20">
        <v>65</v>
      </c>
      <c r="G52" s="21" t="s">
        <v>63</v>
      </c>
      <c r="H52" s="20" t="s">
        <v>50</v>
      </c>
      <c r="I52" s="20" t="s">
        <v>32</v>
      </c>
      <c r="J52" s="20" t="s">
        <v>166</v>
      </c>
      <c r="K52" s="20" t="s">
        <v>28</v>
      </c>
      <c r="L52" s="20" t="s">
        <v>51</v>
      </c>
      <c r="M52" s="20" t="s">
        <v>33</v>
      </c>
      <c r="N52" s="20" t="s">
        <v>33</v>
      </c>
      <c r="O52" s="17" t="s">
        <v>25</v>
      </c>
      <c r="P52" s="20" t="s">
        <v>36</v>
      </c>
      <c r="Q52" s="20" t="s">
        <v>185</v>
      </c>
      <c r="R52" s="20" t="s">
        <v>185</v>
      </c>
    </row>
    <row r="53" spans="1:18" ht="31.5" customHeight="1">
      <c r="A53" s="15">
        <v>52</v>
      </c>
      <c r="B53" s="16" t="s">
        <v>18</v>
      </c>
      <c r="C53" s="26" t="s">
        <v>186</v>
      </c>
      <c r="D53" s="26">
        <v>4714019</v>
      </c>
      <c r="E53" s="26">
        <v>6</v>
      </c>
      <c r="F53" s="26">
        <v>79</v>
      </c>
      <c r="G53" s="26" t="s">
        <v>20</v>
      </c>
      <c r="H53" s="26" t="s">
        <v>187</v>
      </c>
      <c r="I53" s="26">
        <v>2023</v>
      </c>
      <c r="J53" s="44">
        <v>44970</v>
      </c>
      <c r="K53" s="26" t="s">
        <v>18</v>
      </c>
      <c r="L53" s="26" t="s">
        <v>84</v>
      </c>
      <c r="M53" s="44">
        <v>45078</v>
      </c>
      <c r="N53" s="26" t="s">
        <v>188</v>
      </c>
      <c r="O53" s="17" t="s">
        <v>25</v>
      </c>
      <c r="P53" s="26" t="s">
        <v>26</v>
      </c>
      <c r="Q53" s="26" t="s">
        <v>189</v>
      </c>
      <c r="R53" s="26" t="s">
        <v>189</v>
      </c>
    </row>
    <row r="54" spans="1:18" ht="37.5">
      <c r="A54" s="15">
        <v>53</v>
      </c>
      <c r="B54" s="16" t="s">
        <v>18</v>
      </c>
      <c r="C54" s="26" t="s">
        <v>190</v>
      </c>
      <c r="D54" s="26">
        <v>17114213</v>
      </c>
      <c r="E54" s="34" t="s">
        <v>45</v>
      </c>
      <c r="F54" s="34">
        <v>35</v>
      </c>
      <c r="G54" s="26" t="s">
        <v>191</v>
      </c>
      <c r="H54" s="26" t="s">
        <v>143</v>
      </c>
      <c r="I54" s="26" t="s">
        <v>33</v>
      </c>
      <c r="J54" s="26" t="s">
        <v>33</v>
      </c>
      <c r="K54" s="26" t="s">
        <v>33</v>
      </c>
      <c r="L54" s="26" t="s">
        <v>171</v>
      </c>
      <c r="M54" s="26" t="s">
        <v>35</v>
      </c>
      <c r="N54" s="20" t="s">
        <v>33</v>
      </c>
      <c r="O54" s="17" t="s">
        <v>25</v>
      </c>
      <c r="P54" s="20" t="s">
        <v>36</v>
      </c>
      <c r="Q54" s="26" t="s">
        <v>192</v>
      </c>
      <c r="R54" s="26" t="s">
        <v>192</v>
      </c>
    </row>
    <row r="55" spans="1:18" ht="63.75" customHeight="1">
      <c r="A55" s="15">
        <v>54</v>
      </c>
      <c r="B55" s="16" t="s">
        <v>18</v>
      </c>
      <c r="C55" s="26" t="s">
        <v>193</v>
      </c>
      <c r="D55" s="34">
        <v>7247793</v>
      </c>
      <c r="E55" s="34">
        <v>6</v>
      </c>
      <c r="F55" s="34">
        <v>76</v>
      </c>
      <c r="G55" s="26" t="s">
        <v>120</v>
      </c>
      <c r="H55" s="34" t="s">
        <v>143</v>
      </c>
      <c r="I55" s="26" t="s">
        <v>33</v>
      </c>
      <c r="J55" s="26" t="s">
        <v>33</v>
      </c>
      <c r="K55" s="26" t="s">
        <v>33</v>
      </c>
      <c r="L55" s="26" t="s">
        <v>171</v>
      </c>
      <c r="M55" s="34" t="s">
        <v>33</v>
      </c>
      <c r="N55" s="20" t="s">
        <v>33</v>
      </c>
      <c r="O55" s="17" t="s">
        <v>25</v>
      </c>
      <c r="P55" s="20" t="s">
        <v>36</v>
      </c>
      <c r="Q55" s="26" t="s">
        <v>192</v>
      </c>
      <c r="R55" s="26" t="s">
        <v>192</v>
      </c>
    </row>
    <row r="56" spans="1:18" ht="57">
      <c r="A56" s="15">
        <v>55</v>
      </c>
      <c r="B56" s="16" t="s">
        <v>18</v>
      </c>
      <c r="C56" s="26" t="s">
        <v>194</v>
      </c>
      <c r="D56" s="26">
        <v>4348346</v>
      </c>
      <c r="E56" s="26">
        <v>3</v>
      </c>
      <c r="F56" s="26">
        <v>84</v>
      </c>
      <c r="G56" s="26" t="s">
        <v>120</v>
      </c>
      <c r="H56" s="26" t="s">
        <v>143</v>
      </c>
      <c r="I56" s="26" t="s">
        <v>33</v>
      </c>
      <c r="J56" s="26" t="s">
        <v>33</v>
      </c>
      <c r="K56" s="26" t="s">
        <v>33</v>
      </c>
      <c r="L56" s="26" t="s">
        <v>171</v>
      </c>
      <c r="M56" s="26" t="s">
        <v>33</v>
      </c>
      <c r="N56" s="20" t="s">
        <v>33</v>
      </c>
      <c r="O56" s="17" t="s">
        <v>25</v>
      </c>
      <c r="P56" s="20" t="s">
        <v>36</v>
      </c>
      <c r="Q56" s="26" t="s">
        <v>195</v>
      </c>
      <c r="R56" s="26" t="s">
        <v>195</v>
      </c>
    </row>
    <row r="57" spans="1:18" ht="50.25" customHeight="1">
      <c r="A57" s="15">
        <v>56</v>
      </c>
      <c r="B57" s="19" t="s">
        <v>28</v>
      </c>
      <c r="C57" s="26" t="s">
        <v>196</v>
      </c>
      <c r="D57" s="26">
        <v>8261178</v>
      </c>
      <c r="E57" s="26">
        <v>9</v>
      </c>
      <c r="F57" s="26">
        <v>65</v>
      </c>
      <c r="G57" s="26" t="s">
        <v>165</v>
      </c>
      <c r="H57" s="21" t="s">
        <v>197</v>
      </c>
      <c r="I57" s="26" t="s">
        <v>33</v>
      </c>
      <c r="J57" s="26" t="s">
        <v>33</v>
      </c>
      <c r="K57" s="26" t="s">
        <v>28</v>
      </c>
      <c r="L57" s="20" t="s">
        <v>51</v>
      </c>
      <c r="M57" s="26" t="s">
        <v>33</v>
      </c>
      <c r="N57" s="20" t="s">
        <v>33</v>
      </c>
      <c r="O57" s="17" t="s">
        <v>25</v>
      </c>
      <c r="P57" s="20" t="s">
        <v>36</v>
      </c>
      <c r="Q57" s="26" t="s">
        <v>198</v>
      </c>
      <c r="R57" s="26" t="s">
        <v>198</v>
      </c>
    </row>
    <row r="58" spans="1:18" ht="37.5">
      <c r="A58" s="15">
        <v>57</v>
      </c>
      <c r="B58" s="16" t="s">
        <v>18</v>
      </c>
      <c r="C58" s="26" t="s">
        <v>199</v>
      </c>
      <c r="D58" s="34">
        <v>9459027</v>
      </c>
      <c r="E58" s="34">
        <v>2</v>
      </c>
      <c r="F58" s="34">
        <v>61</v>
      </c>
      <c r="G58" s="26" t="s">
        <v>120</v>
      </c>
      <c r="H58" s="34" t="s">
        <v>143</v>
      </c>
      <c r="I58" s="26" t="s">
        <v>33</v>
      </c>
      <c r="J58" s="26" t="s">
        <v>33</v>
      </c>
      <c r="K58" s="26" t="s">
        <v>33</v>
      </c>
      <c r="L58" s="26" t="s">
        <v>171</v>
      </c>
      <c r="M58" s="34" t="s">
        <v>33</v>
      </c>
      <c r="N58" s="20" t="s">
        <v>33</v>
      </c>
      <c r="O58" s="17" t="s">
        <v>25</v>
      </c>
      <c r="P58" s="20" t="s">
        <v>36</v>
      </c>
      <c r="Q58" s="26" t="s">
        <v>200</v>
      </c>
      <c r="R58" s="26" t="s">
        <v>200</v>
      </c>
    </row>
    <row r="59" spans="1:18" ht="57.75" customHeight="1">
      <c r="A59" s="15">
        <v>58</v>
      </c>
      <c r="B59" s="16" t="s">
        <v>18</v>
      </c>
      <c r="C59" s="25" t="s">
        <v>201</v>
      </c>
      <c r="D59" s="25">
        <v>18012065</v>
      </c>
      <c r="E59" s="25">
        <v>3</v>
      </c>
      <c r="F59" s="45">
        <v>32</v>
      </c>
      <c r="G59" s="25" t="s">
        <v>20</v>
      </c>
      <c r="H59" s="46" t="s">
        <v>202</v>
      </c>
      <c r="I59" s="45">
        <v>2018</v>
      </c>
      <c r="J59" s="31">
        <v>43277</v>
      </c>
      <c r="K59" s="25" t="s">
        <v>203</v>
      </c>
      <c r="L59" s="25" t="s">
        <v>84</v>
      </c>
      <c r="M59" s="25" t="s">
        <v>33</v>
      </c>
      <c r="N59" s="20" t="s">
        <v>33</v>
      </c>
      <c r="O59" s="21" t="s">
        <v>42</v>
      </c>
      <c r="P59" s="25" t="s">
        <v>26</v>
      </c>
      <c r="Q59" s="25" t="s">
        <v>204</v>
      </c>
      <c r="R59" s="25" t="s">
        <v>204</v>
      </c>
    </row>
    <row r="60" spans="1:18" ht="39" customHeight="1">
      <c r="A60" s="15">
        <v>59</v>
      </c>
      <c r="B60" s="16" t="s">
        <v>18</v>
      </c>
      <c r="C60" s="39" t="s">
        <v>205</v>
      </c>
      <c r="D60" s="39">
        <v>15044515</v>
      </c>
      <c r="E60" s="39">
        <v>9</v>
      </c>
      <c r="F60" s="47">
        <v>41</v>
      </c>
      <c r="G60" s="26" t="s">
        <v>58</v>
      </c>
      <c r="H60" s="39" t="s">
        <v>206</v>
      </c>
      <c r="I60" s="47" t="s">
        <v>33</v>
      </c>
      <c r="J60" s="39" t="s">
        <v>33</v>
      </c>
      <c r="K60" s="39" t="s">
        <v>28</v>
      </c>
      <c r="L60" s="39" t="s">
        <v>51</v>
      </c>
      <c r="M60" s="43" t="s">
        <v>35</v>
      </c>
      <c r="N60" s="20" t="s">
        <v>33</v>
      </c>
      <c r="O60" s="17" t="s">
        <v>25</v>
      </c>
      <c r="P60" s="20" t="s">
        <v>36</v>
      </c>
      <c r="Q60" s="43" t="s">
        <v>207</v>
      </c>
      <c r="R60" s="43" t="s">
        <v>207</v>
      </c>
    </row>
    <row r="61" spans="1:18" s="1" customFormat="1" ht="18.75">
      <c r="A61" s="15">
        <v>60</v>
      </c>
      <c r="B61" s="19" t="s">
        <v>28</v>
      </c>
      <c r="C61" s="39" t="s">
        <v>208</v>
      </c>
      <c r="D61" s="39">
        <v>10523548</v>
      </c>
      <c r="E61" s="39">
        <v>8</v>
      </c>
      <c r="F61" s="39">
        <v>55</v>
      </c>
      <c r="G61" s="26" t="s">
        <v>20</v>
      </c>
      <c r="H61" s="39" t="s">
        <v>209</v>
      </c>
      <c r="I61" s="39" t="s">
        <v>33</v>
      </c>
      <c r="J61" s="39" t="s">
        <v>33</v>
      </c>
      <c r="K61" s="39" t="s">
        <v>33</v>
      </c>
      <c r="L61" s="39" t="s">
        <v>23</v>
      </c>
      <c r="M61" s="39" t="s">
        <v>33</v>
      </c>
      <c r="N61" s="20" t="s">
        <v>33</v>
      </c>
      <c r="O61" s="17" t="s">
        <v>25</v>
      </c>
      <c r="P61" s="20" t="s">
        <v>36</v>
      </c>
      <c r="Q61" s="43" t="s">
        <v>210</v>
      </c>
      <c r="R61" s="43" t="s">
        <v>210</v>
      </c>
    </row>
    <row r="62" spans="1:18" ht="18.75">
      <c r="A62" s="15">
        <v>61</v>
      </c>
      <c r="B62" s="16" t="s">
        <v>18</v>
      </c>
      <c r="C62" s="26" t="s">
        <v>211</v>
      </c>
      <c r="D62" s="34">
        <v>6316890</v>
      </c>
      <c r="E62" s="34">
        <v>4</v>
      </c>
      <c r="F62" s="34">
        <v>70</v>
      </c>
      <c r="G62" s="34" t="s">
        <v>20</v>
      </c>
      <c r="H62" s="34" t="s">
        <v>113</v>
      </c>
      <c r="I62" s="34" t="s">
        <v>33</v>
      </c>
      <c r="J62" s="34" t="s">
        <v>33</v>
      </c>
      <c r="K62" s="34" t="s">
        <v>33</v>
      </c>
      <c r="L62" s="34" t="s">
        <v>171</v>
      </c>
      <c r="M62" s="34" t="s">
        <v>35</v>
      </c>
      <c r="N62" s="20" t="s">
        <v>33</v>
      </c>
      <c r="O62" s="17" t="s">
        <v>25</v>
      </c>
      <c r="P62" s="20" t="s">
        <v>36</v>
      </c>
      <c r="Q62" s="26" t="s">
        <v>212</v>
      </c>
      <c r="R62" s="26" t="s">
        <v>212</v>
      </c>
    </row>
    <row r="63" spans="1:18" s="1" customFormat="1" ht="75.75">
      <c r="A63" s="15">
        <v>62</v>
      </c>
      <c r="B63" s="16" t="s">
        <v>18</v>
      </c>
      <c r="C63" s="26" t="s">
        <v>213</v>
      </c>
      <c r="D63" s="26">
        <v>6962286</v>
      </c>
      <c r="E63" s="26">
        <v>0</v>
      </c>
      <c r="F63" s="26">
        <v>70</v>
      </c>
      <c r="G63" s="26" t="s">
        <v>30</v>
      </c>
      <c r="H63" s="26" t="s">
        <v>214</v>
      </c>
      <c r="I63" s="26">
        <v>2023</v>
      </c>
      <c r="J63" s="44">
        <v>45055</v>
      </c>
      <c r="K63" s="26" t="s">
        <v>18</v>
      </c>
      <c r="L63" s="26" t="s">
        <v>84</v>
      </c>
      <c r="M63" s="26" t="s">
        <v>215</v>
      </c>
      <c r="N63" s="26" t="s">
        <v>216</v>
      </c>
      <c r="O63" s="21" t="s">
        <v>42</v>
      </c>
      <c r="P63" s="26" t="s">
        <v>26</v>
      </c>
      <c r="Q63" s="26" t="s">
        <v>217</v>
      </c>
      <c r="R63" s="26" t="s">
        <v>217</v>
      </c>
    </row>
    <row r="64" spans="1:18" s="1" customFormat="1" ht="57">
      <c r="A64" s="15">
        <v>63</v>
      </c>
      <c r="B64" s="16" t="s">
        <v>18</v>
      </c>
      <c r="C64" s="48" t="s">
        <v>218</v>
      </c>
      <c r="D64" s="48">
        <v>3944603</v>
      </c>
      <c r="E64" s="48">
        <v>0</v>
      </c>
      <c r="F64" s="49">
        <v>96</v>
      </c>
      <c r="G64" s="50" t="s">
        <v>20</v>
      </c>
      <c r="H64" s="48" t="s">
        <v>219</v>
      </c>
      <c r="I64" s="49">
        <v>2023</v>
      </c>
      <c r="J64" s="51">
        <v>45160</v>
      </c>
      <c r="K64" s="48" t="s">
        <v>28</v>
      </c>
      <c r="L64" s="48" t="s">
        <v>23</v>
      </c>
      <c r="M64" s="48" t="s">
        <v>35</v>
      </c>
      <c r="N64" s="20" t="s">
        <v>33</v>
      </c>
      <c r="O64" s="17" t="s">
        <v>25</v>
      </c>
      <c r="P64" s="26" t="s">
        <v>26</v>
      </c>
      <c r="Q64" s="26" t="s">
        <v>220</v>
      </c>
      <c r="R64" s="26" t="s">
        <v>220</v>
      </c>
    </row>
    <row r="65" spans="1:18" ht="37.5">
      <c r="A65" s="15">
        <v>64</v>
      </c>
      <c r="B65" s="19" t="s">
        <v>28</v>
      </c>
      <c r="C65" s="26" t="s">
        <v>221</v>
      </c>
      <c r="D65" s="34">
        <v>6274266</v>
      </c>
      <c r="E65" s="34">
        <v>6</v>
      </c>
      <c r="F65" s="34">
        <v>71</v>
      </c>
      <c r="G65" s="34" t="s">
        <v>120</v>
      </c>
      <c r="H65" s="26" t="s">
        <v>222</v>
      </c>
      <c r="I65" s="34" t="s">
        <v>33</v>
      </c>
      <c r="J65" s="34" t="s">
        <v>33</v>
      </c>
      <c r="K65" s="34" t="s">
        <v>28</v>
      </c>
      <c r="L65" s="34" t="s">
        <v>171</v>
      </c>
      <c r="M65" s="34" t="s">
        <v>33</v>
      </c>
      <c r="N65" s="20" t="s">
        <v>33</v>
      </c>
      <c r="O65" s="17" t="s">
        <v>25</v>
      </c>
      <c r="P65" s="20" t="s">
        <v>36</v>
      </c>
      <c r="Q65" s="26" t="s">
        <v>223</v>
      </c>
      <c r="R65" s="26" t="s">
        <v>223</v>
      </c>
    </row>
    <row r="66" spans="1:18" s="1" customFormat="1" ht="37.5">
      <c r="A66" s="15">
        <v>65</v>
      </c>
      <c r="B66" s="16" t="s">
        <v>18</v>
      </c>
      <c r="C66" s="26" t="s">
        <v>224</v>
      </c>
      <c r="D66" s="34">
        <v>6266463</v>
      </c>
      <c r="E66" s="34">
        <v>0</v>
      </c>
      <c r="F66" s="34">
        <v>77</v>
      </c>
      <c r="G66" s="34" t="s">
        <v>120</v>
      </c>
      <c r="H66" s="26" t="s">
        <v>225</v>
      </c>
      <c r="I66" s="34">
        <v>2023</v>
      </c>
      <c r="J66" s="52">
        <v>44942</v>
      </c>
      <c r="K66" s="34" t="s">
        <v>28</v>
      </c>
      <c r="L66" s="34" t="s">
        <v>226</v>
      </c>
      <c r="M66" s="26" t="s">
        <v>227</v>
      </c>
      <c r="N66" s="34"/>
      <c r="O66" s="21" t="s">
        <v>42</v>
      </c>
      <c r="P66" s="20" t="s">
        <v>108</v>
      </c>
      <c r="Q66" s="26" t="s">
        <v>228</v>
      </c>
      <c r="R66" s="26" t="s">
        <v>228</v>
      </c>
    </row>
    <row r="67" spans="1:18" s="1" customFormat="1" ht="124.5" customHeight="1">
      <c r="A67" s="15">
        <v>66</v>
      </c>
      <c r="B67" s="16" t="s">
        <v>18</v>
      </c>
      <c r="C67" s="50" t="s">
        <v>229</v>
      </c>
      <c r="D67" s="53">
        <v>17363741</v>
      </c>
      <c r="E67" s="50">
        <v>1</v>
      </c>
      <c r="F67" s="50">
        <v>34</v>
      </c>
      <c r="G67" s="50" t="s">
        <v>120</v>
      </c>
      <c r="H67" s="50" t="s">
        <v>230</v>
      </c>
      <c r="I67" s="50">
        <v>2023</v>
      </c>
      <c r="J67" s="54">
        <v>45160</v>
      </c>
      <c r="K67" s="50" t="s">
        <v>28</v>
      </c>
      <c r="L67" s="50" t="s">
        <v>23</v>
      </c>
      <c r="M67" s="54">
        <v>45119</v>
      </c>
      <c r="N67" s="161" t="s">
        <v>231</v>
      </c>
      <c r="O67" s="50" t="s">
        <v>149</v>
      </c>
      <c r="P67" s="20" t="s">
        <v>108</v>
      </c>
      <c r="Q67" s="50" t="s">
        <v>232</v>
      </c>
      <c r="R67" s="26" t="s">
        <v>232</v>
      </c>
    </row>
    <row r="68" spans="1:18" s="1" customFormat="1" ht="18.75">
      <c r="A68" s="15">
        <v>67</v>
      </c>
      <c r="B68" s="16" t="s">
        <v>18</v>
      </c>
      <c r="C68" s="26" t="s">
        <v>233</v>
      </c>
      <c r="D68" s="26">
        <v>4548966</v>
      </c>
      <c r="E68" s="26">
        <v>3</v>
      </c>
      <c r="F68" s="26">
        <v>92</v>
      </c>
      <c r="G68" s="26" t="s">
        <v>20</v>
      </c>
      <c r="H68" s="26" t="s">
        <v>143</v>
      </c>
      <c r="I68" s="26" t="s">
        <v>33</v>
      </c>
      <c r="J68" s="26" t="s">
        <v>33</v>
      </c>
      <c r="K68" s="26" t="s">
        <v>28</v>
      </c>
      <c r="L68" s="26" t="s">
        <v>171</v>
      </c>
      <c r="M68" s="26" t="s">
        <v>33</v>
      </c>
      <c r="N68" s="20" t="s">
        <v>33</v>
      </c>
      <c r="O68" s="17" t="s">
        <v>25</v>
      </c>
      <c r="P68" s="20" t="s">
        <v>36</v>
      </c>
      <c r="Q68" s="26" t="s">
        <v>234</v>
      </c>
      <c r="R68" s="26" t="s">
        <v>234</v>
      </c>
    </row>
    <row r="69" spans="1:18" s="1" customFormat="1" ht="37.5">
      <c r="A69" s="15">
        <v>68</v>
      </c>
      <c r="B69" s="16" t="s">
        <v>18</v>
      </c>
      <c r="C69" s="26" t="s">
        <v>235</v>
      </c>
      <c r="D69" s="34">
        <v>10351578</v>
      </c>
      <c r="E69" s="34">
        <v>5</v>
      </c>
      <c r="F69" s="34">
        <v>60</v>
      </c>
      <c r="G69" s="26" t="s">
        <v>30</v>
      </c>
      <c r="H69" s="34" t="s">
        <v>143</v>
      </c>
      <c r="I69" s="26" t="s">
        <v>33</v>
      </c>
      <c r="J69" s="26" t="s">
        <v>33</v>
      </c>
      <c r="K69" s="34" t="s">
        <v>18</v>
      </c>
      <c r="L69" s="34" t="s">
        <v>171</v>
      </c>
      <c r="M69" s="26" t="s">
        <v>33</v>
      </c>
      <c r="N69" s="20" t="s">
        <v>33</v>
      </c>
      <c r="O69" s="17" t="s">
        <v>25</v>
      </c>
      <c r="P69" s="34" t="s">
        <v>26</v>
      </c>
      <c r="Q69" s="26" t="s">
        <v>236</v>
      </c>
      <c r="R69" s="26" t="s">
        <v>236</v>
      </c>
    </row>
    <row r="70" spans="1:18" ht="37.5">
      <c r="A70" s="15">
        <v>69</v>
      </c>
      <c r="B70" s="19" t="s">
        <v>28</v>
      </c>
      <c r="C70" s="26" t="s">
        <v>237</v>
      </c>
      <c r="D70" s="34">
        <v>6327291</v>
      </c>
      <c r="E70" s="34">
        <v>4</v>
      </c>
      <c r="F70" s="34">
        <v>74</v>
      </c>
      <c r="G70" s="26" t="s">
        <v>30</v>
      </c>
      <c r="H70" s="34" t="s">
        <v>238</v>
      </c>
      <c r="I70" s="34">
        <v>2023</v>
      </c>
      <c r="J70" s="52">
        <v>45126</v>
      </c>
      <c r="K70" s="34" t="s">
        <v>33</v>
      </c>
      <c r="L70" s="34" t="s">
        <v>23</v>
      </c>
      <c r="M70" s="34" t="s">
        <v>33</v>
      </c>
      <c r="N70" s="20" t="s">
        <v>33</v>
      </c>
      <c r="O70" s="21" t="s">
        <v>42</v>
      </c>
      <c r="P70" s="20" t="s">
        <v>108</v>
      </c>
      <c r="Q70" s="26" t="s">
        <v>239</v>
      </c>
      <c r="R70" s="26" t="s">
        <v>239</v>
      </c>
    </row>
    <row r="71" spans="1:18" ht="37.5">
      <c r="A71" s="15">
        <v>70</v>
      </c>
      <c r="B71" s="16" t="s">
        <v>18</v>
      </c>
      <c r="C71" s="26" t="s">
        <v>240</v>
      </c>
      <c r="D71" s="34">
        <v>6120007</v>
      </c>
      <c r="E71" s="34" t="s">
        <v>45</v>
      </c>
      <c r="F71" s="34">
        <v>75</v>
      </c>
      <c r="G71" s="26" t="s">
        <v>20</v>
      </c>
      <c r="H71" s="26" t="s">
        <v>241</v>
      </c>
      <c r="I71" s="34">
        <v>2015</v>
      </c>
      <c r="J71" s="34">
        <v>2015</v>
      </c>
      <c r="K71" s="34" t="s">
        <v>28</v>
      </c>
      <c r="L71" s="34" t="s">
        <v>242</v>
      </c>
      <c r="M71" s="34" t="s">
        <v>33</v>
      </c>
      <c r="N71" s="20" t="s">
        <v>33</v>
      </c>
      <c r="O71" s="34" t="s">
        <v>149</v>
      </c>
      <c r="P71" s="20" t="s">
        <v>108</v>
      </c>
      <c r="Q71" s="26" t="s">
        <v>243</v>
      </c>
      <c r="R71" s="26" t="s">
        <v>243</v>
      </c>
    </row>
    <row r="72" spans="1:18" ht="18.75">
      <c r="A72" s="15">
        <v>71</v>
      </c>
      <c r="B72" s="19" t="s">
        <v>28</v>
      </c>
      <c r="C72" s="26" t="s">
        <v>244</v>
      </c>
      <c r="D72" s="34">
        <v>18352655</v>
      </c>
      <c r="E72" s="34">
        <v>3</v>
      </c>
      <c r="F72" s="34">
        <v>31</v>
      </c>
      <c r="G72" s="26" t="s">
        <v>20</v>
      </c>
      <c r="H72" s="34" t="s">
        <v>245</v>
      </c>
      <c r="I72" s="26" t="s">
        <v>33</v>
      </c>
      <c r="J72" s="34" t="s">
        <v>33</v>
      </c>
      <c r="K72" s="34" t="s">
        <v>33</v>
      </c>
      <c r="L72" s="34" t="s">
        <v>171</v>
      </c>
      <c r="M72" s="34" t="s">
        <v>33</v>
      </c>
      <c r="N72" s="20" t="s">
        <v>33</v>
      </c>
      <c r="O72" s="17" t="s">
        <v>25</v>
      </c>
      <c r="P72" s="20" t="s">
        <v>36</v>
      </c>
      <c r="Q72" s="26" t="s">
        <v>246</v>
      </c>
      <c r="R72" s="26" t="s">
        <v>246</v>
      </c>
    </row>
    <row r="73" spans="1:18" s="1" customFormat="1" ht="37.5">
      <c r="A73" s="15">
        <v>72</v>
      </c>
      <c r="B73" s="19" t="s">
        <v>28</v>
      </c>
      <c r="C73" s="39" t="s">
        <v>247</v>
      </c>
      <c r="D73" s="39">
        <v>15801336</v>
      </c>
      <c r="E73" s="39">
        <v>3</v>
      </c>
      <c r="F73" s="39">
        <v>39</v>
      </c>
      <c r="G73" s="26" t="s">
        <v>20</v>
      </c>
      <c r="H73" s="26" t="s">
        <v>248</v>
      </c>
      <c r="I73" s="39" t="s">
        <v>33</v>
      </c>
      <c r="J73" s="39" t="s">
        <v>33</v>
      </c>
      <c r="K73" s="39" t="s">
        <v>28</v>
      </c>
      <c r="L73" s="39" t="s">
        <v>51</v>
      </c>
      <c r="M73" s="27" t="s">
        <v>33</v>
      </c>
      <c r="N73" s="20" t="s">
        <v>33</v>
      </c>
      <c r="O73" s="17" t="s">
        <v>25</v>
      </c>
      <c r="P73" s="20" t="s">
        <v>36</v>
      </c>
      <c r="Q73" s="39" t="s">
        <v>249</v>
      </c>
      <c r="R73" s="39" t="s">
        <v>249</v>
      </c>
    </row>
    <row r="74" spans="1:18" s="1" customFormat="1" ht="37.5">
      <c r="A74" s="15">
        <v>73</v>
      </c>
      <c r="B74" s="16" t="s">
        <v>18</v>
      </c>
      <c r="C74" s="55" t="s">
        <v>250</v>
      </c>
      <c r="D74" s="56">
        <v>5308947</v>
      </c>
      <c r="E74" s="55" t="s">
        <v>45</v>
      </c>
      <c r="F74" s="55">
        <v>75</v>
      </c>
      <c r="G74" s="55" t="s">
        <v>20</v>
      </c>
      <c r="H74" s="55" t="s">
        <v>251</v>
      </c>
      <c r="I74" s="55" t="s">
        <v>33</v>
      </c>
      <c r="J74" s="55" t="s">
        <v>33</v>
      </c>
      <c r="K74" s="55" t="s">
        <v>33</v>
      </c>
      <c r="L74" s="57" t="s">
        <v>51</v>
      </c>
      <c r="M74" s="56" t="s">
        <v>33</v>
      </c>
      <c r="N74" s="58" t="s">
        <v>33</v>
      </c>
      <c r="O74" s="38" t="s">
        <v>25</v>
      </c>
      <c r="P74" s="20" t="s">
        <v>36</v>
      </c>
      <c r="Q74" s="55" t="s">
        <v>252</v>
      </c>
      <c r="R74" s="55" t="s">
        <v>252</v>
      </c>
    </row>
    <row r="75" spans="1:18" ht="37.5">
      <c r="A75" s="15">
        <v>74</v>
      </c>
      <c r="B75" s="16" t="s">
        <v>18</v>
      </c>
      <c r="C75" s="26" t="s">
        <v>253</v>
      </c>
      <c r="D75" s="34">
        <v>8213311</v>
      </c>
      <c r="E75" s="34">
        <v>2</v>
      </c>
      <c r="F75" s="34">
        <v>75</v>
      </c>
      <c r="G75" s="26" t="s">
        <v>20</v>
      </c>
      <c r="H75" s="34" t="s">
        <v>46</v>
      </c>
      <c r="I75" s="26" t="s">
        <v>33</v>
      </c>
      <c r="J75" s="26" t="s">
        <v>33</v>
      </c>
      <c r="K75" s="26" t="s">
        <v>33</v>
      </c>
      <c r="L75" s="39" t="s">
        <v>23</v>
      </c>
      <c r="M75" s="27" t="s">
        <v>33</v>
      </c>
      <c r="N75" s="20" t="s">
        <v>33</v>
      </c>
      <c r="O75" s="34" t="s">
        <v>149</v>
      </c>
      <c r="P75" s="20" t="s">
        <v>108</v>
      </c>
      <c r="Q75" s="26" t="s">
        <v>254</v>
      </c>
      <c r="R75" s="26" t="s">
        <v>254</v>
      </c>
    </row>
    <row r="76" spans="1:18" s="1" customFormat="1" ht="37.5">
      <c r="A76" s="15">
        <v>75</v>
      </c>
      <c r="B76" s="19" t="s">
        <v>28</v>
      </c>
      <c r="C76" s="59" t="s">
        <v>255</v>
      </c>
      <c r="D76" s="60">
        <v>15039897</v>
      </c>
      <c r="E76" s="34">
        <v>5</v>
      </c>
      <c r="F76" s="34">
        <v>42</v>
      </c>
      <c r="G76" s="27" t="s">
        <v>20</v>
      </c>
      <c r="H76" s="26" t="s">
        <v>256</v>
      </c>
      <c r="I76" s="61" t="s">
        <v>33</v>
      </c>
      <c r="J76" s="26" t="s">
        <v>33</v>
      </c>
      <c r="K76" s="26" t="s">
        <v>33</v>
      </c>
      <c r="L76" s="39" t="s">
        <v>51</v>
      </c>
      <c r="M76" s="27" t="s">
        <v>33</v>
      </c>
      <c r="N76" s="27" t="s">
        <v>33</v>
      </c>
      <c r="O76" s="39" t="s">
        <v>25</v>
      </c>
      <c r="P76" s="39" t="s">
        <v>36</v>
      </c>
      <c r="Q76" s="26" t="s">
        <v>257</v>
      </c>
      <c r="R76" s="26" t="s">
        <v>257</v>
      </c>
    </row>
    <row r="77" spans="1:18" s="1" customFormat="1" ht="37.5">
      <c r="A77" s="15">
        <v>76</v>
      </c>
      <c r="B77" s="19" t="s">
        <v>28</v>
      </c>
      <c r="C77" s="39" t="s">
        <v>258</v>
      </c>
      <c r="D77" s="39">
        <v>7582288</v>
      </c>
      <c r="E77" s="39" t="s">
        <v>45</v>
      </c>
      <c r="F77" s="39">
        <v>78</v>
      </c>
      <c r="G77" s="27" t="s">
        <v>30</v>
      </c>
      <c r="H77" s="26" t="s">
        <v>259</v>
      </c>
      <c r="I77" s="39">
        <v>2022</v>
      </c>
      <c r="J77" s="43">
        <v>44875</v>
      </c>
      <c r="K77" s="26" t="s">
        <v>18</v>
      </c>
      <c r="L77" s="39" t="s">
        <v>23</v>
      </c>
      <c r="M77" s="43">
        <v>45204</v>
      </c>
      <c r="N77" s="43" t="s">
        <v>260</v>
      </c>
      <c r="O77" s="26" t="s">
        <v>42</v>
      </c>
      <c r="P77" s="39" t="s">
        <v>26</v>
      </c>
      <c r="Q77" s="39" t="s">
        <v>261</v>
      </c>
      <c r="R77" s="39" t="s">
        <v>261</v>
      </c>
    </row>
    <row r="78" spans="1:18" s="1" customFormat="1" ht="37.5">
      <c r="A78" s="15">
        <v>77</v>
      </c>
      <c r="B78" s="16" t="s">
        <v>18</v>
      </c>
      <c r="C78" s="26" t="s">
        <v>262</v>
      </c>
      <c r="D78" s="34">
        <v>5701748</v>
      </c>
      <c r="E78" s="34">
        <v>1</v>
      </c>
      <c r="F78" s="34">
        <v>76</v>
      </c>
      <c r="G78" s="27" t="s">
        <v>20</v>
      </c>
      <c r="H78" s="55" t="s">
        <v>251</v>
      </c>
      <c r="I78" s="34" t="s">
        <v>33</v>
      </c>
      <c r="J78" s="34" t="s">
        <v>33</v>
      </c>
      <c r="K78" s="34" t="s">
        <v>33</v>
      </c>
      <c r="L78" s="34" t="s">
        <v>51</v>
      </c>
      <c r="M78" s="34" t="s">
        <v>33</v>
      </c>
      <c r="N78" s="34" t="s">
        <v>33</v>
      </c>
      <c r="O78" s="39" t="s">
        <v>25</v>
      </c>
      <c r="P78" s="39" t="s">
        <v>26</v>
      </c>
      <c r="Q78" s="26" t="s">
        <v>263</v>
      </c>
      <c r="R78" s="26" t="s">
        <v>263</v>
      </c>
    </row>
    <row r="79" spans="1:18" s="1" customFormat="1" ht="18.75">
      <c r="A79" s="15">
        <v>78</v>
      </c>
      <c r="B79" s="16" t="s">
        <v>18</v>
      </c>
      <c r="C79" s="55" t="s">
        <v>264</v>
      </c>
      <c r="D79" s="62">
        <v>12572835</v>
      </c>
      <c r="E79" s="62">
        <v>9</v>
      </c>
      <c r="F79" s="62">
        <v>49</v>
      </c>
      <c r="G79" s="56" t="s">
        <v>20</v>
      </c>
      <c r="H79" s="62" t="s">
        <v>113</v>
      </c>
      <c r="I79" s="62" t="s">
        <v>33</v>
      </c>
      <c r="J79" s="62" t="s">
        <v>33</v>
      </c>
      <c r="K79" s="62" t="s">
        <v>33</v>
      </c>
      <c r="L79" s="62" t="s">
        <v>51</v>
      </c>
      <c r="M79" s="62" t="s">
        <v>33</v>
      </c>
      <c r="N79" s="62" t="s">
        <v>33</v>
      </c>
      <c r="O79" s="57" t="s">
        <v>25</v>
      </c>
      <c r="P79" s="62" t="s">
        <v>36</v>
      </c>
      <c r="Q79" s="55" t="s">
        <v>265</v>
      </c>
      <c r="R79" s="55" t="s">
        <v>265</v>
      </c>
    </row>
    <row r="80" spans="1:18" ht="18.75">
      <c r="A80" s="15">
        <v>79</v>
      </c>
      <c r="B80" s="19" t="s">
        <v>28</v>
      </c>
      <c r="C80" s="63" t="s">
        <v>266</v>
      </c>
      <c r="D80" s="34">
        <v>13747490</v>
      </c>
      <c r="E80" s="34">
        <v>5</v>
      </c>
      <c r="F80" s="34">
        <v>43</v>
      </c>
      <c r="G80" s="27" t="s">
        <v>20</v>
      </c>
      <c r="H80" s="64" t="s">
        <v>267</v>
      </c>
      <c r="I80" s="34" t="s">
        <v>33</v>
      </c>
      <c r="J80" s="34" t="s">
        <v>33</v>
      </c>
      <c r="K80" s="34" t="s">
        <v>33</v>
      </c>
      <c r="L80" s="34" t="s">
        <v>51</v>
      </c>
      <c r="M80" s="34" t="s">
        <v>33</v>
      </c>
      <c r="N80" s="34" t="s">
        <v>33</v>
      </c>
      <c r="O80" s="39" t="s">
        <v>25</v>
      </c>
      <c r="P80" s="34" t="s">
        <v>36</v>
      </c>
      <c r="Q80" s="26" t="s">
        <v>268</v>
      </c>
      <c r="R80" s="26" t="s">
        <v>268</v>
      </c>
    </row>
    <row r="81" spans="1:18" s="1" customFormat="1" ht="57" customHeight="1">
      <c r="A81" s="15">
        <v>80</v>
      </c>
      <c r="B81" s="16" t="s">
        <v>18</v>
      </c>
      <c r="C81" s="26" t="s">
        <v>269</v>
      </c>
      <c r="D81" s="34">
        <v>7495089</v>
      </c>
      <c r="E81" s="34">
        <v>2</v>
      </c>
      <c r="F81" s="34">
        <v>66</v>
      </c>
      <c r="G81" s="27" t="s">
        <v>270</v>
      </c>
      <c r="H81" s="26" t="s">
        <v>251</v>
      </c>
      <c r="I81" s="34" t="s">
        <v>33</v>
      </c>
      <c r="J81" s="34" t="s">
        <v>33</v>
      </c>
      <c r="K81" s="34" t="s">
        <v>33</v>
      </c>
      <c r="L81" s="39" t="s">
        <v>51</v>
      </c>
      <c r="M81" s="27" t="s">
        <v>33</v>
      </c>
      <c r="N81" s="27" t="s">
        <v>33</v>
      </c>
      <c r="O81" s="39" t="s">
        <v>25</v>
      </c>
      <c r="P81" s="26" t="s">
        <v>36</v>
      </c>
      <c r="Q81" s="44" t="s">
        <v>271</v>
      </c>
      <c r="R81" s="44" t="s">
        <v>271</v>
      </c>
    </row>
    <row r="82" spans="1:18" ht="37.5">
      <c r="A82" s="15">
        <v>81</v>
      </c>
      <c r="B82" s="16" t="s">
        <v>18</v>
      </c>
      <c r="C82" s="65" t="s">
        <v>272</v>
      </c>
      <c r="D82" s="65">
        <v>9734105</v>
      </c>
      <c r="E82" s="26">
        <v>2</v>
      </c>
      <c r="F82" s="26">
        <v>61</v>
      </c>
      <c r="G82" s="27" t="s">
        <v>20</v>
      </c>
      <c r="H82" s="26" t="s">
        <v>251</v>
      </c>
      <c r="I82" s="34" t="s">
        <v>33</v>
      </c>
      <c r="J82" s="34" t="s">
        <v>33</v>
      </c>
      <c r="K82" s="34" t="s">
        <v>33</v>
      </c>
      <c r="L82" s="39" t="s">
        <v>51</v>
      </c>
      <c r="M82" s="27" t="s">
        <v>33</v>
      </c>
      <c r="N82" s="27" t="s">
        <v>33</v>
      </c>
      <c r="O82" s="26" t="s">
        <v>42</v>
      </c>
      <c r="P82" s="20" t="s">
        <v>108</v>
      </c>
      <c r="Q82" s="44" t="s">
        <v>273</v>
      </c>
      <c r="R82" s="44" t="s">
        <v>273</v>
      </c>
    </row>
    <row r="83" spans="1:18" s="1" customFormat="1" ht="18.75">
      <c r="A83" s="15">
        <v>82</v>
      </c>
      <c r="B83" s="19" t="s">
        <v>28</v>
      </c>
      <c r="C83" s="39" t="s">
        <v>274</v>
      </c>
      <c r="D83" s="39">
        <v>9187176</v>
      </c>
      <c r="E83" s="39">
        <v>9</v>
      </c>
      <c r="F83" s="39">
        <v>62</v>
      </c>
      <c r="G83" s="26" t="s">
        <v>63</v>
      </c>
      <c r="H83" s="39" t="s">
        <v>275</v>
      </c>
      <c r="I83" s="39">
        <v>2023</v>
      </c>
      <c r="J83" s="43">
        <v>45336</v>
      </c>
      <c r="K83" s="39" t="s">
        <v>28</v>
      </c>
      <c r="L83" s="39" t="s">
        <v>23</v>
      </c>
      <c r="M83" s="27" t="s">
        <v>33</v>
      </c>
      <c r="N83" s="27" t="s">
        <v>33</v>
      </c>
      <c r="O83" s="39" t="s">
        <v>25</v>
      </c>
      <c r="P83" s="39" t="s">
        <v>36</v>
      </c>
      <c r="Q83" s="39" t="s">
        <v>276</v>
      </c>
      <c r="R83" s="39" t="s">
        <v>276</v>
      </c>
    </row>
    <row r="84" spans="1:18" s="1" customFormat="1" ht="37.5">
      <c r="A84" s="15">
        <v>83</v>
      </c>
      <c r="B84" s="16" t="s">
        <v>18</v>
      </c>
      <c r="C84" s="26" t="s">
        <v>277</v>
      </c>
      <c r="D84" s="34">
        <v>19666536</v>
      </c>
      <c r="E84" s="34">
        <v>6</v>
      </c>
      <c r="F84" s="34">
        <v>27</v>
      </c>
      <c r="G84" s="27" t="s">
        <v>20</v>
      </c>
      <c r="H84" s="34" t="s">
        <v>46</v>
      </c>
      <c r="I84" s="34">
        <v>2024</v>
      </c>
      <c r="J84" s="52">
        <v>45491</v>
      </c>
      <c r="K84" s="34" t="s">
        <v>28</v>
      </c>
      <c r="L84" s="34" t="s">
        <v>23</v>
      </c>
      <c r="M84" s="34" t="s">
        <v>32</v>
      </c>
      <c r="N84" s="34" t="s">
        <v>32</v>
      </c>
      <c r="O84" s="39" t="s">
        <v>25</v>
      </c>
      <c r="P84" s="20" t="s">
        <v>108</v>
      </c>
      <c r="Q84" s="26" t="s">
        <v>278</v>
      </c>
      <c r="R84" s="26" t="s">
        <v>278</v>
      </c>
    </row>
    <row r="85" spans="1:18" s="1" customFormat="1" ht="37.5">
      <c r="A85" s="15">
        <v>84</v>
      </c>
      <c r="B85" s="16" t="s">
        <v>18</v>
      </c>
      <c r="C85" s="26" t="s">
        <v>279</v>
      </c>
      <c r="D85" s="26">
        <v>11600250</v>
      </c>
      <c r="E85" s="26">
        <v>7</v>
      </c>
      <c r="F85" s="26">
        <v>53</v>
      </c>
      <c r="G85" s="27" t="s">
        <v>20</v>
      </c>
      <c r="H85" s="26" t="s">
        <v>143</v>
      </c>
      <c r="I85" s="26" t="s">
        <v>33</v>
      </c>
      <c r="J85" s="26" t="s">
        <v>33</v>
      </c>
      <c r="K85" s="26" t="s">
        <v>33</v>
      </c>
      <c r="L85" s="39" t="s">
        <v>51</v>
      </c>
      <c r="M85" s="27" t="s">
        <v>33</v>
      </c>
      <c r="N85" s="27" t="s">
        <v>33</v>
      </c>
      <c r="O85" s="39" t="s">
        <v>25</v>
      </c>
      <c r="P85" s="39" t="s">
        <v>36</v>
      </c>
      <c r="Q85" s="26" t="s">
        <v>280</v>
      </c>
      <c r="R85" s="26" t="s">
        <v>280</v>
      </c>
    </row>
    <row r="86" spans="1:18" s="1" customFormat="1" ht="18.75">
      <c r="A86" s="15">
        <v>85</v>
      </c>
      <c r="B86" s="16" t="s">
        <v>18</v>
      </c>
      <c r="C86" s="26" t="s">
        <v>281</v>
      </c>
      <c r="D86" s="26">
        <v>4537332</v>
      </c>
      <c r="E86" s="26">
        <v>0</v>
      </c>
      <c r="F86" s="66">
        <v>86</v>
      </c>
      <c r="G86" s="26" t="s">
        <v>58</v>
      </c>
      <c r="H86" s="26" t="s">
        <v>46</v>
      </c>
      <c r="I86" s="66">
        <v>2021</v>
      </c>
      <c r="J86" s="44">
        <v>44797</v>
      </c>
      <c r="K86" s="26" t="s">
        <v>18</v>
      </c>
      <c r="L86" s="39" t="s">
        <v>23</v>
      </c>
      <c r="M86" s="44">
        <v>44342</v>
      </c>
      <c r="N86" s="26" t="s">
        <v>282</v>
      </c>
      <c r="O86" s="39" t="s">
        <v>25</v>
      </c>
      <c r="P86" s="26" t="s">
        <v>26</v>
      </c>
      <c r="Q86" s="26" t="s">
        <v>283</v>
      </c>
      <c r="R86" s="26" t="s">
        <v>283</v>
      </c>
    </row>
    <row r="87" spans="1:18" s="67" customFormat="1" ht="37.5">
      <c r="A87" s="15">
        <v>86</v>
      </c>
      <c r="B87" s="16" t="s">
        <v>18</v>
      </c>
      <c r="C87" s="39" t="s">
        <v>103</v>
      </c>
      <c r="D87" s="39">
        <v>5689003</v>
      </c>
      <c r="E87" s="39">
        <v>3</v>
      </c>
      <c r="F87" s="39">
        <v>73</v>
      </c>
      <c r="G87" s="27" t="s">
        <v>30</v>
      </c>
      <c r="H87" s="26" t="s">
        <v>259</v>
      </c>
      <c r="I87" s="26" t="s">
        <v>33</v>
      </c>
      <c r="J87" s="39" t="s">
        <v>33</v>
      </c>
      <c r="K87" s="39" t="s">
        <v>28</v>
      </c>
      <c r="L87" s="39" t="s">
        <v>23</v>
      </c>
      <c r="M87" s="43">
        <v>44896</v>
      </c>
      <c r="N87" s="39" t="s">
        <v>284</v>
      </c>
      <c r="O87" s="26" t="s">
        <v>42</v>
      </c>
      <c r="P87" s="20" t="s">
        <v>108</v>
      </c>
      <c r="Q87" s="39" t="s">
        <v>285</v>
      </c>
      <c r="R87" s="39" t="s">
        <v>285</v>
      </c>
    </row>
    <row r="88" spans="1:18" s="1" customFormat="1" ht="18.75">
      <c r="A88" s="15">
        <v>87</v>
      </c>
      <c r="B88" s="19" t="s">
        <v>28</v>
      </c>
      <c r="C88" s="26" t="s">
        <v>286</v>
      </c>
      <c r="D88" s="26">
        <v>11232906</v>
      </c>
      <c r="E88" s="26">
        <v>4</v>
      </c>
      <c r="F88" s="26">
        <v>56</v>
      </c>
      <c r="G88" s="27" t="s">
        <v>20</v>
      </c>
      <c r="H88" s="26" t="s">
        <v>287</v>
      </c>
      <c r="I88" s="26" t="s">
        <v>33</v>
      </c>
      <c r="J88" s="26" t="s">
        <v>33</v>
      </c>
      <c r="K88" s="26" t="s">
        <v>33</v>
      </c>
      <c r="L88" s="39" t="s">
        <v>51</v>
      </c>
      <c r="M88" s="27" t="s">
        <v>33</v>
      </c>
      <c r="N88" s="27" t="s">
        <v>33</v>
      </c>
      <c r="O88" s="39" t="s">
        <v>25</v>
      </c>
      <c r="P88" s="26" t="s">
        <v>26</v>
      </c>
      <c r="Q88" s="26" t="s">
        <v>288</v>
      </c>
      <c r="R88" s="26" t="s">
        <v>288</v>
      </c>
    </row>
    <row r="89" spans="1:18" s="1" customFormat="1" ht="18.75">
      <c r="A89" s="15">
        <v>88</v>
      </c>
      <c r="B89" s="16" t="s">
        <v>18</v>
      </c>
      <c r="C89" s="39" t="s">
        <v>289</v>
      </c>
      <c r="D89" s="39">
        <v>11383452</v>
      </c>
      <c r="E89" s="39">
        <v>8</v>
      </c>
      <c r="F89" s="39">
        <v>53</v>
      </c>
      <c r="G89" s="27" t="s">
        <v>20</v>
      </c>
      <c r="H89" s="26" t="s">
        <v>46</v>
      </c>
      <c r="I89" s="39">
        <v>2023</v>
      </c>
      <c r="J89" s="43">
        <v>45077</v>
      </c>
      <c r="K89" s="26" t="s">
        <v>18</v>
      </c>
      <c r="L89" s="39" t="s">
        <v>23</v>
      </c>
      <c r="M89" s="27" t="s">
        <v>33</v>
      </c>
      <c r="N89" s="27" t="s">
        <v>33</v>
      </c>
      <c r="O89" s="26" t="s">
        <v>42</v>
      </c>
      <c r="P89" s="26" t="s">
        <v>26</v>
      </c>
      <c r="Q89" s="39" t="s">
        <v>290</v>
      </c>
      <c r="R89" s="39" t="s">
        <v>290</v>
      </c>
    </row>
    <row r="90" spans="1:18" ht="37.5">
      <c r="A90" s="15">
        <v>89</v>
      </c>
      <c r="B90" s="19" t="s">
        <v>28</v>
      </c>
      <c r="C90" s="65" t="s">
        <v>291</v>
      </c>
      <c r="D90" s="65">
        <v>6606810</v>
      </c>
      <c r="E90" s="65">
        <v>2</v>
      </c>
      <c r="F90" s="65">
        <v>69</v>
      </c>
      <c r="G90" s="27" t="s">
        <v>20</v>
      </c>
      <c r="H90" s="65" t="s">
        <v>292</v>
      </c>
      <c r="I90" s="65" t="s">
        <v>33</v>
      </c>
      <c r="J90" s="65" t="s">
        <v>33</v>
      </c>
      <c r="K90" s="65" t="s">
        <v>33</v>
      </c>
      <c r="L90" s="39" t="s">
        <v>23</v>
      </c>
      <c r="M90" s="27" t="s">
        <v>33</v>
      </c>
      <c r="N90" s="27" t="s">
        <v>33</v>
      </c>
      <c r="O90" s="39" t="s">
        <v>25</v>
      </c>
      <c r="P90" s="65" t="s">
        <v>36</v>
      </c>
      <c r="Q90" s="65" t="s">
        <v>293</v>
      </c>
      <c r="R90" s="65" t="s">
        <v>293</v>
      </c>
    </row>
    <row r="91" spans="1:18" s="1" customFormat="1" ht="37.5">
      <c r="A91" s="15">
        <v>90</v>
      </c>
      <c r="B91" s="16" t="s">
        <v>18</v>
      </c>
      <c r="C91" s="68" t="s">
        <v>294</v>
      </c>
      <c r="D91" s="34">
        <v>10824319</v>
      </c>
      <c r="E91" s="34">
        <v>8</v>
      </c>
      <c r="F91" s="34">
        <v>57</v>
      </c>
      <c r="G91" s="27" t="s">
        <v>20</v>
      </c>
      <c r="H91" s="68" t="s">
        <v>251</v>
      </c>
      <c r="I91" s="34" t="s">
        <v>33</v>
      </c>
      <c r="J91" s="34" t="s">
        <v>33</v>
      </c>
      <c r="K91" s="69" t="s">
        <v>28</v>
      </c>
      <c r="L91" s="34" t="s">
        <v>51</v>
      </c>
      <c r="M91" s="34" t="s">
        <v>33</v>
      </c>
      <c r="N91" s="34" t="s">
        <v>33</v>
      </c>
      <c r="O91" s="57" t="s">
        <v>25</v>
      </c>
      <c r="P91" s="65" t="s">
        <v>36</v>
      </c>
      <c r="Q91" s="68" t="s">
        <v>295</v>
      </c>
      <c r="R91" s="68" t="s">
        <v>295</v>
      </c>
    </row>
    <row r="92" spans="1:18" s="1" customFormat="1" ht="18.75">
      <c r="A92" s="15">
        <v>91</v>
      </c>
      <c r="B92" s="16" t="s">
        <v>18</v>
      </c>
      <c r="C92" s="68" t="s">
        <v>296</v>
      </c>
      <c r="D92" s="34">
        <v>12572097</v>
      </c>
      <c r="E92" s="34">
        <v>8</v>
      </c>
      <c r="F92" s="34">
        <v>50</v>
      </c>
      <c r="G92" s="27" t="s">
        <v>20</v>
      </c>
      <c r="H92" s="34" t="s">
        <v>143</v>
      </c>
      <c r="I92" s="34" t="s">
        <v>33</v>
      </c>
      <c r="J92" s="34" t="s">
        <v>33</v>
      </c>
      <c r="K92" s="34" t="s">
        <v>33</v>
      </c>
      <c r="L92" s="34" t="s">
        <v>51</v>
      </c>
      <c r="M92" s="34" t="s">
        <v>33</v>
      </c>
      <c r="N92" s="34" t="s">
        <v>33</v>
      </c>
      <c r="O92" s="39" t="s">
        <v>25</v>
      </c>
      <c r="P92" s="65" t="s">
        <v>36</v>
      </c>
      <c r="Q92" s="68" t="s">
        <v>297</v>
      </c>
      <c r="R92" s="68" t="s">
        <v>297</v>
      </c>
    </row>
    <row r="93" spans="1:18" s="1" customFormat="1" ht="18.75">
      <c r="A93" s="15">
        <v>92</v>
      </c>
      <c r="B93" s="16" t="s">
        <v>18</v>
      </c>
      <c r="C93" s="26" t="s">
        <v>298</v>
      </c>
      <c r="D93" s="26">
        <v>17112114</v>
      </c>
      <c r="E93" s="26">
        <v>0</v>
      </c>
      <c r="F93" s="26">
        <v>35</v>
      </c>
      <c r="G93" s="27" t="s">
        <v>20</v>
      </c>
      <c r="H93" s="26" t="s">
        <v>143</v>
      </c>
      <c r="I93" s="26" t="s">
        <v>33</v>
      </c>
      <c r="J93" s="26" t="s">
        <v>33</v>
      </c>
      <c r="K93" s="26" t="s">
        <v>33</v>
      </c>
      <c r="L93" s="39" t="s">
        <v>51</v>
      </c>
      <c r="M93" s="27" t="s">
        <v>33</v>
      </c>
      <c r="N93" s="27" t="s">
        <v>33</v>
      </c>
      <c r="O93" s="39" t="s">
        <v>25</v>
      </c>
      <c r="P93" s="65" t="s">
        <v>36</v>
      </c>
      <c r="Q93" s="68" t="s">
        <v>297</v>
      </c>
      <c r="R93" s="68" t="s">
        <v>297</v>
      </c>
    </row>
    <row r="94" spans="1:18" s="1" customFormat="1" ht="37.5">
      <c r="A94" s="15">
        <v>93</v>
      </c>
      <c r="B94" s="19" t="s">
        <v>28</v>
      </c>
      <c r="C94" s="26" t="s">
        <v>299</v>
      </c>
      <c r="D94" s="26">
        <v>6475420</v>
      </c>
      <c r="E94" s="26">
        <v>3</v>
      </c>
      <c r="F94" s="26">
        <v>74</v>
      </c>
      <c r="G94" s="27" t="s">
        <v>30</v>
      </c>
      <c r="H94" s="39" t="s">
        <v>300</v>
      </c>
      <c r="I94" s="26" t="s">
        <v>33</v>
      </c>
      <c r="J94" s="26" t="s">
        <v>33</v>
      </c>
      <c r="K94" s="26" t="s">
        <v>33</v>
      </c>
      <c r="L94" s="39" t="s">
        <v>23</v>
      </c>
      <c r="M94" s="27" t="s">
        <v>33</v>
      </c>
      <c r="N94" s="27" t="s">
        <v>33</v>
      </c>
      <c r="O94" s="39" t="s">
        <v>25</v>
      </c>
      <c r="P94" s="39" t="s">
        <v>26</v>
      </c>
      <c r="Q94" s="26" t="s">
        <v>301</v>
      </c>
      <c r="R94" s="26" t="s">
        <v>301</v>
      </c>
    </row>
    <row r="95" spans="1:18" s="1" customFormat="1" ht="37.5">
      <c r="A95" s="15">
        <v>94</v>
      </c>
      <c r="B95" s="16" t="s">
        <v>18</v>
      </c>
      <c r="C95" s="26" t="s">
        <v>302</v>
      </c>
      <c r="D95" s="34">
        <v>5282417</v>
      </c>
      <c r="E95" s="34">
        <v>6</v>
      </c>
      <c r="F95" s="34">
        <v>78</v>
      </c>
      <c r="G95" s="27" t="s">
        <v>20</v>
      </c>
      <c r="H95" s="26" t="s">
        <v>251</v>
      </c>
      <c r="I95" s="34" t="s">
        <v>33</v>
      </c>
      <c r="J95" s="34" t="s">
        <v>33</v>
      </c>
      <c r="K95" s="34" t="s">
        <v>33</v>
      </c>
      <c r="L95" s="34" t="s">
        <v>51</v>
      </c>
      <c r="M95" s="34" t="s">
        <v>33</v>
      </c>
      <c r="N95" s="34" t="s">
        <v>33</v>
      </c>
      <c r="O95" s="39" t="s">
        <v>25</v>
      </c>
      <c r="P95" s="26" t="s">
        <v>36</v>
      </c>
      <c r="Q95" s="26" t="s">
        <v>303</v>
      </c>
      <c r="R95" s="26" t="s">
        <v>303</v>
      </c>
    </row>
    <row r="96" spans="1:18" s="1" customFormat="1" ht="84" customHeight="1">
      <c r="A96" s="15">
        <v>95</v>
      </c>
      <c r="B96" s="16" t="s">
        <v>18</v>
      </c>
      <c r="C96" s="26" t="s">
        <v>304</v>
      </c>
      <c r="D96" s="62">
        <v>5186502</v>
      </c>
      <c r="E96" s="62">
        <v>2</v>
      </c>
      <c r="F96" s="62">
        <v>81</v>
      </c>
      <c r="G96" s="56" t="s">
        <v>63</v>
      </c>
      <c r="H96" s="70" t="s">
        <v>251</v>
      </c>
      <c r="I96" s="62" t="s">
        <v>33</v>
      </c>
      <c r="J96" s="62" t="s">
        <v>33</v>
      </c>
      <c r="K96" s="62" t="s">
        <v>28</v>
      </c>
      <c r="L96" s="62" t="s">
        <v>51</v>
      </c>
      <c r="M96" s="62" t="s">
        <v>33</v>
      </c>
      <c r="N96" s="62" t="s">
        <v>33</v>
      </c>
      <c r="O96" s="57" t="s">
        <v>25</v>
      </c>
      <c r="P96" s="20" t="s">
        <v>26</v>
      </c>
      <c r="Q96" s="70" t="s">
        <v>305</v>
      </c>
      <c r="R96" s="70" t="s">
        <v>305</v>
      </c>
    </row>
    <row r="97" spans="1:18" s="1" customFormat="1" ht="18.75">
      <c r="A97" s="15">
        <v>96</v>
      </c>
      <c r="B97" s="16" t="s">
        <v>18</v>
      </c>
      <c r="C97" s="26" t="s">
        <v>306</v>
      </c>
      <c r="D97" s="34">
        <v>17362941</v>
      </c>
      <c r="E97" s="34">
        <v>9</v>
      </c>
      <c r="F97" s="34">
        <v>35</v>
      </c>
      <c r="G97" s="27" t="s">
        <v>20</v>
      </c>
      <c r="H97" s="26" t="s">
        <v>143</v>
      </c>
      <c r="I97" s="34" t="s">
        <v>33</v>
      </c>
      <c r="J97" s="34" t="s">
        <v>33</v>
      </c>
      <c r="K97" s="34" t="s">
        <v>33</v>
      </c>
      <c r="L97" s="34" t="s">
        <v>51</v>
      </c>
      <c r="M97" s="34" t="s">
        <v>33</v>
      </c>
      <c r="N97" s="34" t="s">
        <v>33</v>
      </c>
      <c r="O97" s="39" t="s">
        <v>25</v>
      </c>
      <c r="P97" s="26" t="s">
        <v>36</v>
      </c>
      <c r="Q97" s="44" t="s">
        <v>307</v>
      </c>
      <c r="R97" s="44" t="s">
        <v>307</v>
      </c>
    </row>
    <row r="98" spans="1:18" s="1" customFormat="1" ht="37.5">
      <c r="A98" s="15">
        <v>97</v>
      </c>
      <c r="B98" s="16" t="s">
        <v>18</v>
      </c>
      <c r="C98" s="26" t="s">
        <v>308</v>
      </c>
      <c r="D98" s="34">
        <v>9545653</v>
      </c>
      <c r="E98" s="34">
        <v>7</v>
      </c>
      <c r="F98" s="34">
        <v>62</v>
      </c>
      <c r="G98" s="27" t="s">
        <v>20</v>
      </c>
      <c r="H98" s="26" t="s">
        <v>143</v>
      </c>
      <c r="I98" s="34" t="s">
        <v>33</v>
      </c>
      <c r="J98" s="34" t="s">
        <v>33</v>
      </c>
      <c r="K98" s="34" t="s">
        <v>33</v>
      </c>
      <c r="L98" s="34" t="s">
        <v>51</v>
      </c>
      <c r="M98" s="34" t="s">
        <v>33</v>
      </c>
      <c r="N98" s="34" t="s">
        <v>33</v>
      </c>
      <c r="O98" s="39" t="s">
        <v>25</v>
      </c>
      <c r="P98" s="26" t="s">
        <v>26</v>
      </c>
      <c r="Q98" s="26" t="s">
        <v>309</v>
      </c>
      <c r="R98" s="26" t="s">
        <v>309</v>
      </c>
    </row>
    <row r="99" spans="1:18" s="1" customFormat="1" ht="36.75" customHeight="1">
      <c r="A99" s="15">
        <v>98</v>
      </c>
      <c r="B99" s="16" t="s">
        <v>18</v>
      </c>
      <c r="C99" s="26" t="s">
        <v>310</v>
      </c>
      <c r="D99" s="26">
        <v>5381566</v>
      </c>
      <c r="E99" s="26">
        <v>9</v>
      </c>
      <c r="F99" s="26">
        <v>78</v>
      </c>
      <c r="G99" s="27" t="s">
        <v>20</v>
      </c>
      <c r="H99" s="26" t="s">
        <v>275</v>
      </c>
      <c r="I99" s="26" t="s">
        <v>33</v>
      </c>
      <c r="J99" s="26" t="s">
        <v>33</v>
      </c>
      <c r="K99" s="26" t="s">
        <v>33</v>
      </c>
      <c r="L99" s="39" t="s">
        <v>23</v>
      </c>
      <c r="M99" s="27" t="s">
        <v>33</v>
      </c>
      <c r="N99" s="27" t="s">
        <v>33</v>
      </c>
      <c r="O99" s="39" t="s">
        <v>25</v>
      </c>
      <c r="P99" s="39" t="s">
        <v>36</v>
      </c>
      <c r="Q99" s="26" t="s">
        <v>311</v>
      </c>
      <c r="R99" s="26" t="s">
        <v>311</v>
      </c>
    </row>
    <row r="100" spans="1:18" s="1" customFormat="1" ht="18.75">
      <c r="A100" s="15">
        <v>99</v>
      </c>
      <c r="B100" s="16" t="s">
        <v>18</v>
      </c>
      <c r="C100" s="26" t="s">
        <v>312</v>
      </c>
      <c r="D100" s="26">
        <v>5855215</v>
      </c>
      <c r="E100" s="26">
        <v>1</v>
      </c>
      <c r="F100" s="26">
        <v>51</v>
      </c>
      <c r="G100" s="27" t="s">
        <v>20</v>
      </c>
      <c r="H100" s="39" t="s">
        <v>313</v>
      </c>
      <c r="I100" s="26" t="s">
        <v>33</v>
      </c>
      <c r="J100" s="26" t="s">
        <v>33</v>
      </c>
      <c r="K100" s="26" t="s">
        <v>33</v>
      </c>
      <c r="L100" s="39" t="s">
        <v>23</v>
      </c>
      <c r="M100" s="27" t="s">
        <v>33</v>
      </c>
      <c r="N100" s="27" t="s">
        <v>33</v>
      </c>
      <c r="O100" s="26" t="s">
        <v>42</v>
      </c>
      <c r="P100" s="39" t="s">
        <v>26</v>
      </c>
      <c r="Q100" s="26" t="s">
        <v>314</v>
      </c>
      <c r="R100" s="26" t="s">
        <v>314</v>
      </c>
    </row>
    <row r="101" spans="1:18" s="1" customFormat="1" ht="37.5">
      <c r="A101" s="15">
        <v>100</v>
      </c>
      <c r="B101" s="16" t="s">
        <v>18</v>
      </c>
      <c r="C101" s="26" t="s">
        <v>315</v>
      </c>
      <c r="D101" s="34">
        <v>7486336</v>
      </c>
      <c r="E101" s="34">
        <v>1</v>
      </c>
      <c r="F101" s="34">
        <v>67</v>
      </c>
      <c r="G101" s="27" t="s">
        <v>63</v>
      </c>
      <c r="H101" s="26" t="s">
        <v>251</v>
      </c>
      <c r="I101" s="34" t="s">
        <v>33</v>
      </c>
      <c r="J101" s="34" t="s">
        <v>33</v>
      </c>
      <c r="K101" s="34" t="s">
        <v>33</v>
      </c>
      <c r="L101" s="34" t="s">
        <v>51</v>
      </c>
      <c r="M101" s="34" t="s">
        <v>33</v>
      </c>
      <c r="N101" s="34" t="s">
        <v>33</v>
      </c>
      <c r="O101" s="39" t="s">
        <v>25</v>
      </c>
      <c r="P101" s="26" t="s">
        <v>26</v>
      </c>
      <c r="Q101" s="26" t="s">
        <v>316</v>
      </c>
      <c r="R101" s="26" t="s">
        <v>316</v>
      </c>
    </row>
    <row r="102" spans="1:18" s="1" customFormat="1" ht="32.25" customHeight="1">
      <c r="A102" s="15">
        <v>101</v>
      </c>
      <c r="B102" s="16" t="s">
        <v>18</v>
      </c>
      <c r="C102" s="26" t="s">
        <v>317</v>
      </c>
      <c r="D102" s="34">
        <v>5870171</v>
      </c>
      <c r="E102" s="34">
        <v>8</v>
      </c>
      <c r="F102" s="34">
        <v>80</v>
      </c>
      <c r="G102" s="27" t="s">
        <v>20</v>
      </c>
      <c r="H102" s="34" t="s">
        <v>206</v>
      </c>
      <c r="I102" s="34" t="s">
        <v>33</v>
      </c>
      <c r="J102" s="34" t="s">
        <v>33</v>
      </c>
      <c r="K102" s="34" t="s">
        <v>33</v>
      </c>
      <c r="L102" s="34" t="s">
        <v>51</v>
      </c>
      <c r="M102" s="34" t="s">
        <v>33</v>
      </c>
      <c r="N102" s="34" t="s">
        <v>33</v>
      </c>
      <c r="O102" s="39" t="s">
        <v>25</v>
      </c>
      <c r="P102" s="34" t="s">
        <v>26</v>
      </c>
      <c r="Q102" s="26" t="s">
        <v>318</v>
      </c>
      <c r="R102" s="26" t="s">
        <v>318</v>
      </c>
    </row>
    <row r="103" spans="1:18" s="71" customFormat="1" ht="47.25" customHeight="1">
      <c r="A103" s="15">
        <v>102</v>
      </c>
      <c r="B103" s="16" t="s">
        <v>18</v>
      </c>
      <c r="C103" s="26" t="s">
        <v>319</v>
      </c>
      <c r="D103" s="26">
        <v>3275784</v>
      </c>
      <c r="E103" s="26">
        <v>7</v>
      </c>
      <c r="F103" s="26">
        <v>92</v>
      </c>
      <c r="G103" s="27" t="s">
        <v>20</v>
      </c>
      <c r="H103" s="39" t="s">
        <v>313</v>
      </c>
      <c r="I103" s="39">
        <v>2023</v>
      </c>
      <c r="J103" s="44">
        <v>45237</v>
      </c>
      <c r="K103" s="26" t="s">
        <v>18</v>
      </c>
      <c r="L103" s="27" t="s">
        <v>84</v>
      </c>
      <c r="M103" s="44">
        <v>45605</v>
      </c>
      <c r="N103" s="26" t="s">
        <v>320</v>
      </c>
      <c r="O103" s="39" t="s">
        <v>25</v>
      </c>
      <c r="P103" s="34" t="s">
        <v>26</v>
      </c>
      <c r="Q103" s="26" t="s">
        <v>321</v>
      </c>
      <c r="R103" s="26" t="s">
        <v>321</v>
      </c>
    </row>
    <row r="104" spans="1:18" s="1" customFormat="1" ht="57" customHeight="1">
      <c r="A104" s="15">
        <v>103</v>
      </c>
      <c r="B104" s="16" t="s">
        <v>18</v>
      </c>
      <c r="C104" s="27" t="s">
        <v>322</v>
      </c>
      <c r="D104" s="27">
        <v>21315723</v>
      </c>
      <c r="E104" s="27" t="s">
        <v>45</v>
      </c>
      <c r="F104" s="72">
        <v>20</v>
      </c>
      <c r="G104" s="27" t="s">
        <v>20</v>
      </c>
      <c r="H104" s="34" t="s">
        <v>50</v>
      </c>
      <c r="I104" s="39">
        <v>2022</v>
      </c>
      <c r="J104" s="73">
        <v>44669</v>
      </c>
      <c r="K104" s="26" t="s">
        <v>18</v>
      </c>
      <c r="L104" s="34" t="s">
        <v>23</v>
      </c>
      <c r="M104" s="26" t="s">
        <v>35</v>
      </c>
      <c r="N104" s="26" t="s">
        <v>323</v>
      </c>
      <c r="O104" s="26" t="s">
        <v>42</v>
      </c>
      <c r="P104" s="20" t="s">
        <v>108</v>
      </c>
      <c r="Q104" s="26" t="s">
        <v>324</v>
      </c>
      <c r="R104" s="26" t="s">
        <v>324</v>
      </c>
    </row>
    <row r="105" spans="1:18" s="1" customFormat="1" ht="18.75">
      <c r="A105" s="15">
        <v>104</v>
      </c>
      <c r="B105" s="16" t="s">
        <v>18</v>
      </c>
      <c r="C105" s="26" t="s">
        <v>325</v>
      </c>
      <c r="D105" s="26">
        <v>8021008</v>
      </c>
      <c r="E105" s="26">
        <v>6</v>
      </c>
      <c r="F105" s="26">
        <v>69</v>
      </c>
      <c r="G105" s="27" t="s">
        <v>20</v>
      </c>
      <c r="H105" s="39" t="s">
        <v>59</v>
      </c>
      <c r="I105" s="26">
        <v>2024</v>
      </c>
      <c r="J105" s="26">
        <v>2024</v>
      </c>
      <c r="K105" s="26" t="s">
        <v>18</v>
      </c>
      <c r="L105" s="34" t="s">
        <v>84</v>
      </c>
      <c r="M105" s="44">
        <v>45421</v>
      </c>
      <c r="N105" s="26" t="s">
        <v>326</v>
      </c>
      <c r="O105" s="26" t="s">
        <v>42</v>
      </c>
      <c r="P105" s="26" t="s">
        <v>26</v>
      </c>
      <c r="Q105" s="26" t="s">
        <v>327</v>
      </c>
      <c r="R105" s="26" t="s">
        <v>327</v>
      </c>
    </row>
    <row r="106" spans="1:18" ht="77.25" customHeight="1">
      <c r="A106" s="15">
        <v>105</v>
      </c>
      <c r="B106" s="16" t="s">
        <v>18</v>
      </c>
      <c r="C106" s="26" t="s">
        <v>328</v>
      </c>
      <c r="D106" s="34">
        <v>2544744</v>
      </c>
      <c r="E106" s="34">
        <v>1</v>
      </c>
      <c r="F106" s="34">
        <v>91</v>
      </c>
      <c r="G106" s="27" t="s">
        <v>20</v>
      </c>
      <c r="H106" s="34" t="s">
        <v>143</v>
      </c>
      <c r="I106" s="34" t="s">
        <v>33</v>
      </c>
      <c r="J106" s="34" t="s">
        <v>33</v>
      </c>
      <c r="K106" s="34" t="s">
        <v>33</v>
      </c>
      <c r="L106" s="34" t="s">
        <v>51</v>
      </c>
      <c r="M106" s="52">
        <v>45699</v>
      </c>
      <c r="N106" s="34" t="s">
        <v>33</v>
      </c>
      <c r="O106" s="39" t="s">
        <v>25</v>
      </c>
      <c r="P106" s="20" t="s">
        <v>26</v>
      </c>
      <c r="Q106" s="26" t="s">
        <v>329</v>
      </c>
      <c r="R106" s="26" t="s">
        <v>329</v>
      </c>
    </row>
    <row r="107" spans="1:18" s="1" customFormat="1" ht="37.5">
      <c r="A107" s="15">
        <v>106</v>
      </c>
      <c r="B107" s="16" t="s">
        <v>18</v>
      </c>
      <c r="C107" s="26" t="s">
        <v>330</v>
      </c>
      <c r="D107" s="26">
        <v>5836442</v>
      </c>
      <c r="E107" s="26">
        <v>8</v>
      </c>
      <c r="F107" s="26">
        <v>80</v>
      </c>
      <c r="G107" s="27" t="s">
        <v>20</v>
      </c>
      <c r="H107" s="39" t="s">
        <v>59</v>
      </c>
      <c r="I107" s="26">
        <v>2024</v>
      </c>
      <c r="J107" s="26">
        <v>2024</v>
      </c>
      <c r="K107" s="26" t="s">
        <v>18</v>
      </c>
      <c r="L107" s="39" t="s">
        <v>84</v>
      </c>
      <c r="M107" s="73">
        <v>45541</v>
      </c>
      <c r="N107" s="27" t="s">
        <v>331</v>
      </c>
      <c r="O107" s="26" t="s">
        <v>42</v>
      </c>
      <c r="P107" s="20" t="s">
        <v>108</v>
      </c>
      <c r="Q107" s="26" t="s">
        <v>332</v>
      </c>
      <c r="R107" s="26" t="s">
        <v>332</v>
      </c>
    </row>
    <row r="108" spans="1:18" s="1" customFormat="1" ht="37.5">
      <c r="A108" s="15">
        <v>107</v>
      </c>
      <c r="B108" s="16" t="s">
        <v>18</v>
      </c>
      <c r="C108" s="26" t="s">
        <v>333</v>
      </c>
      <c r="D108" s="34">
        <v>2525170</v>
      </c>
      <c r="E108" s="34">
        <v>9</v>
      </c>
      <c r="F108" s="34">
        <v>96</v>
      </c>
      <c r="G108" s="27" t="s">
        <v>20</v>
      </c>
      <c r="H108" s="34" t="s">
        <v>313</v>
      </c>
      <c r="I108" s="34" t="s">
        <v>33</v>
      </c>
      <c r="J108" s="34" t="s">
        <v>33</v>
      </c>
      <c r="K108" s="34" t="s">
        <v>33</v>
      </c>
      <c r="L108" s="34" t="s">
        <v>51</v>
      </c>
      <c r="M108" s="34" t="s">
        <v>33</v>
      </c>
      <c r="N108" s="34" t="s">
        <v>33</v>
      </c>
      <c r="O108" s="39" t="s">
        <v>25</v>
      </c>
      <c r="P108" s="26" t="s">
        <v>36</v>
      </c>
      <c r="Q108" s="26" t="s">
        <v>334</v>
      </c>
      <c r="R108" s="26" t="s">
        <v>334</v>
      </c>
    </row>
    <row r="109" spans="1:18" s="1" customFormat="1" ht="37.5">
      <c r="A109" s="15">
        <v>108</v>
      </c>
      <c r="B109" s="16" t="s">
        <v>18</v>
      </c>
      <c r="C109" s="26" t="s">
        <v>335</v>
      </c>
      <c r="D109" s="34">
        <v>4648822</v>
      </c>
      <c r="E109" s="34">
        <v>9</v>
      </c>
      <c r="F109" s="34">
        <v>82</v>
      </c>
      <c r="G109" s="27" t="s">
        <v>20</v>
      </c>
      <c r="H109" s="26" t="s">
        <v>251</v>
      </c>
      <c r="I109" s="34" t="s">
        <v>33</v>
      </c>
      <c r="J109" s="34" t="s">
        <v>33</v>
      </c>
      <c r="K109" s="34" t="s">
        <v>33</v>
      </c>
      <c r="L109" s="34" t="s">
        <v>51</v>
      </c>
      <c r="M109" s="34" t="s">
        <v>33</v>
      </c>
      <c r="N109" s="34" t="s">
        <v>33</v>
      </c>
      <c r="O109" s="39" t="s">
        <v>25</v>
      </c>
      <c r="P109" s="26" t="s">
        <v>36</v>
      </c>
      <c r="Q109" s="26" t="s">
        <v>336</v>
      </c>
      <c r="R109" s="26" t="s">
        <v>336</v>
      </c>
    </row>
    <row r="110" spans="1:18" s="1" customFormat="1" ht="18.75">
      <c r="A110" s="15">
        <v>109</v>
      </c>
      <c r="B110" s="16" t="s">
        <v>18</v>
      </c>
      <c r="C110" s="39" t="s">
        <v>337</v>
      </c>
      <c r="D110" s="39">
        <v>4238570</v>
      </c>
      <c r="E110" s="39">
        <v>0</v>
      </c>
      <c r="F110" s="39">
        <v>82</v>
      </c>
      <c r="G110" s="27" t="s">
        <v>20</v>
      </c>
      <c r="H110" s="39" t="s">
        <v>59</v>
      </c>
      <c r="I110" s="39">
        <v>2023</v>
      </c>
      <c r="J110" s="39">
        <v>2023</v>
      </c>
      <c r="K110" s="26" t="s">
        <v>18</v>
      </c>
      <c r="L110" s="27" t="s">
        <v>84</v>
      </c>
      <c r="M110" s="27" t="s">
        <v>33</v>
      </c>
      <c r="N110" s="27" t="s">
        <v>33</v>
      </c>
      <c r="O110" s="39" t="s">
        <v>25</v>
      </c>
      <c r="P110" s="26" t="s">
        <v>26</v>
      </c>
      <c r="Q110" s="39" t="s">
        <v>338</v>
      </c>
      <c r="R110" s="39" t="s">
        <v>338</v>
      </c>
    </row>
    <row r="111" spans="1:18" s="1" customFormat="1" ht="41.25" customHeight="1">
      <c r="A111" s="15">
        <v>110</v>
      </c>
      <c r="B111" s="16" t="s">
        <v>18</v>
      </c>
      <c r="C111" s="26" t="s">
        <v>339</v>
      </c>
      <c r="D111" s="34">
        <v>10523548</v>
      </c>
      <c r="E111" s="34">
        <v>8</v>
      </c>
      <c r="F111" s="34">
        <v>56</v>
      </c>
      <c r="G111" s="74" t="s">
        <v>20</v>
      </c>
      <c r="H111" s="34" t="s">
        <v>50</v>
      </c>
      <c r="I111" s="34">
        <v>2024</v>
      </c>
      <c r="J111" s="52">
        <v>45524</v>
      </c>
      <c r="K111" s="34" t="s">
        <v>33</v>
      </c>
      <c r="L111" s="34" t="s">
        <v>23</v>
      </c>
      <c r="M111" s="52">
        <v>45568</v>
      </c>
      <c r="N111" s="34" t="s">
        <v>33</v>
      </c>
      <c r="O111" s="39" t="s">
        <v>25</v>
      </c>
      <c r="P111" s="26" t="s">
        <v>36</v>
      </c>
      <c r="Q111" s="26" t="s">
        <v>340</v>
      </c>
      <c r="R111" s="26" t="s">
        <v>340</v>
      </c>
    </row>
    <row r="112" spans="1:18" s="1" customFormat="1" ht="37.5">
      <c r="A112" s="15">
        <v>111</v>
      </c>
      <c r="B112" s="16" t="s">
        <v>18</v>
      </c>
      <c r="C112" s="26" t="s">
        <v>341</v>
      </c>
      <c r="D112" s="34">
        <v>7340393</v>
      </c>
      <c r="E112" s="34">
        <v>6</v>
      </c>
      <c r="F112" s="34">
        <v>72</v>
      </c>
      <c r="G112" s="27" t="s">
        <v>20</v>
      </c>
      <c r="H112" s="26" t="s">
        <v>251</v>
      </c>
      <c r="I112" s="34" t="s">
        <v>33</v>
      </c>
      <c r="J112" s="34" t="s">
        <v>33</v>
      </c>
      <c r="K112" s="34" t="s">
        <v>33</v>
      </c>
      <c r="L112" s="34" t="s">
        <v>51</v>
      </c>
      <c r="M112" s="34" t="s">
        <v>33</v>
      </c>
      <c r="N112" s="34" t="s">
        <v>33</v>
      </c>
      <c r="O112" s="39" t="s">
        <v>25</v>
      </c>
      <c r="P112" s="26" t="s">
        <v>36</v>
      </c>
      <c r="Q112" s="26" t="s">
        <v>342</v>
      </c>
      <c r="R112" s="26" t="s">
        <v>342</v>
      </c>
    </row>
    <row r="113" spans="1:18" s="1" customFormat="1" ht="18.75">
      <c r="A113" s="15">
        <v>112</v>
      </c>
      <c r="B113" s="16" t="s">
        <v>18</v>
      </c>
      <c r="C113" s="26" t="s">
        <v>343</v>
      </c>
      <c r="D113" s="34">
        <v>10833535</v>
      </c>
      <c r="E113" s="34">
        <v>1</v>
      </c>
      <c r="F113" s="34">
        <v>57</v>
      </c>
      <c r="G113" s="27" t="s">
        <v>20</v>
      </c>
      <c r="H113" s="34" t="s">
        <v>206</v>
      </c>
      <c r="I113" s="34" t="s">
        <v>33</v>
      </c>
      <c r="J113" s="34" t="s">
        <v>33</v>
      </c>
      <c r="K113" s="34" t="s">
        <v>33</v>
      </c>
      <c r="L113" s="34" t="s">
        <v>51</v>
      </c>
      <c r="M113" s="34" t="s">
        <v>33</v>
      </c>
      <c r="N113" s="34" t="s">
        <v>33</v>
      </c>
      <c r="O113" s="39" t="s">
        <v>25</v>
      </c>
      <c r="P113" s="26" t="s">
        <v>26</v>
      </c>
      <c r="Q113" s="26" t="s">
        <v>344</v>
      </c>
      <c r="R113" s="26" t="s">
        <v>344</v>
      </c>
    </row>
    <row r="114" spans="1:18" s="1" customFormat="1" ht="18.75">
      <c r="A114" s="15">
        <v>113</v>
      </c>
      <c r="B114" s="16" t="s">
        <v>18</v>
      </c>
      <c r="C114" s="26" t="s">
        <v>345</v>
      </c>
      <c r="D114" s="26">
        <v>6505703</v>
      </c>
      <c r="E114" s="26">
        <v>4</v>
      </c>
      <c r="F114" s="26">
        <v>72</v>
      </c>
      <c r="G114" s="27" t="s">
        <v>20</v>
      </c>
      <c r="H114" s="26" t="s">
        <v>50</v>
      </c>
      <c r="I114" s="26">
        <v>2023</v>
      </c>
      <c r="J114" s="75">
        <v>45170</v>
      </c>
      <c r="K114" s="26" t="s">
        <v>83</v>
      </c>
      <c r="L114" s="26" t="s">
        <v>23</v>
      </c>
      <c r="M114" s="26" t="s">
        <v>33</v>
      </c>
      <c r="N114" s="26" t="s">
        <v>33</v>
      </c>
      <c r="O114" s="26" t="s">
        <v>42</v>
      </c>
      <c r="P114" s="26" t="s">
        <v>26</v>
      </c>
      <c r="Q114" s="26" t="s">
        <v>346</v>
      </c>
      <c r="R114" s="26" t="s">
        <v>346</v>
      </c>
    </row>
    <row r="115" spans="1:18" s="1" customFormat="1" ht="18.75">
      <c r="A115" s="15">
        <v>114</v>
      </c>
      <c r="B115" s="16" t="s">
        <v>18</v>
      </c>
      <c r="C115" s="26" t="s">
        <v>347</v>
      </c>
      <c r="D115" s="26">
        <v>10326199</v>
      </c>
      <c r="E115" s="26">
        <v>6</v>
      </c>
      <c r="F115" s="26">
        <v>61</v>
      </c>
      <c r="G115" s="27" t="s">
        <v>20</v>
      </c>
      <c r="H115" s="34" t="s">
        <v>143</v>
      </c>
      <c r="I115" s="26" t="s">
        <v>33</v>
      </c>
      <c r="J115" s="26" t="s">
        <v>33</v>
      </c>
      <c r="K115" s="26" t="s">
        <v>33</v>
      </c>
      <c r="L115" s="39" t="s">
        <v>51</v>
      </c>
      <c r="M115" s="27" t="s">
        <v>33</v>
      </c>
      <c r="N115" s="27" t="s">
        <v>33</v>
      </c>
      <c r="O115" s="39" t="s">
        <v>25</v>
      </c>
      <c r="P115" s="26" t="s">
        <v>36</v>
      </c>
      <c r="Q115" s="26" t="s">
        <v>348</v>
      </c>
      <c r="R115" s="26" t="s">
        <v>348</v>
      </c>
    </row>
    <row r="116" spans="1:18" s="1" customFormat="1" ht="57.75" customHeight="1">
      <c r="A116" s="15">
        <v>115</v>
      </c>
      <c r="B116" s="19" t="s">
        <v>28</v>
      </c>
      <c r="C116" s="26" t="s">
        <v>349</v>
      </c>
      <c r="D116" s="26">
        <v>4264640</v>
      </c>
      <c r="E116" s="26">
        <v>7</v>
      </c>
      <c r="F116" s="26">
        <v>86</v>
      </c>
      <c r="G116" s="27" t="s">
        <v>20</v>
      </c>
      <c r="H116" s="26" t="s">
        <v>248</v>
      </c>
      <c r="I116" s="26" t="s">
        <v>33</v>
      </c>
      <c r="J116" s="26" t="s">
        <v>33</v>
      </c>
      <c r="K116" s="26" t="s">
        <v>33</v>
      </c>
      <c r="L116" s="39" t="s">
        <v>51</v>
      </c>
      <c r="M116" s="27" t="s">
        <v>33</v>
      </c>
      <c r="N116" s="27" t="s">
        <v>33</v>
      </c>
      <c r="O116" s="39" t="s">
        <v>25</v>
      </c>
      <c r="P116" s="26" t="s">
        <v>26</v>
      </c>
      <c r="Q116" s="26" t="s">
        <v>350</v>
      </c>
      <c r="R116" s="26" t="s">
        <v>350</v>
      </c>
    </row>
    <row r="117" spans="1:18" s="1" customFormat="1" ht="37.5">
      <c r="A117" s="15">
        <v>116</v>
      </c>
      <c r="B117" s="19" t="s">
        <v>28</v>
      </c>
      <c r="C117" s="34" t="s">
        <v>351</v>
      </c>
      <c r="D117" s="34">
        <v>11938232</v>
      </c>
      <c r="E117" s="34">
        <v>7</v>
      </c>
      <c r="F117" s="34">
        <v>52</v>
      </c>
      <c r="G117" s="27" t="s">
        <v>20</v>
      </c>
      <c r="H117" s="26" t="s">
        <v>251</v>
      </c>
      <c r="I117" s="34" t="s">
        <v>33</v>
      </c>
      <c r="J117" s="34" t="s">
        <v>33</v>
      </c>
      <c r="K117" s="34" t="s">
        <v>33</v>
      </c>
      <c r="L117" s="34" t="s">
        <v>51</v>
      </c>
      <c r="M117" s="34" t="s">
        <v>33</v>
      </c>
      <c r="N117" s="34" t="s">
        <v>33</v>
      </c>
      <c r="O117" s="39" t="s">
        <v>25</v>
      </c>
      <c r="P117" s="34" t="s">
        <v>26</v>
      </c>
      <c r="Q117" s="26" t="s">
        <v>352</v>
      </c>
      <c r="R117" s="26" t="s">
        <v>352</v>
      </c>
    </row>
    <row r="118" spans="1:18" s="1" customFormat="1" ht="37.5">
      <c r="A118" s="15">
        <v>117</v>
      </c>
      <c r="B118" s="16" t="s">
        <v>18</v>
      </c>
      <c r="C118" s="34" t="s">
        <v>353</v>
      </c>
      <c r="D118" s="34">
        <v>12427788</v>
      </c>
      <c r="E118" s="34">
        <v>4</v>
      </c>
      <c r="F118" s="34">
        <v>52</v>
      </c>
      <c r="G118" s="27" t="s">
        <v>30</v>
      </c>
      <c r="H118" s="34" t="s">
        <v>206</v>
      </c>
      <c r="I118" s="34" t="s">
        <v>33</v>
      </c>
      <c r="J118" s="34" t="s">
        <v>33</v>
      </c>
      <c r="K118" s="34" t="s">
        <v>33</v>
      </c>
      <c r="L118" s="34" t="s">
        <v>51</v>
      </c>
      <c r="M118" s="34" t="s">
        <v>33</v>
      </c>
      <c r="N118" s="34" t="s">
        <v>33</v>
      </c>
      <c r="O118" s="39" t="s">
        <v>25</v>
      </c>
      <c r="P118" s="26" t="s">
        <v>36</v>
      </c>
      <c r="Q118" s="26" t="s">
        <v>354</v>
      </c>
      <c r="R118" s="26" t="s">
        <v>354</v>
      </c>
    </row>
    <row r="119" spans="1:18" s="1" customFormat="1" ht="37.5">
      <c r="A119" s="15">
        <v>118</v>
      </c>
      <c r="B119" s="19" t="s">
        <v>28</v>
      </c>
      <c r="C119" s="76" t="s">
        <v>355</v>
      </c>
      <c r="D119" s="76">
        <v>5601871</v>
      </c>
      <c r="E119" s="76">
        <v>9</v>
      </c>
      <c r="F119" s="76">
        <v>75</v>
      </c>
      <c r="G119" s="27" t="s">
        <v>20</v>
      </c>
      <c r="H119" s="26" t="s">
        <v>248</v>
      </c>
      <c r="I119" s="34" t="s">
        <v>33</v>
      </c>
      <c r="J119" s="34" t="s">
        <v>33</v>
      </c>
      <c r="K119" s="34" t="s">
        <v>33</v>
      </c>
      <c r="L119" s="34" t="s">
        <v>51</v>
      </c>
      <c r="M119" s="34" t="s">
        <v>33</v>
      </c>
      <c r="N119" s="34" t="s">
        <v>33</v>
      </c>
      <c r="O119" s="39" t="s">
        <v>25</v>
      </c>
      <c r="P119" s="26" t="s">
        <v>36</v>
      </c>
      <c r="Q119" s="26" t="s">
        <v>356</v>
      </c>
      <c r="R119" s="26" t="s">
        <v>356</v>
      </c>
    </row>
    <row r="120" spans="1:18" s="1" customFormat="1" ht="18.75">
      <c r="A120" s="15">
        <v>119</v>
      </c>
      <c r="B120" s="16" t="s">
        <v>18</v>
      </c>
      <c r="C120" s="26" t="s">
        <v>357</v>
      </c>
      <c r="D120" s="26">
        <v>15574388</v>
      </c>
      <c r="E120" s="26">
        <v>3</v>
      </c>
      <c r="F120" s="26">
        <v>39</v>
      </c>
      <c r="G120" s="27" t="s">
        <v>20</v>
      </c>
      <c r="H120" s="34" t="s">
        <v>206</v>
      </c>
      <c r="I120" s="26" t="s">
        <v>33</v>
      </c>
      <c r="J120" s="26" t="s">
        <v>33</v>
      </c>
      <c r="K120" s="26" t="s">
        <v>33</v>
      </c>
      <c r="L120" s="39" t="s">
        <v>51</v>
      </c>
      <c r="M120" s="27" t="s">
        <v>33</v>
      </c>
      <c r="N120" s="27" t="s">
        <v>33</v>
      </c>
      <c r="O120" s="39" t="s">
        <v>25</v>
      </c>
      <c r="P120" s="26" t="s">
        <v>26</v>
      </c>
      <c r="Q120" s="26" t="s">
        <v>358</v>
      </c>
      <c r="R120" s="26" t="s">
        <v>358</v>
      </c>
    </row>
    <row r="121" spans="1:18" s="1" customFormat="1" ht="37.5">
      <c r="A121" s="15">
        <v>120</v>
      </c>
      <c r="B121" s="16" t="s">
        <v>18</v>
      </c>
      <c r="C121" s="69" t="s">
        <v>359</v>
      </c>
      <c r="D121" s="34">
        <v>8814783</v>
      </c>
      <c r="E121" s="34">
        <v>9</v>
      </c>
      <c r="F121" s="34">
        <v>66</v>
      </c>
      <c r="G121" s="27" t="s">
        <v>30</v>
      </c>
      <c r="H121" s="26" t="s">
        <v>360</v>
      </c>
      <c r="I121" s="34" t="s">
        <v>33</v>
      </c>
      <c r="J121" s="34" t="s">
        <v>33</v>
      </c>
      <c r="K121" s="34" t="s">
        <v>33</v>
      </c>
      <c r="L121" s="34" t="s">
        <v>51</v>
      </c>
      <c r="M121" s="34" t="s">
        <v>33</v>
      </c>
      <c r="N121" s="34" t="s">
        <v>33</v>
      </c>
      <c r="O121" s="39" t="s">
        <v>25</v>
      </c>
      <c r="P121" s="26" t="s">
        <v>36</v>
      </c>
      <c r="Q121" s="26" t="s">
        <v>361</v>
      </c>
      <c r="R121" s="26" t="s">
        <v>362</v>
      </c>
    </row>
    <row r="122" spans="1:18" s="1" customFormat="1" ht="57">
      <c r="A122" s="15">
        <v>121</v>
      </c>
      <c r="B122" s="16" t="s">
        <v>18</v>
      </c>
      <c r="C122" s="34" t="s">
        <v>363</v>
      </c>
      <c r="D122" s="34">
        <v>6964583</v>
      </c>
      <c r="E122" s="34">
        <v>6</v>
      </c>
      <c r="F122" s="34">
        <v>82</v>
      </c>
      <c r="G122" s="27" t="s">
        <v>20</v>
      </c>
      <c r="H122" s="26" t="s">
        <v>360</v>
      </c>
      <c r="I122" s="34" t="s">
        <v>33</v>
      </c>
      <c r="J122" s="34" t="s">
        <v>33</v>
      </c>
      <c r="K122" s="34" t="s">
        <v>33</v>
      </c>
      <c r="L122" s="34" t="s">
        <v>51</v>
      </c>
      <c r="M122" s="34" t="s">
        <v>33</v>
      </c>
      <c r="N122" s="34" t="s">
        <v>33</v>
      </c>
      <c r="O122" s="39" t="s">
        <v>25</v>
      </c>
      <c r="P122" s="26" t="s">
        <v>36</v>
      </c>
      <c r="Q122" s="26" t="s">
        <v>364</v>
      </c>
      <c r="R122" s="26" t="s">
        <v>364</v>
      </c>
    </row>
    <row r="123" spans="1:18" ht="37.5">
      <c r="A123" s="15">
        <v>122</v>
      </c>
      <c r="B123" s="16" t="s">
        <v>18</v>
      </c>
      <c r="C123" s="77" t="s">
        <v>365</v>
      </c>
      <c r="D123" s="77">
        <v>7486807</v>
      </c>
      <c r="E123" s="1" t="s">
        <v>45</v>
      </c>
      <c r="F123" s="77">
        <v>71</v>
      </c>
      <c r="G123" s="27" t="s">
        <v>20</v>
      </c>
      <c r="H123" s="78" t="s">
        <v>259</v>
      </c>
      <c r="I123" s="34" t="s">
        <v>33</v>
      </c>
      <c r="J123" s="34" t="s">
        <v>33</v>
      </c>
      <c r="K123" s="34" t="s">
        <v>33</v>
      </c>
      <c r="L123" s="77" t="s">
        <v>23</v>
      </c>
      <c r="M123" s="34" t="s">
        <v>33</v>
      </c>
      <c r="N123" s="34" t="s">
        <v>33</v>
      </c>
      <c r="O123" s="39" t="s">
        <v>25</v>
      </c>
      <c r="P123" s="26" t="s">
        <v>36</v>
      </c>
      <c r="Q123" s="78" t="s">
        <v>366</v>
      </c>
      <c r="R123" s="78" t="s">
        <v>366</v>
      </c>
    </row>
    <row r="124" spans="1:18" s="1" customFormat="1" ht="37.5">
      <c r="A124" s="15">
        <v>123</v>
      </c>
      <c r="B124" s="16" t="s">
        <v>18</v>
      </c>
      <c r="C124" s="34" t="s">
        <v>367</v>
      </c>
      <c r="D124" s="34">
        <v>6704568</v>
      </c>
      <c r="E124" s="34">
        <v>8</v>
      </c>
      <c r="F124" s="34">
        <v>75</v>
      </c>
      <c r="G124" s="34" t="s">
        <v>30</v>
      </c>
      <c r="H124" s="26" t="s">
        <v>251</v>
      </c>
      <c r="I124" s="34" t="s">
        <v>33</v>
      </c>
      <c r="J124" s="34" t="s">
        <v>33</v>
      </c>
      <c r="K124" s="34" t="s">
        <v>33</v>
      </c>
      <c r="L124" s="34" t="s">
        <v>51</v>
      </c>
      <c r="M124" s="34" t="s">
        <v>33</v>
      </c>
      <c r="N124" s="34" t="s">
        <v>33</v>
      </c>
      <c r="O124" s="39" t="s">
        <v>25</v>
      </c>
      <c r="P124" s="26" t="s">
        <v>36</v>
      </c>
      <c r="Q124" s="26" t="s">
        <v>368</v>
      </c>
      <c r="R124" s="26" t="s">
        <v>368</v>
      </c>
    </row>
    <row r="125" spans="1:18" s="1" customFormat="1" ht="93.75" customHeight="1">
      <c r="A125" s="15">
        <v>124</v>
      </c>
      <c r="B125" s="16" t="s">
        <v>18</v>
      </c>
      <c r="C125" s="62" t="s">
        <v>369</v>
      </c>
      <c r="D125" s="62">
        <v>4341259</v>
      </c>
      <c r="E125" s="62">
        <v>0</v>
      </c>
      <c r="F125" s="62">
        <v>85</v>
      </c>
      <c r="G125" s="62" t="s">
        <v>63</v>
      </c>
      <c r="H125" s="55" t="s">
        <v>251</v>
      </c>
      <c r="I125" s="62" t="s">
        <v>33</v>
      </c>
      <c r="J125" s="62" t="s">
        <v>33</v>
      </c>
      <c r="K125" s="62" t="s">
        <v>33</v>
      </c>
      <c r="L125" s="62" t="s">
        <v>51</v>
      </c>
      <c r="M125" s="62" t="s">
        <v>33</v>
      </c>
      <c r="N125" s="62" t="s">
        <v>33</v>
      </c>
      <c r="O125" s="57" t="s">
        <v>25</v>
      </c>
      <c r="P125" s="55" t="s">
        <v>36</v>
      </c>
      <c r="Q125" s="55" t="s">
        <v>368</v>
      </c>
      <c r="R125" s="55" t="s">
        <v>368</v>
      </c>
    </row>
    <row r="126" spans="1:18" s="1" customFormat="1" ht="75" customHeight="1">
      <c r="A126" s="15">
        <v>125</v>
      </c>
      <c r="B126" s="16" t="s">
        <v>18</v>
      </c>
      <c r="C126" s="69" t="s">
        <v>370</v>
      </c>
      <c r="D126" s="34">
        <v>9853094</v>
      </c>
      <c r="E126" s="34">
        <v>0</v>
      </c>
      <c r="F126" s="34">
        <v>61</v>
      </c>
      <c r="G126" s="27" t="s">
        <v>20</v>
      </c>
      <c r="H126" s="69" t="s">
        <v>206</v>
      </c>
      <c r="I126" s="69" t="s">
        <v>33</v>
      </c>
      <c r="J126" s="69" t="s">
        <v>33</v>
      </c>
      <c r="K126" s="34" t="s">
        <v>33</v>
      </c>
      <c r="L126" s="69" t="s">
        <v>51</v>
      </c>
      <c r="M126" s="69" t="s">
        <v>33</v>
      </c>
      <c r="N126" s="69" t="s">
        <v>33</v>
      </c>
      <c r="O126" s="39" t="s">
        <v>25</v>
      </c>
      <c r="P126" s="39" t="s">
        <v>36</v>
      </c>
      <c r="Q126" s="68" t="s">
        <v>371</v>
      </c>
      <c r="R126" s="68" t="s">
        <v>371</v>
      </c>
    </row>
    <row r="127" spans="1:18" s="1" customFormat="1" ht="18.75">
      <c r="A127" s="15">
        <v>126</v>
      </c>
      <c r="B127" s="16" t="s">
        <v>18</v>
      </c>
      <c r="C127" s="26" t="s">
        <v>372</v>
      </c>
      <c r="D127" s="26">
        <v>14192271</v>
      </c>
      <c r="E127" s="26">
        <v>8</v>
      </c>
      <c r="F127" s="26">
        <v>44</v>
      </c>
      <c r="G127" s="27" t="s">
        <v>20</v>
      </c>
      <c r="H127" s="26" t="s">
        <v>373</v>
      </c>
      <c r="I127" s="26">
        <v>2024</v>
      </c>
      <c r="J127" s="44">
        <v>45614</v>
      </c>
      <c r="K127" s="26" t="s">
        <v>33</v>
      </c>
      <c r="L127" s="26" t="s">
        <v>23</v>
      </c>
      <c r="M127" s="26" t="s">
        <v>33</v>
      </c>
      <c r="N127" s="26" t="s">
        <v>33</v>
      </c>
      <c r="O127" s="50" t="s">
        <v>149</v>
      </c>
      <c r="P127" s="39" t="s">
        <v>108</v>
      </c>
      <c r="Q127" s="26" t="s">
        <v>374</v>
      </c>
      <c r="R127" s="26" t="s">
        <v>374</v>
      </c>
    </row>
    <row r="128" spans="1:18" s="1" customFormat="1" ht="37.5">
      <c r="A128" s="15">
        <v>127</v>
      </c>
      <c r="B128" s="16" t="s">
        <v>18</v>
      </c>
      <c r="C128" s="34" t="s">
        <v>375</v>
      </c>
      <c r="D128" s="34">
        <v>16324389</v>
      </c>
      <c r="E128" s="34" t="s">
        <v>128</v>
      </c>
      <c r="F128" s="34">
        <v>39</v>
      </c>
      <c r="G128" s="27" t="s">
        <v>20</v>
      </c>
      <c r="H128" s="34" t="s">
        <v>206</v>
      </c>
      <c r="I128" s="34" t="s">
        <v>33</v>
      </c>
      <c r="J128" s="34" t="s">
        <v>33</v>
      </c>
      <c r="K128" s="34" t="s">
        <v>33</v>
      </c>
      <c r="L128" s="34" t="s">
        <v>51</v>
      </c>
      <c r="M128" s="34" t="s">
        <v>33</v>
      </c>
      <c r="N128" s="34" t="s">
        <v>33</v>
      </c>
      <c r="O128" s="39" t="s">
        <v>25</v>
      </c>
      <c r="P128" s="26" t="s">
        <v>36</v>
      </c>
      <c r="Q128" s="26" t="s">
        <v>376</v>
      </c>
      <c r="R128" s="26" t="s">
        <v>376</v>
      </c>
    </row>
    <row r="129" spans="1:18" s="71" customFormat="1" ht="37.5">
      <c r="A129" s="15">
        <v>128</v>
      </c>
      <c r="B129" s="19" t="s">
        <v>28</v>
      </c>
      <c r="C129" s="26" t="s">
        <v>377</v>
      </c>
      <c r="D129" s="26">
        <v>26305955</v>
      </c>
      <c r="E129" s="26">
        <v>7</v>
      </c>
      <c r="F129" s="26">
        <v>46</v>
      </c>
      <c r="G129" s="27" t="s">
        <v>20</v>
      </c>
      <c r="H129" s="26" t="s">
        <v>378</v>
      </c>
      <c r="I129" s="26">
        <v>2024</v>
      </c>
      <c r="J129" s="44">
        <v>45479</v>
      </c>
      <c r="K129" s="26" t="s">
        <v>33</v>
      </c>
      <c r="L129" s="26" t="s">
        <v>23</v>
      </c>
      <c r="M129" s="26" t="s">
        <v>33</v>
      </c>
      <c r="N129" s="26" t="s">
        <v>33</v>
      </c>
      <c r="O129" s="50" t="s">
        <v>149</v>
      </c>
      <c r="P129" s="26" t="s">
        <v>108</v>
      </c>
      <c r="Q129" s="26" t="s">
        <v>374</v>
      </c>
      <c r="R129" s="26" t="s">
        <v>374</v>
      </c>
    </row>
    <row r="130" spans="1:18" s="1" customFormat="1" ht="37.5">
      <c r="A130" s="15">
        <v>129</v>
      </c>
      <c r="B130" s="16" t="s">
        <v>18</v>
      </c>
      <c r="C130" s="26" t="s">
        <v>379</v>
      </c>
      <c r="D130" s="26" t="s">
        <v>380</v>
      </c>
      <c r="E130" s="26">
        <v>5</v>
      </c>
      <c r="F130" s="26">
        <v>53</v>
      </c>
      <c r="G130" s="27" t="s">
        <v>20</v>
      </c>
      <c r="H130" s="26" t="s">
        <v>251</v>
      </c>
      <c r="I130" s="26" t="s">
        <v>33</v>
      </c>
      <c r="J130" s="26" t="s">
        <v>35</v>
      </c>
      <c r="K130" s="26" t="s">
        <v>83</v>
      </c>
      <c r="L130" s="39" t="s">
        <v>51</v>
      </c>
      <c r="M130" s="27" t="s">
        <v>33</v>
      </c>
      <c r="N130" s="27" t="s">
        <v>33</v>
      </c>
      <c r="O130" s="39" t="s">
        <v>25</v>
      </c>
      <c r="P130" s="39" t="s">
        <v>36</v>
      </c>
      <c r="Q130" s="26" t="s">
        <v>381</v>
      </c>
      <c r="R130" s="26" t="s">
        <v>381</v>
      </c>
    </row>
    <row r="131" spans="1:18" s="1" customFormat="1" ht="75.75" customHeight="1">
      <c r="A131" s="15">
        <v>130</v>
      </c>
      <c r="B131" s="19" t="s">
        <v>28</v>
      </c>
      <c r="C131" s="26" t="s">
        <v>382</v>
      </c>
      <c r="D131" s="26">
        <v>12944092</v>
      </c>
      <c r="E131" s="26">
        <v>9</v>
      </c>
      <c r="F131" s="26">
        <v>48</v>
      </c>
      <c r="G131" s="27" t="s">
        <v>20</v>
      </c>
      <c r="H131" s="26" t="s">
        <v>383</v>
      </c>
      <c r="I131" s="26" t="s">
        <v>33</v>
      </c>
      <c r="J131" s="26" t="s">
        <v>33</v>
      </c>
      <c r="K131" s="26" t="s">
        <v>33</v>
      </c>
      <c r="L131" s="26" t="s">
        <v>23</v>
      </c>
      <c r="M131" s="26" t="s">
        <v>33</v>
      </c>
      <c r="N131" s="26" t="s">
        <v>33</v>
      </c>
      <c r="O131" s="39" t="s">
        <v>25</v>
      </c>
      <c r="P131" s="26" t="s">
        <v>36</v>
      </c>
      <c r="Q131" s="26" t="s">
        <v>384</v>
      </c>
      <c r="R131" s="26" t="s">
        <v>384</v>
      </c>
    </row>
    <row r="132" spans="1:18" s="1" customFormat="1" ht="37.5">
      <c r="A132" s="15">
        <v>131</v>
      </c>
      <c r="B132" s="16" t="s">
        <v>18</v>
      </c>
      <c r="C132" s="26" t="s">
        <v>385</v>
      </c>
      <c r="D132" s="34">
        <v>21128629</v>
      </c>
      <c r="E132" s="34">
        <v>6</v>
      </c>
      <c r="F132" s="34">
        <v>22</v>
      </c>
      <c r="G132" s="34" t="s">
        <v>20</v>
      </c>
      <c r="H132" s="34" t="s">
        <v>206</v>
      </c>
      <c r="I132" s="34" t="s">
        <v>33</v>
      </c>
      <c r="J132" s="34" t="s">
        <v>33</v>
      </c>
      <c r="K132" s="34" t="s">
        <v>33</v>
      </c>
      <c r="L132" s="34" t="s">
        <v>51</v>
      </c>
      <c r="M132" s="34" t="s">
        <v>33</v>
      </c>
      <c r="N132" s="34" t="s">
        <v>33</v>
      </c>
      <c r="O132" s="39" t="s">
        <v>25</v>
      </c>
      <c r="P132" s="39" t="s">
        <v>36</v>
      </c>
      <c r="Q132" s="26" t="s">
        <v>386</v>
      </c>
      <c r="R132" s="26" t="s">
        <v>386</v>
      </c>
    </row>
    <row r="133" spans="1:18" s="1" customFormat="1" ht="37.5">
      <c r="A133" s="15">
        <v>132</v>
      </c>
      <c r="B133" s="16" t="s">
        <v>18</v>
      </c>
      <c r="C133" s="34" t="s">
        <v>387</v>
      </c>
      <c r="D133" s="34">
        <v>6099037</v>
      </c>
      <c r="E133" s="34">
        <v>9</v>
      </c>
      <c r="F133" s="34">
        <v>74</v>
      </c>
      <c r="G133" s="34" t="s">
        <v>20</v>
      </c>
      <c r="H133" s="26" t="s">
        <v>251</v>
      </c>
      <c r="I133" s="34" t="s">
        <v>33</v>
      </c>
      <c r="J133" s="34" t="s">
        <v>33</v>
      </c>
      <c r="K133" s="34" t="s">
        <v>33</v>
      </c>
      <c r="L133" s="34" t="s">
        <v>51</v>
      </c>
      <c r="M133" s="34" t="s">
        <v>33</v>
      </c>
      <c r="N133" s="34" t="s">
        <v>33</v>
      </c>
      <c r="O133" s="39" t="s">
        <v>25</v>
      </c>
      <c r="P133" s="34" t="s">
        <v>36</v>
      </c>
      <c r="Q133" s="26" t="s">
        <v>388</v>
      </c>
      <c r="R133" s="26" t="s">
        <v>389</v>
      </c>
    </row>
    <row r="134" spans="1:18" s="79" customFormat="1" ht="18.75">
      <c r="A134" s="15">
        <v>133</v>
      </c>
      <c r="B134" s="16" t="s">
        <v>18</v>
      </c>
      <c r="C134" s="69" t="s">
        <v>390</v>
      </c>
      <c r="D134" s="34">
        <v>6120616</v>
      </c>
      <c r="E134" s="34">
        <v>7</v>
      </c>
      <c r="F134" s="34">
        <v>77</v>
      </c>
      <c r="G134" s="34" t="s">
        <v>20</v>
      </c>
      <c r="H134" s="26" t="s">
        <v>64</v>
      </c>
      <c r="I134" s="34">
        <v>2025</v>
      </c>
      <c r="J134" s="52">
        <v>45749</v>
      </c>
      <c r="K134" s="34" t="s">
        <v>28</v>
      </c>
      <c r="L134" s="34" t="s">
        <v>84</v>
      </c>
      <c r="M134" s="52">
        <v>45785</v>
      </c>
      <c r="N134" s="34" t="s">
        <v>326</v>
      </c>
      <c r="O134" s="39" t="s">
        <v>25</v>
      </c>
      <c r="P134" s="34" t="s">
        <v>26</v>
      </c>
      <c r="Q134" s="26" t="s">
        <v>391</v>
      </c>
      <c r="R134" s="26" t="s">
        <v>391</v>
      </c>
    </row>
    <row r="135" spans="1:18" s="1" customFormat="1" ht="35.25" customHeight="1">
      <c r="A135" s="15">
        <v>134</v>
      </c>
      <c r="B135" s="16" t="s">
        <v>18</v>
      </c>
      <c r="C135" s="39" t="s">
        <v>392</v>
      </c>
      <c r="D135" s="39">
        <v>8200457</v>
      </c>
      <c r="E135" s="39">
        <v>2</v>
      </c>
      <c r="F135" s="47">
        <v>64</v>
      </c>
      <c r="G135" s="27" t="s">
        <v>20</v>
      </c>
      <c r="H135" s="26" t="s">
        <v>251</v>
      </c>
      <c r="I135" s="47" t="s">
        <v>33</v>
      </c>
      <c r="J135" s="43" t="s">
        <v>33</v>
      </c>
      <c r="K135" s="26" t="s">
        <v>83</v>
      </c>
      <c r="L135" s="39" t="s">
        <v>23</v>
      </c>
      <c r="M135" s="27" t="s">
        <v>33</v>
      </c>
      <c r="N135" s="27" t="s">
        <v>33</v>
      </c>
      <c r="O135" s="39" t="s">
        <v>25</v>
      </c>
      <c r="P135" s="26" t="s">
        <v>36</v>
      </c>
      <c r="Q135" s="39" t="s">
        <v>393</v>
      </c>
      <c r="R135" s="39" t="s">
        <v>393</v>
      </c>
    </row>
    <row r="136" spans="1:18" s="1" customFormat="1" ht="75.75" customHeight="1">
      <c r="A136" s="15">
        <v>135</v>
      </c>
      <c r="B136" s="16" t="s">
        <v>18</v>
      </c>
      <c r="C136" s="34" t="s">
        <v>394</v>
      </c>
      <c r="D136" s="34">
        <v>17711422</v>
      </c>
      <c r="E136" s="34">
        <v>7</v>
      </c>
      <c r="F136" s="34">
        <v>34</v>
      </c>
      <c r="G136" s="27" t="s">
        <v>20</v>
      </c>
      <c r="H136" s="34" t="s">
        <v>113</v>
      </c>
      <c r="I136" s="34" t="s">
        <v>33</v>
      </c>
      <c r="J136" s="34" t="s">
        <v>33</v>
      </c>
      <c r="K136" s="34" t="s">
        <v>33</v>
      </c>
      <c r="L136" s="34" t="s">
        <v>51</v>
      </c>
      <c r="M136" s="34" t="s">
        <v>33</v>
      </c>
      <c r="N136" s="34" t="s">
        <v>33</v>
      </c>
      <c r="O136" s="39" t="s">
        <v>25</v>
      </c>
      <c r="P136" s="26" t="s">
        <v>36</v>
      </c>
      <c r="Q136" s="26" t="s">
        <v>395</v>
      </c>
      <c r="R136" s="26" t="s">
        <v>395</v>
      </c>
    </row>
    <row r="137" spans="1:18" s="1" customFormat="1" ht="57" customHeight="1">
      <c r="A137" s="15">
        <v>136</v>
      </c>
      <c r="B137" s="16" t="s">
        <v>18</v>
      </c>
      <c r="C137" s="34" t="s">
        <v>396</v>
      </c>
      <c r="D137" s="34">
        <v>20797540</v>
      </c>
      <c r="E137" s="34">
        <v>0</v>
      </c>
      <c r="F137" s="34">
        <v>23</v>
      </c>
      <c r="G137" s="27" t="s">
        <v>20</v>
      </c>
      <c r="H137" s="34" t="s">
        <v>206</v>
      </c>
      <c r="I137" s="34" t="s">
        <v>33</v>
      </c>
      <c r="J137" s="34" t="s">
        <v>33</v>
      </c>
      <c r="K137" s="34" t="s">
        <v>33</v>
      </c>
      <c r="L137" s="34" t="s">
        <v>51</v>
      </c>
      <c r="M137" s="34" t="s">
        <v>33</v>
      </c>
      <c r="N137" s="34" t="s">
        <v>33</v>
      </c>
      <c r="O137" s="39" t="s">
        <v>25</v>
      </c>
      <c r="P137" s="26" t="s">
        <v>36</v>
      </c>
      <c r="Q137" s="26" t="s">
        <v>397</v>
      </c>
      <c r="R137" s="26" t="s">
        <v>397</v>
      </c>
    </row>
    <row r="138" spans="1:18" s="1" customFormat="1" ht="37.5">
      <c r="A138" s="15">
        <v>137</v>
      </c>
      <c r="B138" s="19" t="s">
        <v>28</v>
      </c>
      <c r="C138" s="34" t="s">
        <v>398</v>
      </c>
      <c r="D138" s="34">
        <v>7215523</v>
      </c>
      <c r="E138" s="34">
        <v>8</v>
      </c>
      <c r="F138" s="34">
        <v>68</v>
      </c>
      <c r="G138" s="27" t="s">
        <v>20</v>
      </c>
      <c r="H138" s="34" t="s">
        <v>206</v>
      </c>
      <c r="I138" s="34" t="s">
        <v>33</v>
      </c>
      <c r="J138" s="34" t="s">
        <v>33</v>
      </c>
      <c r="K138" s="34" t="s">
        <v>33</v>
      </c>
      <c r="L138" s="34" t="s">
        <v>51</v>
      </c>
      <c r="M138" s="34" t="s">
        <v>33</v>
      </c>
      <c r="N138" s="34" t="s">
        <v>33</v>
      </c>
      <c r="O138" s="39" t="s">
        <v>25</v>
      </c>
      <c r="P138" s="26" t="s">
        <v>36</v>
      </c>
      <c r="Q138" s="26" t="s">
        <v>399</v>
      </c>
      <c r="R138" s="26" t="s">
        <v>399</v>
      </c>
    </row>
    <row r="139" spans="1:18" s="1" customFormat="1" ht="37.5">
      <c r="A139" s="15">
        <v>138</v>
      </c>
      <c r="B139" s="19" t="s">
        <v>28</v>
      </c>
      <c r="C139" s="26" t="s">
        <v>400</v>
      </c>
      <c r="D139" s="26">
        <v>4569057</v>
      </c>
      <c r="E139" s="26">
        <v>1</v>
      </c>
      <c r="F139" s="26">
        <v>81</v>
      </c>
      <c r="G139" s="27" t="s">
        <v>20</v>
      </c>
      <c r="H139" s="26" t="s">
        <v>401</v>
      </c>
      <c r="I139" s="26" t="s">
        <v>33</v>
      </c>
      <c r="J139" s="26" t="s">
        <v>33</v>
      </c>
      <c r="K139" s="26" t="s">
        <v>33</v>
      </c>
      <c r="L139" s="39" t="s">
        <v>23</v>
      </c>
      <c r="M139" s="27" t="s">
        <v>33</v>
      </c>
      <c r="N139" s="27" t="s">
        <v>33</v>
      </c>
      <c r="O139" s="39" t="s">
        <v>25</v>
      </c>
      <c r="P139" s="26" t="s">
        <v>36</v>
      </c>
      <c r="Q139" s="26" t="s">
        <v>402</v>
      </c>
      <c r="R139" s="26" t="s">
        <v>402</v>
      </c>
    </row>
    <row r="140" spans="1:18" s="1" customFormat="1" ht="57">
      <c r="A140" s="15">
        <v>139</v>
      </c>
      <c r="B140" s="16" t="s">
        <v>18</v>
      </c>
      <c r="C140" s="39" t="s">
        <v>403</v>
      </c>
      <c r="D140" s="39">
        <v>7656486</v>
      </c>
      <c r="E140" s="39">
        <v>8</v>
      </c>
      <c r="F140" s="39">
        <v>64</v>
      </c>
      <c r="G140" s="26" t="s">
        <v>63</v>
      </c>
      <c r="H140" s="39" t="s">
        <v>59</v>
      </c>
      <c r="I140" s="39">
        <v>2014</v>
      </c>
      <c r="J140" s="43">
        <v>41826</v>
      </c>
      <c r="K140" s="26" t="s">
        <v>18</v>
      </c>
      <c r="L140" s="39" t="s">
        <v>84</v>
      </c>
      <c r="M140" s="27" t="s">
        <v>33</v>
      </c>
      <c r="N140" s="27" t="s">
        <v>33</v>
      </c>
      <c r="O140" s="39" t="s">
        <v>149</v>
      </c>
      <c r="P140" s="26" t="s">
        <v>108</v>
      </c>
      <c r="Q140" s="26" t="s">
        <v>404</v>
      </c>
      <c r="R140" s="26" t="s">
        <v>405</v>
      </c>
    </row>
    <row r="141" spans="1:18" s="1" customFormat="1" ht="37.5">
      <c r="A141" s="15">
        <v>140</v>
      </c>
      <c r="B141" s="16" t="s">
        <v>18</v>
      </c>
      <c r="C141" s="34" t="s">
        <v>406</v>
      </c>
      <c r="D141" s="34">
        <v>14944869</v>
      </c>
      <c r="E141" s="34">
        <v>1</v>
      </c>
      <c r="F141" s="34">
        <v>28</v>
      </c>
      <c r="G141" s="27" t="s">
        <v>20</v>
      </c>
      <c r="H141" s="34" t="s">
        <v>206</v>
      </c>
      <c r="I141" s="34" t="s">
        <v>33</v>
      </c>
      <c r="J141" s="34" t="s">
        <v>33</v>
      </c>
      <c r="K141" s="34" t="s">
        <v>33</v>
      </c>
      <c r="L141" s="34" t="s">
        <v>51</v>
      </c>
      <c r="M141" s="34" t="s">
        <v>33</v>
      </c>
      <c r="N141" s="34" t="s">
        <v>33</v>
      </c>
      <c r="O141" s="39" t="s">
        <v>25</v>
      </c>
      <c r="P141" s="26" t="s">
        <v>108</v>
      </c>
      <c r="Q141" s="26" t="s">
        <v>407</v>
      </c>
      <c r="R141" s="26" t="s">
        <v>407</v>
      </c>
    </row>
    <row r="142" spans="1:18" s="1" customFormat="1" ht="51" customHeight="1">
      <c r="A142" s="15">
        <v>141</v>
      </c>
      <c r="B142" s="16" t="s">
        <v>18</v>
      </c>
      <c r="C142" s="80" t="s">
        <v>408</v>
      </c>
      <c r="D142" s="39">
        <v>12064432</v>
      </c>
      <c r="E142" s="39">
        <v>7</v>
      </c>
      <c r="F142" s="47">
        <v>55</v>
      </c>
      <c r="G142" s="81" t="s">
        <v>20</v>
      </c>
      <c r="H142" s="39" t="s">
        <v>59</v>
      </c>
      <c r="I142" s="26" t="s">
        <v>33</v>
      </c>
      <c r="J142" s="26" t="s">
        <v>33</v>
      </c>
      <c r="K142" s="26" t="s">
        <v>83</v>
      </c>
      <c r="L142" s="39" t="s">
        <v>23</v>
      </c>
      <c r="M142" s="27" t="s">
        <v>33</v>
      </c>
      <c r="N142" s="27" t="s">
        <v>33</v>
      </c>
      <c r="O142" s="39" t="s">
        <v>25</v>
      </c>
      <c r="P142" s="34" t="s">
        <v>26</v>
      </c>
      <c r="Q142" s="39" t="s">
        <v>409</v>
      </c>
      <c r="R142" s="39" t="s">
        <v>409</v>
      </c>
    </row>
    <row r="143" spans="1:18" s="1" customFormat="1" ht="57">
      <c r="A143" s="15">
        <v>142</v>
      </c>
      <c r="B143" s="19" t="s">
        <v>28</v>
      </c>
      <c r="C143" s="68" t="s">
        <v>410</v>
      </c>
      <c r="D143" s="26">
        <v>8997605</v>
      </c>
      <c r="E143" s="26">
        <v>7</v>
      </c>
      <c r="F143" s="26">
        <v>64</v>
      </c>
      <c r="G143" s="27" t="s">
        <v>20</v>
      </c>
      <c r="H143" s="26" t="s">
        <v>383</v>
      </c>
      <c r="I143" s="26" t="s">
        <v>33</v>
      </c>
      <c r="J143" s="26" t="s">
        <v>33</v>
      </c>
      <c r="K143" s="68" t="s">
        <v>33</v>
      </c>
      <c r="L143" s="26" t="s">
        <v>23</v>
      </c>
      <c r="M143" s="26" t="s">
        <v>33</v>
      </c>
      <c r="N143" s="26" t="s">
        <v>33</v>
      </c>
      <c r="O143" s="39" t="s">
        <v>25</v>
      </c>
      <c r="P143" s="26" t="s">
        <v>36</v>
      </c>
      <c r="Q143" s="68" t="s">
        <v>411</v>
      </c>
      <c r="R143" s="68" t="s">
        <v>411</v>
      </c>
    </row>
    <row r="144" spans="1:18" s="2" customFormat="1" ht="57">
      <c r="A144" s="15">
        <v>143</v>
      </c>
      <c r="B144" s="19" t="s">
        <v>28</v>
      </c>
      <c r="C144" s="26" t="s">
        <v>412</v>
      </c>
      <c r="D144" s="26">
        <v>22289247</v>
      </c>
      <c r="E144" s="26">
        <v>3</v>
      </c>
      <c r="F144" s="26">
        <v>47</v>
      </c>
      <c r="G144" s="27" t="s">
        <v>20</v>
      </c>
      <c r="H144" s="26" t="s">
        <v>413</v>
      </c>
      <c r="I144" s="26">
        <v>2024</v>
      </c>
      <c r="J144" s="44">
        <v>45316</v>
      </c>
      <c r="K144" s="26" t="s">
        <v>33</v>
      </c>
      <c r="L144" s="39" t="s">
        <v>23</v>
      </c>
      <c r="M144" s="27" t="s">
        <v>33</v>
      </c>
      <c r="N144" s="27" t="s">
        <v>33</v>
      </c>
      <c r="O144" s="39" t="s">
        <v>25</v>
      </c>
      <c r="P144" s="50" t="s">
        <v>36</v>
      </c>
      <c r="Q144" s="68" t="s">
        <v>414</v>
      </c>
      <c r="R144" s="68" t="s">
        <v>414</v>
      </c>
    </row>
    <row r="145" spans="1:18" s="1" customFormat="1" ht="18.75">
      <c r="A145" s="15">
        <v>144</v>
      </c>
      <c r="B145" s="16" t="s">
        <v>18</v>
      </c>
      <c r="C145" s="26" t="s">
        <v>415</v>
      </c>
      <c r="D145" s="26">
        <v>26352249</v>
      </c>
      <c r="E145" s="26">
        <v>4</v>
      </c>
      <c r="F145" s="26">
        <v>30</v>
      </c>
      <c r="G145" s="26" t="s">
        <v>20</v>
      </c>
      <c r="H145" s="26" t="s">
        <v>50</v>
      </c>
      <c r="I145" s="39">
        <v>2019</v>
      </c>
      <c r="J145" s="44">
        <v>43788</v>
      </c>
      <c r="K145" s="26" t="s">
        <v>18</v>
      </c>
      <c r="L145" s="39" t="s">
        <v>23</v>
      </c>
      <c r="M145" s="26" t="s">
        <v>33</v>
      </c>
      <c r="N145" s="26" t="s">
        <v>33</v>
      </c>
      <c r="O145" s="26" t="s">
        <v>42</v>
      </c>
      <c r="P145" s="50" t="s">
        <v>108</v>
      </c>
      <c r="Q145" s="26" t="s">
        <v>416</v>
      </c>
      <c r="R145" s="26" t="s">
        <v>416</v>
      </c>
    </row>
    <row r="146" spans="1:18" s="1" customFormat="1" ht="38.25" customHeight="1">
      <c r="A146" s="15">
        <v>145</v>
      </c>
      <c r="B146" s="16" t="s">
        <v>18</v>
      </c>
      <c r="C146" s="68" t="s">
        <v>417</v>
      </c>
      <c r="D146" s="26">
        <v>4477731</v>
      </c>
      <c r="E146" s="26">
        <v>2</v>
      </c>
      <c r="F146" s="26">
        <v>83</v>
      </c>
      <c r="G146" s="27" t="s">
        <v>20</v>
      </c>
      <c r="H146" s="68" t="s">
        <v>418</v>
      </c>
      <c r="I146" s="68">
        <v>2025</v>
      </c>
      <c r="J146" s="44">
        <v>45694</v>
      </c>
      <c r="K146" s="26" t="s">
        <v>83</v>
      </c>
      <c r="L146" s="26" t="s">
        <v>23</v>
      </c>
      <c r="M146" s="44">
        <v>45694</v>
      </c>
      <c r="N146" s="26" t="s">
        <v>33</v>
      </c>
      <c r="O146" s="26" t="s">
        <v>42</v>
      </c>
      <c r="P146" s="50" t="s">
        <v>26</v>
      </c>
      <c r="Q146" s="68" t="s">
        <v>419</v>
      </c>
      <c r="R146" s="68" t="s">
        <v>419</v>
      </c>
    </row>
    <row r="147" spans="1:18" s="1" customFormat="1" ht="55.5" customHeight="1">
      <c r="A147" s="15">
        <v>146</v>
      </c>
      <c r="B147" s="16" t="s">
        <v>18</v>
      </c>
      <c r="C147" s="34" t="s">
        <v>420</v>
      </c>
      <c r="D147" s="34">
        <v>5183210</v>
      </c>
      <c r="E147" s="34">
        <v>8</v>
      </c>
      <c r="F147" s="34">
        <v>78</v>
      </c>
      <c r="G147" s="27" t="s">
        <v>20</v>
      </c>
      <c r="H147" s="26" t="s">
        <v>113</v>
      </c>
      <c r="I147" s="34" t="s">
        <v>33</v>
      </c>
      <c r="J147" s="34" t="s">
        <v>33</v>
      </c>
      <c r="K147" s="34" t="s">
        <v>33</v>
      </c>
      <c r="L147" s="34" t="s">
        <v>51</v>
      </c>
      <c r="M147" s="34" t="s">
        <v>33</v>
      </c>
      <c r="N147" s="34" t="s">
        <v>33</v>
      </c>
      <c r="O147" s="39" t="s">
        <v>25</v>
      </c>
      <c r="P147" s="50" t="s">
        <v>36</v>
      </c>
      <c r="Q147" s="26" t="s">
        <v>421</v>
      </c>
      <c r="R147" s="26" t="s">
        <v>421</v>
      </c>
    </row>
    <row r="148" spans="1:18" ht="29.25" customHeight="1">
      <c r="A148" s="15">
        <v>147</v>
      </c>
      <c r="B148" s="16" t="s">
        <v>18</v>
      </c>
      <c r="C148" s="65" t="s">
        <v>422</v>
      </c>
      <c r="D148" s="26">
        <v>11727782</v>
      </c>
      <c r="E148" s="65">
        <v>8</v>
      </c>
      <c r="F148" s="65">
        <v>55</v>
      </c>
      <c r="G148" s="27" t="s">
        <v>20</v>
      </c>
      <c r="H148" s="26" t="s">
        <v>418</v>
      </c>
      <c r="I148" s="26" t="s">
        <v>33</v>
      </c>
      <c r="J148" s="26" t="s">
        <v>33</v>
      </c>
      <c r="K148" s="26" t="s">
        <v>33</v>
      </c>
      <c r="L148" s="26" t="s">
        <v>51</v>
      </c>
      <c r="M148" s="26" t="s">
        <v>33</v>
      </c>
      <c r="N148" s="26" t="s">
        <v>33</v>
      </c>
      <c r="O148" s="39" t="s">
        <v>25</v>
      </c>
      <c r="P148" s="26" t="s">
        <v>36</v>
      </c>
      <c r="Q148" s="26" t="s">
        <v>423</v>
      </c>
      <c r="R148" s="26" t="s">
        <v>423</v>
      </c>
    </row>
    <row r="149" spans="1:18" s="1" customFormat="1" ht="39" customHeight="1">
      <c r="A149" s="15">
        <v>148</v>
      </c>
      <c r="B149" s="16" t="s">
        <v>18</v>
      </c>
      <c r="C149" s="34" t="s">
        <v>424</v>
      </c>
      <c r="D149" s="34">
        <v>11727747</v>
      </c>
      <c r="E149" s="34" t="s">
        <v>45</v>
      </c>
      <c r="F149" s="34">
        <v>53</v>
      </c>
      <c r="G149" s="34" t="s">
        <v>20</v>
      </c>
      <c r="H149" s="26" t="s">
        <v>251</v>
      </c>
      <c r="I149" s="26" t="s">
        <v>33</v>
      </c>
      <c r="J149" s="26" t="s">
        <v>33</v>
      </c>
      <c r="K149" s="26" t="s">
        <v>33</v>
      </c>
      <c r="L149" s="34" t="s">
        <v>51</v>
      </c>
      <c r="M149" s="26" t="s">
        <v>33</v>
      </c>
      <c r="N149" s="26" t="s">
        <v>33</v>
      </c>
      <c r="O149" s="39" t="s">
        <v>25</v>
      </c>
      <c r="P149" s="50" t="s">
        <v>108</v>
      </c>
      <c r="Q149" s="26" t="s">
        <v>425</v>
      </c>
      <c r="R149" s="26" t="s">
        <v>425</v>
      </c>
    </row>
    <row r="150" spans="1:18" s="1" customFormat="1" ht="57">
      <c r="A150" s="15">
        <v>149</v>
      </c>
      <c r="B150" s="16" t="s">
        <v>18</v>
      </c>
      <c r="C150" s="34" t="s">
        <v>426</v>
      </c>
      <c r="D150" s="34">
        <v>8009933</v>
      </c>
      <c r="E150" s="34">
        <v>9</v>
      </c>
      <c r="F150" s="34">
        <v>70</v>
      </c>
      <c r="G150" s="34" t="s">
        <v>20</v>
      </c>
      <c r="H150" s="26" t="s">
        <v>378</v>
      </c>
      <c r="I150" s="34">
        <v>2017</v>
      </c>
      <c r="J150" s="34">
        <v>2017</v>
      </c>
      <c r="K150" s="34" t="s">
        <v>83</v>
      </c>
      <c r="L150" s="39" t="s">
        <v>23</v>
      </c>
      <c r="M150" s="34" t="s">
        <v>33</v>
      </c>
      <c r="N150" s="34" t="s">
        <v>33</v>
      </c>
      <c r="O150" s="39" t="s">
        <v>25</v>
      </c>
      <c r="P150" s="50" t="s">
        <v>108</v>
      </c>
      <c r="Q150" s="26" t="s">
        <v>425</v>
      </c>
      <c r="R150" s="26" t="s">
        <v>425</v>
      </c>
    </row>
    <row r="151" spans="1:18" s="1" customFormat="1" ht="30.75" customHeight="1">
      <c r="A151" s="15">
        <v>150</v>
      </c>
      <c r="B151" s="16" t="s">
        <v>18</v>
      </c>
      <c r="C151" s="34" t="s">
        <v>427</v>
      </c>
      <c r="D151" s="34">
        <v>10889840</v>
      </c>
      <c r="E151" s="34">
        <v>2</v>
      </c>
      <c r="F151" s="34">
        <v>61</v>
      </c>
      <c r="G151" s="34" t="s">
        <v>20</v>
      </c>
      <c r="H151" s="26" t="s">
        <v>113</v>
      </c>
      <c r="I151" s="34" t="s">
        <v>33</v>
      </c>
      <c r="J151" s="34" t="s">
        <v>33</v>
      </c>
      <c r="K151" s="34" t="s">
        <v>33</v>
      </c>
      <c r="L151" s="34" t="s">
        <v>51</v>
      </c>
      <c r="M151" s="34" t="s">
        <v>33</v>
      </c>
      <c r="N151" s="34" t="s">
        <v>33</v>
      </c>
      <c r="O151" s="39" t="s">
        <v>25</v>
      </c>
      <c r="P151" s="50" t="s">
        <v>108</v>
      </c>
      <c r="Q151" s="26" t="s">
        <v>428</v>
      </c>
      <c r="R151" s="26" t="s">
        <v>428</v>
      </c>
    </row>
    <row r="152" spans="1:18" s="1" customFormat="1" ht="37.5">
      <c r="A152" s="15">
        <v>151</v>
      </c>
      <c r="B152" s="16" t="s">
        <v>18</v>
      </c>
      <c r="C152" s="34" t="s">
        <v>429</v>
      </c>
      <c r="D152" s="34">
        <v>10620042</v>
      </c>
      <c r="E152" s="34">
        <v>4</v>
      </c>
      <c r="F152" s="34">
        <v>59</v>
      </c>
      <c r="G152" s="34" t="s">
        <v>430</v>
      </c>
      <c r="H152" s="26" t="s">
        <v>431</v>
      </c>
      <c r="I152" s="34" t="s">
        <v>33</v>
      </c>
      <c r="J152" s="34" t="s">
        <v>33</v>
      </c>
      <c r="K152" s="34" t="s">
        <v>33</v>
      </c>
      <c r="L152" s="34" t="s">
        <v>51</v>
      </c>
      <c r="M152" s="34" t="s">
        <v>33</v>
      </c>
      <c r="N152" s="34" t="s">
        <v>33</v>
      </c>
      <c r="O152" s="26" t="s">
        <v>42</v>
      </c>
      <c r="P152" s="50" t="s">
        <v>108</v>
      </c>
      <c r="Q152" s="26" t="s">
        <v>432</v>
      </c>
      <c r="R152" s="26" t="s">
        <v>432</v>
      </c>
    </row>
    <row r="153" spans="1:18" s="1" customFormat="1" ht="30" customHeight="1">
      <c r="A153" s="15">
        <v>152</v>
      </c>
      <c r="B153" s="19" t="s">
        <v>28</v>
      </c>
      <c r="C153" s="34" t="s">
        <v>433</v>
      </c>
      <c r="D153" s="34">
        <v>8550057</v>
      </c>
      <c r="E153" s="34">
        <v>0</v>
      </c>
      <c r="F153" s="34">
        <v>88</v>
      </c>
      <c r="G153" s="53" t="s">
        <v>20</v>
      </c>
      <c r="H153" s="26" t="s">
        <v>431</v>
      </c>
      <c r="I153" s="34" t="s">
        <v>33</v>
      </c>
      <c r="J153" s="34" t="s">
        <v>33</v>
      </c>
      <c r="K153" s="34" t="s">
        <v>33</v>
      </c>
      <c r="L153" s="34" t="s">
        <v>23</v>
      </c>
      <c r="M153" s="34" t="s">
        <v>33</v>
      </c>
      <c r="N153" s="34" t="s">
        <v>33</v>
      </c>
      <c r="O153" s="39" t="s">
        <v>25</v>
      </c>
      <c r="P153" s="50" t="s">
        <v>434</v>
      </c>
      <c r="Q153" s="26" t="s">
        <v>435</v>
      </c>
      <c r="R153" s="26" t="s">
        <v>435</v>
      </c>
    </row>
    <row r="154" spans="1:18" s="1" customFormat="1" ht="37.5">
      <c r="A154" s="15">
        <v>153</v>
      </c>
      <c r="B154" s="16" t="s">
        <v>18</v>
      </c>
      <c r="C154" s="39" t="s">
        <v>436</v>
      </c>
      <c r="D154" s="39">
        <v>6150033</v>
      </c>
      <c r="E154" s="39">
        <v>2</v>
      </c>
      <c r="F154" s="39">
        <v>74</v>
      </c>
      <c r="G154" s="34" t="s">
        <v>63</v>
      </c>
      <c r="H154" s="39" t="s">
        <v>59</v>
      </c>
      <c r="I154" s="39">
        <v>2021</v>
      </c>
      <c r="J154" s="43">
        <v>44388</v>
      </c>
      <c r="K154" s="26" t="s">
        <v>18</v>
      </c>
      <c r="L154" s="34" t="s">
        <v>23</v>
      </c>
      <c r="M154" s="43">
        <v>44749</v>
      </c>
      <c r="N154" s="26" t="s">
        <v>33</v>
      </c>
      <c r="O154" s="39" t="s">
        <v>25</v>
      </c>
      <c r="P154" s="50" t="s">
        <v>108</v>
      </c>
      <c r="Q154" s="39" t="s">
        <v>437</v>
      </c>
      <c r="R154" s="39" t="s">
        <v>437</v>
      </c>
    </row>
    <row r="155" spans="1:18" s="1" customFormat="1" ht="57">
      <c r="A155" s="15">
        <v>154</v>
      </c>
      <c r="B155" s="16" t="s">
        <v>18</v>
      </c>
      <c r="C155" s="34" t="s">
        <v>438</v>
      </c>
      <c r="D155" s="34">
        <v>14371654</v>
      </c>
      <c r="E155" s="34">
        <v>6</v>
      </c>
      <c r="F155" s="34">
        <v>53</v>
      </c>
      <c r="G155" s="53" t="s">
        <v>20</v>
      </c>
      <c r="H155" s="26" t="s">
        <v>251</v>
      </c>
      <c r="I155" s="34" t="s">
        <v>33</v>
      </c>
      <c r="J155" s="34" t="s">
        <v>33</v>
      </c>
      <c r="K155" s="34" t="s">
        <v>33</v>
      </c>
      <c r="L155" s="34" t="s">
        <v>51</v>
      </c>
      <c r="M155" s="34" t="s">
        <v>33</v>
      </c>
      <c r="N155" s="34" t="s">
        <v>33</v>
      </c>
      <c r="O155" s="39" t="s">
        <v>25</v>
      </c>
      <c r="P155" s="50" t="s">
        <v>108</v>
      </c>
      <c r="Q155" s="26" t="s">
        <v>439</v>
      </c>
      <c r="R155" s="26" t="s">
        <v>439</v>
      </c>
    </row>
    <row r="156" spans="1:18" s="1" customFormat="1" ht="57">
      <c r="A156" s="15">
        <v>155</v>
      </c>
      <c r="B156" s="16" t="s">
        <v>18</v>
      </c>
      <c r="C156" s="34" t="s">
        <v>440</v>
      </c>
      <c r="D156" s="34">
        <v>14314330</v>
      </c>
      <c r="E156" s="34">
        <v>9</v>
      </c>
      <c r="F156" s="34">
        <v>48</v>
      </c>
      <c r="G156" s="53" t="s">
        <v>20</v>
      </c>
      <c r="H156" s="26" t="s">
        <v>251</v>
      </c>
      <c r="I156" s="26" t="s">
        <v>33</v>
      </c>
      <c r="J156" s="26" t="s">
        <v>33</v>
      </c>
      <c r="K156" s="26" t="s">
        <v>33</v>
      </c>
      <c r="L156" s="34" t="s">
        <v>51</v>
      </c>
      <c r="M156" s="26" t="s">
        <v>33</v>
      </c>
      <c r="N156" s="27" t="s">
        <v>33</v>
      </c>
      <c r="O156" s="39" t="s">
        <v>25</v>
      </c>
      <c r="P156" s="50" t="s">
        <v>108</v>
      </c>
      <c r="Q156" s="26" t="s">
        <v>441</v>
      </c>
      <c r="R156" s="26" t="s">
        <v>441</v>
      </c>
    </row>
    <row r="157" spans="1:18" s="1" customFormat="1" ht="20.25" customHeight="1">
      <c r="A157" s="15">
        <v>156</v>
      </c>
      <c r="B157" s="16" t="s">
        <v>18</v>
      </c>
      <c r="C157" s="34" t="s">
        <v>442</v>
      </c>
      <c r="D157" s="34">
        <v>4496041</v>
      </c>
      <c r="E157" s="34">
        <v>9</v>
      </c>
      <c r="F157" s="34">
        <v>85</v>
      </c>
      <c r="G157" s="53" t="s">
        <v>20</v>
      </c>
      <c r="H157" s="26" t="s">
        <v>113</v>
      </c>
      <c r="I157" s="34" t="s">
        <v>33</v>
      </c>
      <c r="J157" s="34" t="s">
        <v>33</v>
      </c>
      <c r="K157" s="34" t="s">
        <v>33</v>
      </c>
      <c r="L157" s="34" t="s">
        <v>51</v>
      </c>
      <c r="M157" s="34" t="s">
        <v>33</v>
      </c>
      <c r="N157" s="34" t="s">
        <v>33</v>
      </c>
      <c r="O157" s="39" t="s">
        <v>25</v>
      </c>
      <c r="P157" s="50" t="s">
        <v>26</v>
      </c>
      <c r="Q157" s="26" t="s">
        <v>443</v>
      </c>
      <c r="R157" s="26" t="s">
        <v>443</v>
      </c>
    </row>
    <row r="158" spans="1:18" s="1" customFormat="1" ht="57">
      <c r="A158" s="15">
        <v>157</v>
      </c>
      <c r="B158" s="19" t="s">
        <v>28</v>
      </c>
      <c r="C158" s="34" t="s">
        <v>444</v>
      </c>
      <c r="D158" s="34">
        <v>19302138</v>
      </c>
      <c r="E158" s="34">
        <v>7</v>
      </c>
      <c r="F158" s="34">
        <v>29</v>
      </c>
      <c r="G158" s="53" t="s">
        <v>20</v>
      </c>
      <c r="H158" s="26" t="s">
        <v>431</v>
      </c>
      <c r="I158" s="34" t="s">
        <v>33</v>
      </c>
      <c r="J158" s="34" t="s">
        <v>33</v>
      </c>
      <c r="K158" s="34" t="s">
        <v>83</v>
      </c>
      <c r="L158" s="34" t="s">
        <v>51</v>
      </c>
      <c r="M158" s="34" t="s">
        <v>33</v>
      </c>
      <c r="N158" s="34" t="s">
        <v>33</v>
      </c>
      <c r="O158" s="39" t="s">
        <v>25</v>
      </c>
      <c r="P158" s="50" t="s">
        <v>108</v>
      </c>
      <c r="Q158" s="26" t="s">
        <v>445</v>
      </c>
      <c r="R158" s="26" t="s">
        <v>445</v>
      </c>
    </row>
    <row r="159" spans="1:18" ht="37.5">
      <c r="A159" s="15">
        <v>158</v>
      </c>
      <c r="B159" s="19" t="s">
        <v>28</v>
      </c>
      <c r="C159" s="34" t="s">
        <v>446</v>
      </c>
      <c r="D159" s="34">
        <v>7177079</v>
      </c>
      <c r="E159" s="34">
        <v>6</v>
      </c>
      <c r="F159" s="34">
        <v>74</v>
      </c>
      <c r="G159" s="53" t="s">
        <v>20</v>
      </c>
      <c r="H159" s="26" t="s">
        <v>300</v>
      </c>
      <c r="I159" s="34">
        <v>2025</v>
      </c>
      <c r="J159" s="34">
        <v>2025</v>
      </c>
      <c r="K159" s="26" t="s">
        <v>40</v>
      </c>
      <c r="L159" s="34" t="s">
        <v>23</v>
      </c>
      <c r="M159" s="34" t="s">
        <v>33</v>
      </c>
      <c r="N159" s="34" t="s">
        <v>33</v>
      </c>
      <c r="O159" s="39" t="s">
        <v>25</v>
      </c>
      <c r="P159" s="50" t="s">
        <v>26</v>
      </c>
      <c r="Q159" s="26" t="s">
        <v>447</v>
      </c>
      <c r="R159" s="26" t="s">
        <v>447</v>
      </c>
    </row>
    <row r="160" spans="1:18" ht="57">
      <c r="A160" s="15">
        <v>159</v>
      </c>
      <c r="B160" s="19" t="s">
        <v>28</v>
      </c>
      <c r="C160" s="69" t="s">
        <v>448</v>
      </c>
      <c r="D160" s="34">
        <v>10110884</v>
      </c>
      <c r="E160" s="34">
        <v>8</v>
      </c>
      <c r="F160" s="34">
        <v>64</v>
      </c>
      <c r="G160" s="34" t="s">
        <v>30</v>
      </c>
      <c r="H160" s="26" t="s">
        <v>431</v>
      </c>
      <c r="I160" s="26" t="s">
        <v>33</v>
      </c>
      <c r="J160" s="26" t="s">
        <v>33</v>
      </c>
      <c r="K160" s="26" t="s">
        <v>33</v>
      </c>
      <c r="L160" s="34" t="s">
        <v>51</v>
      </c>
      <c r="M160" s="26" t="s">
        <v>33</v>
      </c>
      <c r="N160" s="26" t="s">
        <v>33</v>
      </c>
      <c r="O160" s="39" t="s">
        <v>25</v>
      </c>
      <c r="P160" s="50" t="s">
        <v>36</v>
      </c>
      <c r="Q160" s="26" t="s">
        <v>449</v>
      </c>
      <c r="R160" s="26" t="s">
        <v>449</v>
      </c>
    </row>
    <row r="161" spans="1:18" ht="37.5">
      <c r="A161" s="15">
        <v>160</v>
      </c>
      <c r="B161" s="16" t="s">
        <v>18</v>
      </c>
      <c r="C161" s="62" t="s">
        <v>450</v>
      </c>
      <c r="D161" s="62">
        <v>6215691</v>
      </c>
      <c r="E161" s="62">
        <v>0</v>
      </c>
      <c r="F161" s="62">
        <v>77</v>
      </c>
      <c r="G161" s="74" t="s">
        <v>20</v>
      </c>
      <c r="H161" s="55" t="s">
        <v>431</v>
      </c>
      <c r="I161" s="62" t="s">
        <v>33</v>
      </c>
      <c r="J161" s="62" t="s">
        <v>33</v>
      </c>
      <c r="K161" s="62" t="s">
        <v>33</v>
      </c>
      <c r="L161" s="62" t="s">
        <v>51</v>
      </c>
      <c r="M161" s="62" t="s">
        <v>33</v>
      </c>
      <c r="N161" s="62" t="s">
        <v>33</v>
      </c>
      <c r="O161" s="57" t="s">
        <v>25</v>
      </c>
      <c r="P161" s="78" t="s">
        <v>36</v>
      </c>
      <c r="Q161" s="55" t="s">
        <v>451</v>
      </c>
      <c r="R161" s="55" t="s">
        <v>451</v>
      </c>
    </row>
    <row r="162" spans="1:18" ht="57">
      <c r="A162" s="15">
        <v>161</v>
      </c>
      <c r="B162" s="19" t="s">
        <v>28</v>
      </c>
      <c r="C162" s="126" t="s">
        <v>452</v>
      </c>
      <c r="D162" s="126">
        <v>7175272</v>
      </c>
      <c r="E162" s="126">
        <v>0</v>
      </c>
      <c r="F162" s="126">
        <v>69</v>
      </c>
      <c r="G162" s="127" t="s">
        <v>20</v>
      </c>
      <c r="H162" s="128" t="s">
        <v>431</v>
      </c>
      <c r="I162" s="126" t="s">
        <v>33</v>
      </c>
      <c r="J162" s="126" t="s">
        <v>33</v>
      </c>
      <c r="K162" s="126" t="s">
        <v>33</v>
      </c>
      <c r="L162" s="126" t="s">
        <v>51</v>
      </c>
      <c r="M162" s="126" t="s">
        <v>33</v>
      </c>
      <c r="N162" s="126" t="s">
        <v>33</v>
      </c>
      <c r="O162" s="129" t="s">
        <v>25</v>
      </c>
      <c r="P162" s="128" t="s">
        <v>36</v>
      </c>
      <c r="Q162" s="154" t="s">
        <v>453</v>
      </c>
      <c r="R162" s="154" t="s">
        <v>453</v>
      </c>
    </row>
    <row r="163" spans="1:18" ht="18.75">
      <c r="A163" s="15">
        <v>162</v>
      </c>
      <c r="B163" s="130" t="s">
        <v>18</v>
      </c>
      <c r="C163" s="126" t="s">
        <v>454</v>
      </c>
      <c r="D163" s="126">
        <v>9649133</v>
      </c>
      <c r="E163" s="126">
        <v>6</v>
      </c>
      <c r="F163" s="126">
        <v>62</v>
      </c>
      <c r="G163" s="127" t="s">
        <v>20</v>
      </c>
      <c r="H163" s="128" t="s">
        <v>418</v>
      </c>
      <c r="I163" s="126">
        <v>2025</v>
      </c>
      <c r="J163" s="131">
        <v>45931</v>
      </c>
      <c r="K163" s="126" t="s">
        <v>28</v>
      </c>
      <c r="L163" s="127" t="s">
        <v>84</v>
      </c>
      <c r="M163" s="131">
        <v>45967</v>
      </c>
      <c r="N163" s="126" t="s">
        <v>455</v>
      </c>
      <c r="O163" s="129" t="s">
        <v>42</v>
      </c>
      <c r="P163" s="128" t="s">
        <v>26</v>
      </c>
      <c r="Q163" s="157" t="s">
        <v>456</v>
      </c>
      <c r="R163" s="140" t="s">
        <v>456</v>
      </c>
    </row>
    <row r="164" spans="1:18" ht="18.75">
      <c r="A164" s="15">
        <v>163</v>
      </c>
      <c r="B164" s="128" t="s">
        <v>18</v>
      </c>
      <c r="C164" s="132" t="s">
        <v>457</v>
      </c>
      <c r="D164" s="129">
        <v>7568599</v>
      </c>
      <c r="E164" s="129">
        <v>8</v>
      </c>
      <c r="F164" s="129">
        <v>67</v>
      </c>
      <c r="G164" s="127" t="s">
        <v>20</v>
      </c>
      <c r="H164" s="128" t="s">
        <v>458</v>
      </c>
      <c r="I164" s="129">
        <v>2023</v>
      </c>
      <c r="J164" s="133">
        <v>45195</v>
      </c>
      <c r="K164" s="128" t="s">
        <v>18</v>
      </c>
      <c r="L164" s="126" t="s">
        <v>23</v>
      </c>
      <c r="M164" s="133">
        <v>45232</v>
      </c>
      <c r="N164" s="128" t="s">
        <v>459</v>
      </c>
      <c r="O164" s="129" t="s">
        <v>25</v>
      </c>
      <c r="P164" s="128" t="s">
        <v>26</v>
      </c>
      <c r="Q164" s="134" t="s">
        <v>460</v>
      </c>
      <c r="R164" s="135" t="s">
        <v>460</v>
      </c>
    </row>
    <row r="165" spans="1:18" ht="37.5">
      <c r="A165" s="15">
        <v>164</v>
      </c>
      <c r="B165" s="141" t="s">
        <v>18</v>
      </c>
      <c r="C165" s="142" t="s">
        <v>461</v>
      </c>
      <c r="D165" s="142">
        <v>6395815</v>
      </c>
      <c r="E165" s="142">
        <v>8</v>
      </c>
      <c r="F165" s="143">
        <v>74</v>
      </c>
      <c r="G165" s="141" t="s">
        <v>58</v>
      </c>
      <c r="H165" s="141" t="s">
        <v>46</v>
      </c>
      <c r="I165" s="142">
        <v>2025</v>
      </c>
      <c r="J165" s="144">
        <v>45721</v>
      </c>
      <c r="K165" s="142" t="s">
        <v>28</v>
      </c>
      <c r="L165" s="142" t="s">
        <v>23</v>
      </c>
      <c r="M165" s="144">
        <v>45827</v>
      </c>
      <c r="N165" s="141" t="s">
        <v>462</v>
      </c>
      <c r="O165" s="143" t="s">
        <v>25</v>
      </c>
      <c r="P165" s="141" t="s">
        <v>26</v>
      </c>
      <c r="Q165" s="134" t="s">
        <v>463</v>
      </c>
      <c r="R165" s="134" t="s">
        <v>463</v>
      </c>
    </row>
    <row r="166" spans="1:18" ht="37.5">
      <c r="A166" s="15">
        <v>165</v>
      </c>
      <c r="B166" s="128" t="s">
        <v>18</v>
      </c>
      <c r="C166" s="128" t="s">
        <v>464</v>
      </c>
      <c r="D166" s="128">
        <v>20308360</v>
      </c>
      <c r="E166" s="128">
        <v>2</v>
      </c>
      <c r="F166" s="128">
        <v>26</v>
      </c>
      <c r="G166" s="127" t="s">
        <v>20</v>
      </c>
      <c r="H166" s="128" t="s">
        <v>418</v>
      </c>
      <c r="I166" s="128">
        <v>2018</v>
      </c>
      <c r="J166" s="128">
        <v>2018</v>
      </c>
      <c r="K166" s="128" t="s">
        <v>83</v>
      </c>
      <c r="L166" s="126" t="s">
        <v>23</v>
      </c>
      <c r="M166" s="127" t="s">
        <v>33</v>
      </c>
      <c r="N166" s="127" t="s">
        <v>33</v>
      </c>
      <c r="O166" s="129" t="s">
        <v>25</v>
      </c>
      <c r="P166" s="128" t="s">
        <v>26</v>
      </c>
      <c r="Q166" s="154" t="s">
        <v>465</v>
      </c>
      <c r="R166" s="154" t="s">
        <v>466</v>
      </c>
    </row>
    <row r="167" spans="1:18" ht="37.5">
      <c r="A167" s="15">
        <v>166</v>
      </c>
      <c r="B167" s="136" t="s">
        <v>18</v>
      </c>
      <c r="C167" s="146" t="s">
        <v>467</v>
      </c>
      <c r="D167" s="146">
        <v>6095545</v>
      </c>
      <c r="E167" s="146" t="s">
        <v>45</v>
      </c>
      <c r="F167" s="146">
        <v>87</v>
      </c>
      <c r="G167" s="137" t="s">
        <v>30</v>
      </c>
      <c r="H167" s="137" t="s">
        <v>206</v>
      </c>
      <c r="I167" s="146" t="s">
        <v>33</v>
      </c>
      <c r="J167" s="146" t="s">
        <v>33</v>
      </c>
      <c r="K167" s="146" t="s">
        <v>33</v>
      </c>
      <c r="L167" s="146" t="s">
        <v>51</v>
      </c>
      <c r="M167" s="146" t="s">
        <v>33</v>
      </c>
      <c r="N167" s="146" t="s">
        <v>33</v>
      </c>
      <c r="O167" s="139" t="s">
        <v>25</v>
      </c>
      <c r="P167" s="136" t="s">
        <v>26</v>
      </c>
      <c r="Q167" s="155" t="s">
        <v>468</v>
      </c>
      <c r="R167" s="155" t="s">
        <v>469</v>
      </c>
    </row>
    <row r="168" spans="1:18" ht="57">
      <c r="A168" s="15">
        <v>167</v>
      </c>
      <c r="B168" s="136" t="s">
        <v>18</v>
      </c>
      <c r="C168" s="138" t="s">
        <v>470</v>
      </c>
      <c r="D168" s="138">
        <v>5486257</v>
      </c>
      <c r="E168" s="138">
        <v>1</v>
      </c>
      <c r="F168" s="138">
        <v>80</v>
      </c>
      <c r="G168" s="137" t="s">
        <v>20</v>
      </c>
      <c r="H168" s="136" t="s">
        <v>431</v>
      </c>
      <c r="I168" s="138" t="s">
        <v>33</v>
      </c>
      <c r="J168" s="138" t="s">
        <v>33</v>
      </c>
      <c r="K168" s="138" t="s">
        <v>33</v>
      </c>
      <c r="L168" s="138" t="s">
        <v>51</v>
      </c>
      <c r="M168" s="138" t="s">
        <v>33</v>
      </c>
      <c r="N168" s="138" t="s">
        <v>33</v>
      </c>
      <c r="O168" s="139" t="s">
        <v>25</v>
      </c>
      <c r="P168" s="136" t="s">
        <v>26</v>
      </c>
      <c r="Q168" s="140" t="s">
        <v>471</v>
      </c>
      <c r="R168" s="140" t="s">
        <v>471</v>
      </c>
    </row>
    <row r="169" spans="1:18" s="145" customFormat="1" ht="37.5">
      <c r="A169" s="15">
        <v>168</v>
      </c>
      <c r="B169" s="147" t="s">
        <v>18</v>
      </c>
      <c r="C169" s="148" t="s">
        <v>472</v>
      </c>
      <c r="D169" s="148">
        <v>4426255</v>
      </c>
      <c r="E169" s="148" t="s">
        <v>45</v>
      </c>
      <c r="F169" s="148">
        <v>93</v>
      </c>
      <c r="G169" s="149" t="s">
        <v>20</v>
      </c>
      <c r="H169" s="147" t="s">
        <v>251</v>
      </c>
      <c r="I169" s="148" t="s">
        <v>33</v>
      </c>
      <c r="J169" s="148" t="s">
        <v>33</v>
      </c>
      <c r="K169" s="148" t="s">
        <v>33</v>
      </c>
      <c r="L169" s="148" t="s">
        <v>51</v>
      </c>
      <c r="M169" s="148" t="s">
        <v>33</v>
      </c>
      <c r="N169" s="148" t="s">
        <v>33</v>
      </c>
      <c r="O169" s="150" t="s">
        <v>25</v>
      </c>
      <c r="P169" s="136" t="s">
        <v>26</v>
      </c>
      <c r="Q169" s="152" t="s">
        <v>473</v>
      </c>
      <c r="R169" s="152" t="s">
        <v>473</v>
      </c>
    </row>
    <row r="170" spans="1:18" s="145" customFormat="1" ht="18.75">
      <c r="A170" s="15">
        <v>169</v>
      </c>
      <c r="B170" s="147" t="s">
        <v>18</v>
      </c>
      <c r="C170" s="150" t="s">
        <v>474</v>
      </c>
      <c r="D170" s="150">
        <v>5461254</v>
      </c>
      <c r="E170" s="150">
        <v>0</v>
      </c>
      <c r="F170" s="150">
        <v>80</v>
      </c>
      <c r="G170" s="149" t="s">
        <v>20</v>
      </c>
      <c r="H170" s="147" t="s">
        <v>418</v>
      </c>
      <c r="I170" s="150">
        <v>2022</v>
      </c>
      <c r="J170" s="151">
        <v>44592</v>
      </c>
      <c r="K170" s="147" t="s">
        <v>18</v>
      </c>
      <c r="L170" s="148" t="s">
        <v>23</v>
      </c>
      <c r="M170" s="151">
        <v>45162</v>
      </c>
      <c r="N170" s="147" t="s">
        <v>33</v>
      </c>
      <c r="O170" s="150" t="s">
        <v>25</v>
      </c>
      <c r="P170" s="147" t="s">
        <v>26</v>
      </c>
      <c r="Q170" s="152" t="s">
        <v>475</v>
      </c>
      <c r="R170" s="152" t="s">
        <v>475</v>
      </c>
    </row>
    <row r="171" spans="1:18" ht="37.5">
      <c r="A171" s="15">
        <v>170</v>
      </c>
      <c r="B171" s="128" t="s">
        <v>18</v>
      </c>
      <c r="C171" s="128" t="s">
        <v>476</v>
      </c>
      <c r="D171" s="128">
        <v>5834689</v>
      </c>
      <c r="E171" s="128">
        <v>6</v>
      </c>
      <c r="F171" s="159">
        <v>75</v>
      </c>
      <c r="G171" s="127" t="s">
        <v>20</v>
      </c>
      <c r="H171" s="128" t="s">
        <v>50</v>
      </c>
      <c r="I171" s="129">
        <v>2022</v>
      </c>
      <c r="J171" s="160">
        <v>44641</v>
      </c>
      <c r="K171" s="128" t="s">
        <v>18</v>
      </c>
      <c r="L171" s="129" t="s">
        <v>84</v>
      </c>
      <c r="M171" s="131">
        <v>45750</v>
      </c>
      <c r="N171" s="128" t="s">
        <v>477</v>
      </c>
      <c r="O171" s="128" t="s">
        <v>25</v>
      </c>
      <c r="P171" s="141" t="s">
        <v>26</v>
      </c>
      <c r="Q171" s="154" t="s">
        <v>478</v>
      </c>
      <c r="R171" s="154" t="s">
        <v>478</v>
      </c>
    </row>
    <row r="172" spans="1:18" ht="18.75">
      <c r="A172" s="15">
        <v>171</v>
      </c>
      <c r="B172" s="136" t="s">
        <v>18</v>
      </c>
      <c r="C172" s="138" t="s">
        <v>479</v>
      </c>
      <c r="D172" s="138">
        <v>4591189</v>
      </c>
      <c r="E172" s="138">
        <v>6</v>
      </c>
      <c r="F172" s="138">
        <v>84</v>
      </c>
      <c r="G172" s="137" t="s">
        <v>20</v>
      </c>
      <c r="H172" s="136" t="s">
        <v>46</v>
      </c>
      <c r="I172" s="138">
        <v>2025</v>
      </c>
      <c r="J172" s="153">
        <v>45915</v>
      </c>
      <c r="K172" s="138" t="s">
        <v>83</v>
      </c>
      <c r="L172" s="138" t="s">
        <v>84</v>
      </c>
      <c r="M172" s="153">
        <v>45925</v>
      </c>
      <c r="N172" s="138" t="s">
        <v>480</v>
      </c>
      <c r="O172" s="136" t="s">
        <v>42</v>
      </c>
      <c r="P172" s="141" t="s">
        <v>26</v>
      </c>
      <c r="Q172" s="140" t="s">
        <v>481</v>
      </c>
      <c r="R172" s="140" t="s">
        <v>481</v>
      </c>
    </row>
    <row r="173" spans="1:18" s="145" customFormat="1" ht="18.75">
      <c r="A173" s="125">
        <v>172</v>
      </c>
      <c r="B173" s="141" t="s">
        <v>18</v>
      </c>
      <c r="C173" s="142" t="s">
        <v>482</v>
      </c>
      <c r="D173" s="142">
        <v>8559848</v>
      </c>
      <c r="E173" s="142">
        <v>1</v>
      </c>
      <c r="F173" s="142">
        <v>63</v>
      </c>
      <c r="G173" s="141" t="s">
        <v>58</v>
      </c>
      <c r="H173" s="141" t="s">
        <v>50</v>
      </c>
      <c r="I173" s="142">
        <v>2024</v>
      </c>
      <c r="J173" s="144">
        <v>45558</v>
      </c>
      <c r="K173" s="141" t="s">
        <v>83</v>
      </c>
      <c r="L173" s="142" t="s">
        <v>84</v>
      </c>
      <c r="M173" s="144">
        <v>45582</v>
      </c>
      <c r="N173" s="141" t="s">
        <v>483</v>
      </c>
      <c r="O173" s="141" t="s">
        <v>42</v>
      </c>
      <c r="P173" s="141" t="s">
        <v>26</v>
      </c>
      <c r="Q173" s="162" t="s">
        <v>484</v>
      </c>
      <c r="R173" s="162" t="s">
        <v>484</v>
      </c>
    </row>
    <row r="174" spans="1:18" ht="37.5">
      <c r="A174" s="125">
        <v>173</v>
      </c>
      <c r="B174" s="147" t="s">
        <v>28</v>
      </c>
      <c r="C174" s="148" t="s">
        <v>485</v>
      </c>
      <c r="D174" s="148">
        <v>3895180</v>
      </c>
      <c r="E174" s="148">
        <v>7</v>
      </c>
      <c r="F174" s="148">
        <v>88</v>
      </c>
      <c r="G174" s="147" t="s">
        <v>58</v>
      </c>
      <c r="H174" s="147" t="s">
        <v>431</v>
      </c>
      <c r="I174" s="148" t="s">
        <v>33</v>
      </c>
      <c r="J174" s="148" t="s">
        <v>33</v>
      </c>
      <c r="K174" s="148" t="s">
        <v>33</v>
      </c>
      <c r="L174" s="148" t="s">
        <v>51</v>
      </c>
      <c r="M174" s="148" t="s">
        <v>33</v>
      </c>
      <c r="N174" s="148" t="s">
        <v>33</v>
      </c>
      <c r="O174" s="150" t="s">
        <v>25</v>
      </c>
      <c r="P174" s="147" t="s">
        <v>26</v>
      </c>
      <c r="Q174" s="163" t="s">
        <v>486</v>
      </c>
      <c r="R174" s="163" t="s">
        <v>486</v>
      </c>
    </row>
    <row r="175" spans="1:18" ht="37.5">
      <c r="A175" s="125">
        <v>174</v>
      </c>
      <c r="B175" s="141" t="s">
        <v>18</v>
      </c>
      <c r="C175" s="142" t="s">
        <v>487</v>
      </c>
      <c r="D175" s="142">
        <v>4630308</v>
      </c>
      <c r="E175" s="142">
        <v>3</v>
      </c>
      <c r="F175" s="142">
        <v>83</v>
      </c>
      <c r="G175" s="164" t="s">
        <v>20</v>
      </c>
      <c r="H175" s="141" t="s">
        <v>251</v>
      </c>
      <c r="I175" s="142" t="s">
        <v>33</v>
      </c>
      <c r="J175" s="142" t="s">
        <v>33</v>
      </c>
      <c r="K175" s="142" t="s">
        <v>33</v>
      </c>
      <c r="L175" s="142" t="s">
        <v>51</v>
      </c>
      <c r="M175" s="142" t="s">
        <v>33</v>
      </c>
      <c r="N175" s="142" t="s">
        <v>33</v>
      </c>
      <c r="O175" s="143" t="s">
        <v>25</v>
      </c>
      <c r="P175" s="141" t="s">
        <v>26</v>
      </c>
      <c r="Q175" s="165" t="s">
        <v>463</v>
      </c>
      <c r="R175" s="165" t="s">
        <v>463</v>
      </c>
    </row>
    <row r="176" spans="1:18" ht="37.5">
      <c r="A176" s="125">
        <v>175</v>
      </c>
      <c r="B176" s="141" t="s">
        <v>18</v>
      </c>
      <c r="C176" s="142" t="s">
        <v>488</v>
      </c>
      <c r="D176" s="142">
        <v>12046141</v>
      </c>
      <c r="E176" s="142">
        <v>9</v>
      </c>
      <c r="F176" s="142">
        <v>57</v>
      </c>
      <c r="G176" s="142" t="s">
        <v>30</v>
      </c>
      <c r="H176" s="141" t="s">
        <v>46</v>
      </c>
      <c r="I176" s="164">
        <v>2025</v>
      </c>
      <c r="J176" s="166">
        <v>45845</v>
      </c>
      <c r="K176" s="141" t="s">
        <v>33</v>
      </c>
      <c r="L176" s="142" t="s">
        <v>23</v>
      </c>
      <c r="M176" s="166">
        <v>45876</v>
      </c>
      <c r="N176" s="164" t="s">
        <v>489</v>
      </c>
      <c r="O176" s="141" t="s">
        <v>490</v>
      </c>
      <c r="P176" s="141" t="s">
        <v>26</v>
      </c>
      <c r="Q176" s="165" t="s">
        <v>491</v>
      </c>
      <c r="R176" s="165" t="s">
        <v>491</v>
      </c>
    </row>
    <row r="177" spans="1:61" ht="37.5">
      <c r="A177" s="125">
        <v>176</v>
      </c>
      <c r="B177" s="128" t="s">
        <v>18</v>
      </c>
      <c r="C177" s="126" t="s">
        <v>492</v>
      </c>
      <c r="D177" s="126">
        <v>5961207</v>
      </c>
      <c r="E177" s="126">
        <v>7</v>
      </c>
      <c r="F177" s="126">
        <v>92</v>
      </c>
      <c r="G177" s="127" t="s">
        <v>20</v>
      </c>
      <c r="H177" s="128" t="s">
        <v>431</v>
      </c>
      <c r="I177" s="126" t="s">
        <v>33</v>
      </c>
      <c r="J177" s="126" t="s">
        <v>33</v>
      </c>
      <c r="K177" s="126" t="s">
        <v>33</v>
      </c>
      <c r="L177" s="126" t="s">
        <v>23</v>
      </c>
      <c r="M177" s="126" t="s">
        <v>33</v>
      </c>
      <c r="N177" s="126" t="s">
        <v>33</v>
      </c>
      <c r="O177" s="129" t="s">
        <v>25</v>
      </c>
      <c r="P177" s="141" t="s">
        <v>26</v>
      </c>
      <c r="Q177" s="165" t="s">
        <v>493</v>
      </c>
      <c r="R177" s="165" t="s">
        <v>493</v>
      </c>
    </row>
    <row r="178" spans="1:61" ht="18.75">
      <c r="A178" s="167">
        <v>177</v>
      </c>
      <c r="B178" s="128" t="s">
        <v>18</v>
      </c>
      <c r="C178" s="172" t="s">
        <v>494</v>
      </c>
      <c r="D178" s="126">
        <v>6327293</v>
      </c>
      <c r="E178" s="126">
        <v>0</v>
      </c>
      <c r="F178" s="126">
        <v>75</v>
      </c>
      <c r="G178" s="127" t="s">
        <v>20</v>
      </c>
      <c r="H178" s="128" t="s">
        <v>418</v>
      </c>
      <c r="I178" s="126">
        <v>2025</v>
      </c>
      <c r="J178" s="131">
        <v>45923</v>
      </c>
      <c r="K178" s="126" t="s">
        <v>83</v>
      </c>
      <c r="L178" s="126" t="s">
        <v>84</v>
      </c>
      <c r="M178" s="131">
        <v>45932</v>
      </c>
      <c r="N178" s="126" t="s">
        <v>495</v>
      </c>
      <c r="O178" s="128" t="s">
        <v>42</v>
      </c>
      <c r="P178" s="141" t="s">
        <v>26</v>
      </c>
      <c r="Q178" s="173" t="s">
        <v>496</v>
      </c>
      <c r="R178" s="173" t="s">
        <v>496</v>
      </c>
    </row>
    <row r="179" spans="1:61" ht="57">
      <c r="A179" s="171">
        <v>178</v>
      </c>
      <c r="B179" s="136" t="s">
        <v>28</v>
      </c>
      <c r="C179" s="146" t="s">
        <v>497</v>
      </c>
      <c r="D179" s="146">
        <v>15362200</v>
      </c>
      <c r="E179" s="146">
        <v>0</v>
      </c>
      <c r="F179" s="146">
        <v>41</v>
      </c>
      <c r="G179" s="137" t="s">
        <v>20</v>
      </c>
      <c r="H179" s="137" t="s">
        <v>431</v>
      </c>
      <c r="I179" s="146" t="s">
        <v>33</v>
      </c>
      <c r="J179" s="146" t="s">
        <v>33</v>
      </c>
      <c r="K179" s="146" t="s">
        <v>33</v>
      </c>
      <c r="L179" s="146" t="s">
        <v>51</v>
      </c>
      <c r="M179" s="146" t="s">
        <v>33</v>
      </c>
      <c r="N179" s="146" t="s">
        <v>33</v>
      </c>
      <c r="O179" s="139" t="s">
        <v>25</v>
      </c>
      <c r="P179" s="136" t="s">
        <v>108</v>
      </c>
      <c r="Q179" s="140" t="s">
        <v>498</v>
      </c>
      <c r="R179" s="140" t="s">
        <v>498</v>
      </c>
      <c r="S179" s="96"/>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row>
    <row r="180" spans="1:61" ht="57">
      <c r="A180" s="171">
        <v>179</v>
      </c>
      <c r="B180" s="136" t="s">
        <v>18</v>
      </c>
      <c r="C180" s="138" t="s">
        <v>499</v>
      </c>
      <c r="D180" s="138">
        <v>6365844</v>
      </c>
      <c r="E180" s="138">
        <v>8</v>
      </c>
      <c r="F180" s="138">
        <v>73</v>
      </c>
      <c r="G180" s="137" t="s">
        <v>20</v>
      </c>
      <c r="H180" s="138" t="s">
        <v>206</v>
      </c>
      <c r="I180" s="138" t="s">
        <v>33</v>
      </c>
      <c r="J180" s="138" t="s">
        <v>33</v>
      </c>
      <c r="K180" s="138" t="s">
        <v>33</v>
      </c>
      <c r="L180" s="138" t="s">
        <v>51</v>
      </c>
      <c r="M180" s="138" t="s">
        <v>33</v>
      </c>
      <c r="N180" s="138" t="s">
        <v>33</v>
      </c>
      <c r="O180" s="139" t="s">
        <v>25</v>
      </c>
      <c r="P180" s="136" t="s">
        <v>108</v>
      </c>
      <c r="Q180" s="140" t="s">
        <v>498</v>
      </c>
      <c r="R180" s="140" t="s">
        <v>498</v>
      </c>
      <c r="S180" s="96"/>
      <c r="T180" s="96"/>
      <c r="U180" s="95"/>
      <c r="V180" s="109"/>
      <c r="W180" s="109"/>
      <c r="X180" s="3"/>
      <c r="Y180" s="96"/>
      <c r="Z180" s="96"/>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row>
  </sheetData>
  <autoFilter ref="B1:R163" xr:uid="{00000000-0009-0000-0000-000001000000}"/>
  <phoneticPr fontId="1" type="noConversion"/>
  <dataValidations count="7">
    <dataValidation type="list" allowBlank="1" showInputMessage="1" showErrorMessage="1" sqref="G2:G4 G6:G15 G17:G20 G22 G24:G33 G35:G43 G47 G50:G53 G55 G57 G59 G63:G64 G67:G120 G122:G138 G140 G153:G162 G142:G151 G164:G180" xr:uid="{00000000-0002-0000-0100-000000000000}">
      <formula1>"Ovalle, Punitaqui ,Rio Hurtado, Combarbala, Monte patria"</formula1>
    </dataValidation>
    <dataValidation type="list" allowBlank="1" showInputMessage="1" showErrorMessage="1" sqref="L2:L15 L18:L20 L22:L43 L47 L50:L51 L53 L55 L57 L59 L63:L64 L67:L68 L73:L77 L81:L83 L85:L90 L93:L94 L97:L103 L105:L107 L110:L112 L114:L120 L122 L124 L126:L127 L129:L138 L140 L151:L157 L142:L149 L159:L162 L164:L172 L174:L180" xr:uid="{00000000-0002-0000-0100-000001000000}">
      <formula1>"Sospecha, Confirmacion, Etapificacion, Tratamiento, Descarte, Seguimiento"</formula1>
    </dataValidation>
    <dataValidation type="list" allowBlank="1" showInputMessage="1" showErrorMessage="1" sqref="K3:K10 K32 K34:K41 K50:K53 K59 K63:K64 K67 K74:K75 K85 K88 K93:K94 K97 K99:K102 K105 K110:K112 K114 K116 K118 K120 K122 K127 K129:K130 K132:K135 K151:K153 K157 K142:K149 K159:K161 K164:K168 K171 K174 K177:K180" xr:uid="{00000000-0002-0000-0100-000002000000}">
      <formula1>"Si, No"</formula1>
    </dataValidation>
    <dataValidation type="list" allowBlank="1" showInputMessage="1" showErrorMessage="1" sqref="M10" xr:uid="{00000000-0002-0000-0100-000003000000}">
      <formula1>"Presentado, Pendiente presentacion"</formula1>
    </dataValidation>
    <dataValidation type="list" allowBlank="1" showInputMessage="1" showErrorMessage="1" sqref="M11:M15 M18 M20 M24 M30:M31 M68:M69 M43 M47 M55 M140" xr:uid="{00000000-0002-0000-0100-000004000000}">
      <formula1>"Buen estado, Regular estado, Dismovilizado"</formula1>
    </dataValidation>
    <dataValidation type="list" allowBlank="1" showInputMessage="1" showErrorMessage="1" sqref="N11:N12 N30 N20 Q11:R11 N14:N15 M177" xr:uid="{00000000-0002-0000-0100-000005000000}">
      <formula1>"B2 MICROGLOBULINA/ALBUMINA , TAC TAP, TAC + CINTIGRAMA OSEO , TAC TAP + RMN, TAC CTAP, Cintigrama Oseo, PET-CT, PET-CT FDG, PET-CT PSMA, PET-CT DOTATE, CINTIGRAMA OSEO, TAC TAP/BP MO"</formula1>
    </dataValidation>
    <dataValidation type="list" allowBlank="1" showInputMessage="1" showErrorMessage="1" sqref="L52" xr:uid="{00000000-0002-0000-0100-000006000000}">
      <formula1>"Exepción garantia, Sospecha, Confirmacion, Etapificacion, Tratamiento, Descarte, Seguimiento"</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BI278"/>
  <sheetViews>
    <sheetView tabSelected="1" zoomScale="70" zoomScaleNormal="70" workbookViewId="0">
      <selection activeCell="C279" sqref="C279"/>
    </sheetView>
  </sheetViews>
  <sheetFormatPr defaultColWidth="11.42578125" defaultRowHeight="18.75"/>
  <cols>
    <col min="1" max="1" width="8.28515625" style="93" customWidth="1"/>
    <col min="2" max="2" width="8.85546875" style="79" customWidth="1"/>
    <col min="3" max="3" width="54.7109375" style="79" customWidth="1"/>
    <col min="4" max="4" width="16.7109375" style="3" customWidth="1"/>
    <col min="5" max="5" width="7.42578125" style="79" customWidth="1"/>
    <col min="6" max="6" width="10.7109375" style="79" customWidth="1"/>
    <col min="7" max="7" width="17.85546875" style="79" customWidth="1"/>
    <col min="8" max="8" width="27" style="79" customWidth="1"/>
    <col min="9" max="9" width="16.7109375" style="79" customWidth="1"/>
    <col min="10" max="10" width="22" style="79" customWidth="1"/>
    <col min="11" max="11" width="13" style="79" customWidth="1"/>
    <col min="12" max="12" width="20.7109375" style="79" customWidth="1"/>
    <col min="13" max="13" width="24" style="79" customWidth="1"/>
    <col min="14" max="14" width="25" style="79" customWidth="1"/>
    <col min="15" max="15" width="31.7109375" style="79" customWidth="1"/>
    <col min="16" max="16" width="19.42578125" style="79" customWidth="1"/>
    <col min="17" max="17" width="13.5703125" style="1" customWidth="1"/>
    <col min="18" max="18" width="39.7109375" style="79" customWidth="1"/>
    <col min="19" max="19" width="17" style="79" customWidth="1"/>
    <col min="20" max="20" width="24.5703125" style="79" customWidth="1"/>
    <col min="21" max="21" width="21.85546875" style="79" customWidth="1"/>
    <col min="22" max="22" width="19.85546875" style="79" customWidth="1"/>
    <col min="23" max="23" width="26" style="79" customWidth="1"/>
    <col min="24" max="24" width="19" style="79" customWidth="1"/>
    <col min="25" max="25" width="16.5703125" style="123" customWidth="1"/>
    <col min="26" max="26" width="45.5703125" style="117" customWidth="1"/>
    <col min="27" max="27" width="26.140625" style="1" customWidth="1"/>
    <col min="28" max="16384" width="11.42578125" style="1"/>
  </cols>
  <sheetData>
    <row r="1" spans="1:26" s="90" customFormat="1" ht="24.75" customHeight="1">
      <c r="A1" s="91" t="s">
        <v>0</v>
      </c>
      <c r="B1" s="94" t="s">
        <v>1</v>
      </c>
      <c r="C1" s="94" t="s">
        <v>2</v>
      </c>
      <c r="D1" s="94" t="s">
        <v>3</v>
      </c>
      <c r="E1" s="94" t="s">
        <v>4</v>
      </c>
      <c r="F1" s="94" t="s">
        <v>5</v>
      </c>
      <c r="G1" s="94" t="s">
        <v>6</v>
      </c>
      <c r="H1" s="94" t="s">
        <v>7</v>
      </c>
      <c r="I1" s="94" t="s">
        <v>8</v>
      </c>
      <c r="J1" s="94" t="s">
        <v>500</v>
      </c>
      <c r="K1" s="94" t="s">
        <v>10</v>
      </c>
      <c r="L1" s="94" t="s">
        <v>501</v>
      </c>
      <c r="M1" s="94" t="s">
        <v>502</v>
      </c>
      <c r="N1" s="94" t="s">
        <v>503</v>
      </c>
      <c r="O1" s="94" t="s">
        <v>504</v>
      </c>
      <c r="P1" s="94" t="s">
        <v>505</v>
      </c>
      <c r="Q1" s="89" t="s">
        <v>16</v>
      </c>
      <c r="R1" s="94" t="s">
        <v>506</v>
      </c>
      <c r="S1" s="94" t="s">
        <v>507</v>
      </c>
      <c r="T1" s="94" t="s">
        <v>508</v>
      </c>
      <c r="U1" s="94" t="s">
        <v>509</v>
      </c>
      <c r="V1" s="94" t="s">
        <v>510</v>
      </c>
      <c r="W1" s="94" t="s">
        <v>511</v>
      </c>
      <c r="X1" s="94" t="s">
        <v>512</v>
      </c>
      <c r="Y1" s="94" t="s">
        <v>513</v>
      </c>
      <c r="Z1" s="94" t="s">
        <v>514</v>
      </c>
    </row>
    <row r="2" spans="1:26" ht="21.75" hidden="1" customHeight="1">
      <c r="A2" s="92">
        <v>1</v>
      </c>
      <c r="B2" s="96" t="s">
        <v>28</v>
      </c>
      <c r="C2" s="96" t="s">
        <v>515</v>
      </c>
      <c r="D2" s="96">
        <v>5643191</v>
      </c>
      <c r="E2" s="96">
        <v>8</v>
      </c>
      <c r="F2" s="100">
        <v>80</v>
      </c>
      <c r="G2" s="97" t="s">
        <v>20</v>
      </c>
      <c r="H2" s="95" t="s">
        <v>300</v>
      </c>
      <c r="I2" s="100">
        <v>2021</v>
      </c>
      <c r="J2" s="107">
        <v>44301</v>
      </c>
      <c r="K2" s="96" t="s">
        <v>18</v>
      </c>
      <c r="L2" s="95" t="s">
        <v>23</v>
      </c>
      <c r="M2" s="107">
        <v>44413</v>
      </c>
      <c r="N2" s="96" t="s">
        <v>516</v>
      </c>
      <c r="O2" s="96" t="s">
        <v>42</v>
      </c>
      <c r="P2" s="96" t="s">
        <v>434</v>
      </c>
      <c r="Q2" s="82"/>
      <c r="R2" s="96" t="s">
        <v>517</v>
      </c>
      <c r="S2" s="96" t="s">
        <v>33</v>
      </c>
      <c r="T2" s="96" t="s">
        <v>518</v>
      </c>
      <c r="U2" s="95" t="s">
        <v>519</v>
      </c>
      <c r="V2" s="108">
        <v>46014</v>
      </c>
      <c r="W2" s="107">
        <v>46104</v>
      </c>
      <c r="X2" s="96">
        <f ca="1">W2-TODAY()</f>
        <v>19</v>
      </c>
      <c r="Y2" s="96" t="str">
        <f ca="1">IF(X2&gt;=60,"Vigente",IF(AND(X2&gt;=1,X2&lt;=59),"Por Vencer","Vencido"))</f>
        <v>Por Vencer</v>
      </c>
      <c r="Z2" s="96"/>
    </row>
    <row r="3" spans="1:26" ht="35.25" hidden="1" customHeight="1">
      <c r="A3" s="92">
        <v>2</v>
      </c>
      <c r="B3" s="96" t="s">
        <v>28</v>
      </c>
      <c r="C3" s="95" t="s">
        <v>520</v>
      </c>
      <c r="D3" s="95">
        <v>8199647</v>
      </c>
      <c r="E3" s="95">
        <v>4</v>
      </c>
      <c r="F3" s="95">
        <v>64</v>
      </c>
      <c r="G3" s="97" t="s">
        <v>20</v>
      </c>
      <c r="H3" s="96" t="s">
        <v>378</v>
      </c>
      <c r="I3" s="95">
        <v>2022</v>
      </c>
      <c r="J3" s="108">
        <v>44795</v>
      </c>
      <c r="K3" s="96" t="s">
        <v>83</v>
      </c>
      <c r="L3" s="95" t="s">
        <v>23</v>
      </c>
      <c r="M3" s="97" t="s">
        <v>33</v>
      </c>
      <c r="N3" s="97" t="s">
        <v>33</v>
      </c>
      <c r="O3" s="96" t="s">
        <v>42</v>
      </c>
      <c r="P3" s="96" t="s">
        <v>434</v>
      </c>
      <c r="Q3" s="84"/>
      <c r="R3" s="96" t="s">
        <v>517</v>
      </c>
      <c r="S3" s="96" t="s">
        <v>33</v>
      </c>
      <c r="T3" s="96" t="s">
        <v>518</v>
      </c>
      <c r="U3" s="95" t="s">
        <v>519</v>
      </c>
      <c r="V3" s="108">
        <v>46071</v>
      </c>
      <c r="W3" s="108">
        <v>46160</v>
      </c>
      <c r="X3" s="96">
        <f ca="1">W3-TODAY()</f>
        <v>75</v>
      </c>
      <c r="Y3" s="96" t="str">
        <f ca="1">IF(X3&gt;=60,"Vigente",IF(AND(X3&gt;=1,X3&lt;=59),"Por Vencer","Vencido"))</f>
        <v>Vigente</v>
      </c>
      <c r="Z3" s="116"/>
    </row>
    <row r="4" spans="1:26" ht="37.5" hidden="1">
      <c r="A4" s="92">
        <v>3</v>
      </c>
      <c r="B4" s="96" t="s">
        <v>28</v>
      </c>
      <c r="C4" s="3" t="s">
        <v>521</v>
      </c>
      <c r="D4" s="3">
        <v>4344857</v>
      </c>
      <c r="E4" s="3">
        <v>9</v>
      </c>
      <c r="F4" s="3">
        <v>92</v>
      </c>
      <c r="G4" s="97" t="s">
        <v>20</v>
      </c>
      <c r="H4" s="96" t="s">
        <v>431</v>
      </c>
      <c r="I4" s="3" t="s">
        <v>33</v>
      </c>
      <c r="J4" s="3" t="s">
        <v>33</v>
      </c>
      <c r="K4" s="3" t="s">
        <v>33</v>
      </c>
      <c r="L4" s="3" t="s">
        <v>51</v>
      </c>
      <c r="M4" s="3" t="s">
        <v>33</v>
      </c>
      <c r="N4" s="3" t="s">
        <v>33</v>
      </c>
      <c r="O4" s="95" t="s">
        <v>25</v>
      </c>
      <c r="P4" s="96" t="s">
        <v>434</v>
      </c>
      <c r="Q4" s="2"/>
      <c r="R4" s="96" t="s">
        <v>522</v>
      </c>
      <c r="S4" s="96" t="s">
        <v>33</v>
      </c>
      <c r="T4" s="3" t="s">
        <v>523</v>
      </c>
      <c r="U4" s="3" t="s">
        <v>524</v>
      </c>
      <c r="V4" s="109">
        <v>46035</v>
      </c>
      <c r="W4" s="109">
        <v>46216</v>
      </c>
      <c r="X4" s="3">
        <f ca="1">W4-TODAY()</f>
        <v>131</v>
      </c>
      <c r="Y4" s="96" t="str">
        <f ca="1">IF(X4&gt;=60,"Vigente",IF(AND(X4&gt;=1,X4&lt;=59),"Por Vencer","Vencido"))</f>
        <v>Vigente</v>
      </c>
      <c r="Z4" s="96"/>
    </row>
    <row r="5" spans="1:26" ht="37.5" hidden="1">
      <c r="A5" s="92">
        <v>4</v>
      </c>
      <c r="B5" s="96" t="s">
        <v>18</v>
      </c>
      <c r="C5" s="169" t="s">
        <v>525</v>
      </c>
      <c r="D5" s="3">
        <v>20600033</v>
      </c>
      <c r="E5" s="3">
        <v>3</v>
      </c>
      <c r="F5" s="3">
        <v>24</v>
      </c>
      <c r="G5" s="97" t="s">
        <v>20</v>
      </c>
      <c r="H5" s="96" t="s">
        <v>431</v>
      </c>
      <c r="I5" s="3" t="s">
        <v>33</v>
      </c>
      <c r="J5" s="3" t="s">
        <v>33</v>
      </c>
      <c r="K5" s="3" t="s">
        <v>33</v>
      </c>
      <c r="L5" s="3" t="s">
        <v>51</v>
      </c>
      <c r="M5" s="3" t="s">
        <v>33</v>
      </c>
      <c r="N5" s="3" t="s">
        <v>33</v>
      </c>
      <c r="O5" s="95" t="s">
        <v>25</v>
      </c>
      <c r="P5" s="96" t="s">
        <v>526</v>
      </c>
      <c r="Q5" s="2"/>
      <c r="R5" s="96" t="s">
        <v>527</v>
      </c>
      <c r="S5" s="96" t="s">
        <v>33</v>
      </c>
      <c r="T5" s="96" t="s">
        <v>528</v>
      </c>
      <c r="U5" s="3" t="s">
        <v>524</v>
      </c>
      <c r="V5" s="109">
        <v>45874</v>
      </c>
      <c r="W5" s="109">
        <v>45905</v>
      </c>
      <c r="X5" s="3">
        <f ca="1">W5-TODAY()</f>
        <v>-180</v>
      </c>
      <c r="Y5" s="96" t="str">
        <f ca="1">IF(X5&gt;=60,"Vigente",IF(AND(X5&gt;=1,X5&lt;=59),"Por Vencer","Vencido"))</f>
        <v>Vencido</v>
      </c>
      <c r="Z5" s="96" t="s">
        <v>529</v>
      </c>
    </row>
    <row r="6" spans="1:26" hidden="1">
      <c r="A6" s="92">
        <v>5</v>
      </c>
      <c r="B6" s="96" t="s">
        <v>18</v>
      </c>
      <c r="C6" s="115" t="s">
        <v>530</v>
      </c>
      <c r="D6" s="95">
        <v>4424005</v>
      </c>
      <c r="E6" s="95" t="s">
        <v>128</v>
      </c>
      <c r="F6" s="95">
        <v>84</v>
      </c>
      <c r="G6" s="97" t="s">
        <v>20</v>
      </c>
      <c r="H6" s="95" t="s">
        <v>59</v>
      </c>
      <c r="I6" s="95">
        <v>2023</v>
      </c>
      <c r="J6" s="108">
        <v>45160</v>
      </c>
      <c r="K6" s="96" t="s">
        <v>83</v>
      </c>
      <c r="L6" s="3" t="s">
        <v>23</v>
      </c>
      <c r="M6" s="97" t="s">
        <v>33</v>
      </c>
      <c r="N6" s="97" t="s">
        <v>33</v>
      </c>
      <c r="O6" s="95" t="s">
        <v>25</v>
      </c>
      <c r="P6" s="96" t="s">
        <v>526</v>
      </c>
      <c r="Q6" s="84"/>
      <c r="R6" s="96" t="s">
        <v>531</v>
      </c>
      <c r="S6" s="96" t="s">
        <v>33</v>
      </c>
      <c r="T6" s="96" t="s">
        <v>518</v>
      </c>
      <c r="U6" s="96" t="s">
        <v>524</v>
      </c>
      <c r="V6" s="108">
        <v>45877</v>
      </c>
      <c r="W6" s="108">
        <v>45991</v>
      </c>
      <c r="X6" s="96">
        <f ca="1">W6-TODAY()</f>
        <v>-94</v>
      </c>
      <c r="Y6" s="96" t="str">
        <f ca="1">IF(X6&gt;=60,"Vigente",IF(AND(X6&gt;=1,X6&lt;=59),"Por Vencer","Vencido"))</f>
        <v>Vencido</v>
      </c>
      <c r="Z6" s="96"/>
    </row>
    <row r="7" spans="1:26" hidden="1">
      <c r="A7" s="92">
        <v>6</v>
      </c>
      <c r="B7" s="96" t="s">
        <v>18</v>
      </c>
      <c r="C7" s="96" t="s">
        <v>532</v>
      </c>
      <c r="D7" s="96">
        <v>7235142</v>
      </c>
      <c r="E7" s="96">
        <v>8</v>
      </c>
      <c r="F7" s="96">
        <v>69</v>
      </c>
      <c r="G7" s="97" t="s">
        <v>20</v>
      </c>
      <c r="H7" s="95" t="s">
        <v>59</v>
      </c>
      <c r="I7" s="96">
        <v>2021</v>
      </c>
      <c r="J7" s="107">
        <v>44519</v>
      </c>
      <c r="K7" s="96" t="s">
        <v>18</v>
      </c>
      <c r="L7" s="95" t="s">
        <v>23</v>
      </c>
      <c r="M7" s="97" t="s">
        <v>533</v>
      </c>
      <c r="N7" s="97" t="s">
        <v>533</v>
      </c>
      <c r="O7" s="96" t="s">
        <v>42</v>
      </c>
      <c r="P7" s="96" t="s">
        <v>434</v>
      </c>
      <c r="Q7" s="82"/>
      <c r="R7" s="96" t="s">
        <v>517</v>
      </c>
      <c r="S7" s="96" t="s">
        <v>33</v>
      </c>
      <c r="T7" s="96" t="s">
        <v>518</v>
      </c>
      <c r="U7" s="95" t="s">
        <v>519</v>
      </c>
      <c r="V7" s="108">
        <v>46071</v>
      </c>
      <c r="W7" s="107">
        <v>46160</v>
      </c>
      <c r="X7" s="96">
        <f ca="1">W7-TODAY()</f>
        <v>75</v>
      </c>
      <c r="Y7" s="96" t="str">
        <f ca="1">IF(X7&gt;=60,"Vigente",IF(AND(X7&gt;=1,X7&lt;=59),"Por Vencer","Vencido"))</f>
        <v>Vigente</v>
      </c>
      <c r="Z7" s="96"/>
    </row>
    <row r="8" spans="1:26" ht="37.5" hidden="1">
      <c r="A8" s="92">
        <v>7</v>
      </c>
      <c r="B8" s="96" t="s">
        <v>28</v>
      </c>
      <c r="C8" s="122" t="s">
        <v>534</v>
      </c>
      <c r="D8" s="96">
        <v>11378692</v>
      </c>
      <c r="E8" s="96">
        <v>2</v>
      </c>
      <c r="F8" s="96">
        <v>56</v>
      </c>
      <c r="G8" s="97" t="s">
        <v>20</v>
      </c>
      <c r="H8" s="95" t="s">
        <v>300</v>
      </c>
      <c r="I8" s="96">
        <v>2021</v>
      </c>
      <c r="J8" s="96">
        <v>2021</v>
      </c>
      <c r="K8" s="96" t="s">
        <v>33</v>
      </c>
      <c r="L8" s="97" t="s">
        <v>84</v>
      </c>
      <c r="M8" s="97" t="s">
        <v>33</v>
      </c>
      <c r="N8" s="97" t="s">
        <v>33</v>
      </c>
      <c r="O8" s="95" t="s">
        <v>25</v>
      </c>
      <c r="P8" s="96" t="s">
        <v>526</v>
      </c>
      <c r="Q8" s="82"/>
      <c r="R8" s="96" t="s">
        <v>531</v>
      </c>
      <c r="S8" s="96" t="s">
        <v>535</v>
      </c>
      <c r="T8" s="96" t="s">
        <v>518</v>
      </c>
      <c r="U8" s="96" t="s">
        <v>536</v>
      </c>
      <c r="V8" s="107">
        <v>45883</v>
      </c>
      <c r="W8" s="107">
        <v>45975</v>
      </c>
      <c r="X8" s="96">
        <f ca="1">W8-TODAY()</f>
        <v>-110</v>
      </c>
      <c r="Y8" s="96" t="str">
        <f ca="1">IF(X8&gt;=60,"Vigente",IF(AND(X8&gt;=1,X8&lt;=59),"Por Vencer","Vencido"))</f>
        <v>Vencido</v>
      </c>
      <c r="Z8" s="96"/>
    </row>
    <row r="9" spans="1:26" ht="37.5" hidden="1">
      <c r="A9" s="92">
        <v>8</v>
      </c>
      <c r="B9" s="96" t="s">
        <v>28</v>
      </c>
      <c r="C9" s="96" t="s">
        <v>537</v>
      </c>
      <c r="D9" s="96">
        <v>3690723</v>
      </c>
      <c r="E9" s="96">
        <v>1</v>
      </c>
      <c r="F9" s="96">
        <v>90</v>
      </c>
      <c r="G9" s="97" t="s">
        <v>20</v>
      </c>
      <c r="H9" s="95" t="s">
        <v>300</v>
      </c>
      <c r="I9" s="96">
        <v>2024</v>
      </c>
      <c r="J9" s="107">
        <v>45314</v>
      </c>
      <c r="K9" s="96" t="s">
        <v>83</v>
      </c>
      <c r="L9" s="97" t="s">
        <v>84</v>
      </c>
      <c r="M9" s="97" t="s">
        <v>33</v>
      </c>
      <c r="N9" s="97" t="s">
        <v>33</v>
      </c>
      <c r="O9" s="95" t="s">
        <v>25</v>
      </c>
      <c r="P9" s="96" t="s">
        <v>434</v>
      </c>
      <c r="Q9" s="82"/>
      <c r="R9" s="95" t="s">
        <v>531</v>
      </c>
      <c r="S9" s="96" t="s">
        <v>535</v>
      </c>
      <c r="T9" s="96" t="s">
        <v>518</v>
      </c>
      <c r="U9" s="96" t="s">
        <v>524</v>
      </c>
      <c r="V9" s="107">
        <v>46030</v>
      </c>
      <c r="W9" s="107">
        <v>46120</v>
      </c>
      <c r="X9" s="96">
        <f ca="1">W9-TODAY()</f>
        <v>35</v>
      </c>
      <c r="Y9" s="96" t="str">
        <f ca="1">IF(X9&gt;=60,"Vigente",IF(AND(X9&gt;=1,X9&lt;=59),"Por Vencer","Vencido"))</f>
        <v>Por Vencer</v>
      </c>
      <c r="Z9" s="96"/>
    </row>
    <row r="10" spans="1:26" s="2" customFormat="1" hidden="1">
      <c r="A10" s="92">
        <v>9</v>
      </c>
      <c r="B10" s="96" t="s">
        <v>18</v>
      </c>
      <c r="C10" s="96" t="s">
        <v>538</v>
      </c>
      <c r="D10" s="96">
        <v>6129519</v>
      </c>
      <c r="E10" s="96">
        <v>4</v>
      </c>
      <c r="F10" s="100">
        <v>74</v>
      </c>
      <c r="G10" s="96" t="s">
        <v>58</v>
      </c>
      <c r="H10" s="96" t="s">
        <v>50</v>
      </c>
      <c r="I10" s="100">
        <v>2021</v>
      </c>
      <c r="J10" s="107">
        <v>44398</v>
      </c>
      <c r="K10" s="96" t="s">
        <v>18</v>
      </c>
      <c r="L10" s="96" t="s">
        <v>23</v>
      </c>
      <c r="M10" s="107">
        <v>44320</v>
      </c>
      <c r="N10" s="96" t="s">
        <v>539</v>
      </c>
      <c r="O10" s="96" t="s">
        <v>42</v>
      </c>
      <c r="P10" s="96" t="s">
        <v>434</v>
      </c>
      <c r="Q10" s="82"/>
      <c r="R10" s="96" t="s">
        <v>517</v>
      </c>
      <c r="S10" s="96" t="s">
        <v>33</v>
      </c>
      <c r="T10" s="96" t="s">
        <v>518</v>
      </c>
      <c r="U10" s="95" t="s">
        <v>519</v>
      </c>
      <c r="V10" s="108">
        <v>46071</v>
      </c>
      <c r="W10" s="107">
        <v>46160</v>
      </c>
      <c r="X10" s="96">
        <f ca="1">W10-TODAY()</f>
        <v>75</v>
      </c>
      <c r="Y10" s="96" t="str">
        <f ca="1">IF(X10&gt;=60,"Vigente",IF(AND(X10&gt;=1,X10&lt;=59),"Por Vencer","Vencido"))</f>
        <v>Vigente</v>
      </c>
      <c r="Z10" s="96"/>
    </row>
    <row r="11" spans="1:26" ht="76.5" hidden="1" customHeight="1">
      <c r="A11" s="92">
        <v>10</v>
      </c>
      <c r="B11" s="96" t="s">
        <v>18</v>
      </c>
      <c r="C11" s="3" t="s">
        <v>540</v>
      </c>
      <c r="D11" s="98">
        <v>10106115</v>
      </c>
      <c r="E11" s="98">
        <v>9</v>
      </c>
      <c r="F11" s="98">
        <v>56</v>
      </c>
      <c r="G11" s="97" t="s">
        <v>20</v>
      </c>
      <c r="H11" s="97" t="s">
        <v>143</v>
      </c>
      <c r="I11" s="98" t="s">
        <v>33</v>
      </c>
      <c r="J11" s="98" t="s">
        <v>541</v>
      </c>
      <c r="K11" s="98" t="s">
        <v>33</v>
      </c>
      <c r="L11" s="98" t="s">
        <v>51</v>
      </c>
      <c r="M11" s="98" t="s">
        <v>33</v>
      </c>
      <c r="N11" s="98" t="s">
        <v>33</v>
      </c>
      <c r="O11" s="95" t="s">
        <v>25</v>
      </c>
      <c r="P11" s="98" t="s">
        <v>434</v>
      </c>
      <c r="Q11" s="86"/>
      <c r="R11" s="98" t="s">
        <v>527</v>
      </c>
      <c r="S11" s="98" t="s">
        <v>33</v>
      </c>
      <c r="T11" s="98" t="s">
        <v>528</v>
      </c>
      <c r="U11" s="3" t="s">
        <v>536</v>
      </c>
      <c r="V11" s="114"/>
      <c r="W11" s="114"/>
      <c r="X11" s="109">
        <f ca="1">W11-TODAY()</f>
        <v>-46085</v>
      </c>
      <c r="Y11" s="96" t="str">
        <f ca="1">IF(X11&gt;=60,"Vigente",IF(AND(X11&gt;=1,X11&lt;=59),"Por Vencer","Vencido"))</f>
        <v>Vencido</v>
      </c>
      <c r="Z11" s="96"/>
    </row>
    <row r="12" spans="1:26" s="2" customFormat="1" hidden="1">
      <c r="A12" s="92">
        <v>11</v>
      </c>
      <c r="B12" s="96" t="s">
        <v>18</v>
      </c>
      <c r="C12" s="96" t="s">
        <v>542</v>
      </c>
      <c r="D12" s="96">
        <v>6531262</v>
      </c>
      <c r="E12" s="96" t="s">
        <v>45</v>
      </c>
      <c r="F12" s="100">
        <v>74</v>
      </c>
      <c r="G12" s="97" t="s">
        <v>20</v>
      </c>
      <c r="H12" s="96" t="s">
        <v>50</v>
      </c>
      <c r="I12" s="95">
        <v>2022</v>
      </c>
      <c r="J12" s="107">
        <v>44642</v>
      </c>
      <c r="K12" s="96" t="s">
        <v>18</v>
      </c>
      <c r="L12" s="96" t="s">
        <v>23</v>
      </c>
      <c r="M12" s="107">
        <v>44693</v>
      </c>
      <c r="N12" s="96" t="s">
        <v>539</v>
      </c>
      <c r="O12" s="96" t="s">
        <v>42</v>
      </c>
      <c r="P12" s="96" t="s">
        <v>434</v>
      </c>
      <c r="Q12" s="82"/>
      <c r="R12" s="96" t="s">
        <v>517</v>
      </c>
      <c r="S12" s="96" t="s">
        <v>33</v>
      </c>
      <c r="T12" s="96" t="s">
        <v>518</v>
      </c>
      <c r="U12" s="95" t="s">
        <v>519</v>
      </c>
      <c r="V12" s="108">
        <v>46071</v>
      </c>
      <c r="W12" s="107">
        <v>46160</v>
      </c>
      <c r="X12" s="96">
        <f ca="1">W12-TODAY()</f>
        <v>75</v>
      </c>
      <c r="Y12" s="96" t="str">
        <f ca="1">IF(X12&gt;=60,"Vigente",IF(AND(X12&gt;=1,X12&lt;=59),"Por Vencer","Vencido"))</f>
        <v>Vigente</v>
      </c>
      <c r="Z12" s="96"/>
    </row>
    <row r="13" spans="1:26" hidden="1">
      <c r="A13" s="92">
        <v>12</v>
      </c>
      <c r="B13" s="96" t="s">
        <v>18</v>
      </c>
      <c r="C13" s="96" t="s">
        <v>543</v>
      </c>
      <c r="D13" s="96">
        <v>5015801</v>
      </c>
      <c r="E13" s="96">
        <v>2</v>
      </c>
      <c r="F13" s="96">
        <v>84</v>
      </c>
      <c r="G13" s="97" t="s">
        <v>20</v>
      </c>
      <c r="H13" s="96" t="s">
        <v>50</v>
      </c>
      <c r="I13" s="96">
        <v>2005</v>
      </c>
      <c r="J13" s="96">
        <v>2005</v>
      </c>
      <c r="K13" s="96" t="s">
        <v>83</v>
      </c>
      <c r="L13" s="3" t="s">
        <v>23</v>
      </c>
      <c r="M13" s="96" t="s">
        <v>544</v>
      </c>
      <c r="N13" s="96" t="s">
        <v>533</v>
      </c>
      <c r="O13" s="95" t="s">
        <v>25</v>
      </c>
      <c r="P13" s="96" t="s">
        <v>434</v>
      </c>
      <c r="Q13" s="82"/>
      <c r="R13" s="96" t="s">
        <v>545</v>
      </c>
      <c r="S13" s="96" t="s">
        <v>33</v>
      </c>
      <c r="T13" s="108" t="s">
        <v>546</v>
      </c>
      <c r="U13" s="96" t="s">
        <v>524</v>
      </c>
      <c r="V13" s="107">
        <v>45883</v>
      </c>
      <c r="W13" s="107">
        <v>46248</v>
      </c>
      <c r="X13" s="96">
        <f ca="1">W13-TODAY()</f>
        <v>163</v>
      </c>
      <c r="Y13" s="96" t="str">
        <f ca="1">IF(X13&gt;=60,"Vigente",IF(AND(X13&gt;=1,X13&lt;=59),"Por Vencer","Vencido"))</f>
        <v>Vigente</v>
      </c>
      <c r="Z13" s="96"/>
    </row>
    <row r="14" spans="1:26" ht="36" hidden="1" customHeight="1">
      <c r="A14" s="92">
        <v>13</v>
      </c>
      <c r="B14" s="96" t="s">
        <v>28</v>
      </c>
      <c r="C14" s="3" t="s">
        <v>547</v>
      </c>
      <c r="D14" s="3">
        <v>5722568</v>
      </c>
      <c r="E14" s="3">
        <v>8</v>
      </c>
      <c r="F14" s="3">
        <v>74</v>
      </c>
      <c r="G14" s="3" t="s">
        <v>30</v>
      </c>
      <c r="H14" s="96" t="s">
        <v>431</v>
      </c>
      <c r="I14" s="3" t="s">
        <v>33</v>
      </c>
      <c r="J14" s="3" t="s">
        <v>33</v>
      </c>
      <c r="K14" s="3" t="s">
        <v>33</v>
      </c>
      <c r="L14" s="3" t="s">
        <v>51</v>
      </c>
      <c r="M14" s="3" t="s">
        <v>33</v>
      </c>
      <c r="N14" s="3" t="s">
        <v>33</v>
      </c>
      <c r="O14" s="95" t="s">
        <v>25</v>
      </c>
      <c r="P14" s="96" t="s">
        <v>434</v>
      </c>
      <c r="Q14" s="2"/>
      <c r="R14" s="96" t="s">
        <v>527</v>
      </c>
      <c r="S14" s="96" t="s">
        <v>33</v>
      </c>
      <c r="T14" s="96" t="s">
        <v>528</v>
      </c>
      <c r="U14" s="95" t="s">
        <v>536</v>
      </c>
      <c r="V14" s="109">
        <v>46037</v>
      </c>
      <c r="W14" s="109">
        <v>46079</v>
      </c>
      <c r="X14" s="3">
        <f ca="1">W14-TODAY()</f>
        <v>-6</v>
      </c>
      <c r="Y14" s="96" t="str">
        <f ca="1">IF(X14&gt;=60,"Vigente",IF(AND(X14&gt;=1,X14&lt;=59),"Por Vencer","Vencido"))</f>
        <v>Vencido</v>
      </c>
      <c r="Z14" s="3"/>
    </row>
    <row r="15" spans="1:26" ht="39" hidden="1" customHeight="1">
      <c r="A15" s="92">
        <v>14</v>
      </c>
      <c r="B15" s="96" t="s">
        <v>18</v>
      </c>
      <c r="C15" s="3" t="s">
        <v>548</v>
      </c>
      <c r="D15" s="3">
        <v>7089642</v>
      </c>
      <c r="E15" s="3">
        <v>7</v>
      </c>
      <c r="F15" s="3">
        <v>71</v>
      </c>
      <c r="G15" s="96" t="s">
        <v>58</v>
      </c>
      <c r="H15" s="96" t="s">
        <v>378</v>
      </c>
      <c r="I15" s="3" t="s">
        <v>33</v>
      </c>
      <c r="J15" s="3" t="s">
        <v>33</v>
      </c>
      <c r="K15" s="3" t="s">
        <v>83</v>
      </c>
      <c r="L15" s="3" t="s">
        <v>23</v>
      </c>
      <c r="M15" s="3" t="s">
        <v>33</v>
      </c>
      <c r="N15" s="3" t="s">
        <v>33</v>
      </c>
      <c r="O15" s="95" t="s">
        <v>25</v>
      </c>
      <c r="P15" s="96" t="s">
        <v>434</v>
      </c>
      <c r="Q15" s="2"/>
      <c r="R15" s="96" t="s">
        <v>531</v>
      </c>
      <c r="S15" s="96" t="s">
        <v>33</v>
      </c>
      <c r="T15" s="96" t="s">
        <v>518</v>
      </c>
      <c r="U15" s="3" t="s">
        <v>524</v>
      </c>
      <c r="V15" s="109">
        <v>45972</v>
      </c>
      <c r="W15" s="109">
        <v>46064</v>
      </c>
      <c r="X15" s="3">
        <f ca="1">W15-TODAY()</f>
        <v>-21</v>
      </c>
      <c r="Y15" s="96" t="str">
        <f ca="1">IF(X15&gt;=60,"Vigente",IF(AND(X15&gt;=1,X15&lt;=59),"Por Vencer","Vencido"))</f>
        <v>Vencido</v>
      </c>
      <c r="Z15" s="96"/>
    </row>
    <row r="16" spans="1:26" hidden="1">
      <c r="A16" s="92">
        <v>16</v>
      </c>
      <c r="B16" s="96" t="s">
        <v>18</v>
      </c>
      <c r="C16" s="95" t="s">
        <v>549</v>
      </c>
      <c r="D16" s="95">
        <v>11181620</v>
      </c>
      <c r="E16" s="95">
        <v>4</v>
      </c>
      <c r="F16" s="95">
        <v>58</v>
      </c>
      <c r="G16" s="97" t="s">
        <v>20</v>
      </c>
      <c r="H16" s="96" t="s">
        <v>46</v>
      </c>
      <c r="I16" s="95">
        <v>2019</v>
      </c>
      <c r="J16" s="108">
        <v>43796</v>
      </c>
      <c r="K16" s="96" t="s">
        <v>83</v>
      </c>
      <c r="L16" s="3" t="s">
        <v>23</v>
      </c>
      <c r="M16" s="97" t="s">
        <v>33</v>
      </c>
      <c r="N16" s="97" t="s">
        <v>33</v>
      </c>
      <c r="O16" s="95" t="s">
        <v>25</v>
      </c>
      <c r="P16" s="96" t="s">
        <v>434</v>
      </c>
      <c r="Q16" s="84"/>
      <c r="R16" s="97" t="s">
        <v>550</v>
      </c>
      <c r="S16" s="96" t="s">
        <v>33</v>
      </c>
      <c r="T16" s="95" t="s">
        <v>528</v>
      </c>
      <c r="U16" s="95" t="s">
        <v>524</v>
      </c>
      <c r="V16" s="108">
        <v>46037</v>
      </c>
      <c r="W16" s="108">
        <v>46068</v>
      </c>
      <c r="X16" s="96">
        <f ca="1">W16-TODAY()</f>
        <v>-17</v>
      </c>
      <c r="Y16" s="96" t="str">
        <f ca="1">IF(X16&gt;=60,"Vigente",IF(AND(X16&gt;=1,X16&lt;=59),"Por Vencer","Vencido"))</f>
        <v>Vencido</v>
      </c>
      <c r="Z16" s="96"/>
    </row>
    <row r="17" spans="1:26" hidden="1">
      <c r="A17" s="92">
        <v>17</v>
      </c>
      <c r="B17" s="96" t="s">
        <v>28</v>
      </c>
      <c r="C17" s="3" t="s">
        <v>551</v>
      </c>
      <c r="D17" s="3">
        <v>6525024</v>
      </c>
      <c r="E17" s="3">
        <v>1</v>
      </c>
      <c r="F17" s="3">
        <v>74</v>
      </c>
      <c r="G17" s="96" t="s">
        <v>58</v>
      </c>
      <c r="H17" s="96" t="s">
        <v>418</v>
      </c>
      <c r="I17" s="3">
        <v>2008</v>
      </c>
      <c r="J17" s="3">
        <v>2008</v>
      </c>
      <c r="K17" s="3" t="s">
        <v>33</v>
      </c>
      <c r="L17" s="3" t="s">
        <v>84</v>
      </c>
      <c r="M17" s="109">
        <v>45988</v>
      </c>
      <c r="N17" s="3" t="s">
        <v>552</v>
      </c>
      <c r="O17" s="95" t="s">
        <v>553</v>
      </c>
      <c r="P17" s="96" t="s">
        <v>526</v>
      </c>
      <c r="Q17" s="2"/>
      <c r="R17" s="96" t="s">
        <v>517</v>
      </c>
      <c r="S17" s="3" t="s">
        <v>33</v>
      </c>
      <c r="T17" s="96" t="s">
        <v>518</v>
      </c>
      <c r="U17" s="95" t="s">
        <v>519</v>
      </c>
      <c r="V17" s="109">
        <v>45951</v>
      </c>
      <c r="W17" s="109">
        <v>46043</v>
      </c>
      <c r="X17" s="3">
        <f ca="1">W17-TODAY()</f>
        <v>-42</v>
      </c>
      <c r="Y17" s="96" t="str">
        <f ca="1">IF(X17&gt;=60,"Vigente",IF(AND(X17&gt;=1,X17&lt;=59),"Por Vencer","Vencido"))</f>
        <v>Vencido</v>
      </c>
      <c r="Z17" s="96"/>
    </row>
    <row r="18" spans="1:26" ht="37.5" hidden="1">
      <c r="A18" s="92">
        <v>18</v>
      </c>
      <c r="B18" s="96" t="s">
        <v>18</v>
      </c>
      <c r="C18" s="3" t="s">
        <v>554</v>
      </c>
      <c r="D18" s="97">
        <v>5068910</v>
      </c>
      <c r="E18" s="96">
        <v>7</v>
      </c>
      <c r="F18" s="96">
        <v>80</v>
      </c>
      <c r="G18" s="97" t="s">
        <v>20</v>
      </c>
      <c r="H18" s="96" t="s">
        <v>46</v>
      </c>
      <c r="I18" s="96" t="s">
        <v>555</v>
      </c>
      <c r="J18" s="96" t="s">
        <v>555</v>
      </c>
      <c r="K18" s="96" t="s">
        <v>18</v>
      </c>
      <c r="L18" s="3" t="s">
        <v>23</v>
      </c>
      <c r="M18" s="96" t="s">
        <v>544</v>
      </c>
      <c r="N18" s="96" t="s">
        <v>539</v>
      </c>
      <c r="O18" s="95" t="s">
        <v>25</v>
      </c>
      <c r="P18" s="96" t="s">
        <v>434</v>
      </c>
      <c r="Q18" s="82"/>
      <c r="R18" s="96" t="s">
        <v>531</v>
      </c>
      <c r="S18" s="96" t="s">
        <v>33</v>
      </c>
      <c r="T18" s="96" t="s">
        <v>518</v>
      </c>
      <c r="U18" s="96" t="s">
        <v>524</v>
      </c>
      <c r="V18" s="107">
        <v>45967</v>
      </c>
      <c r="W18" s="107">
        <v>46059</v>
      </c>
      <c r="X18" s="96">
        <f ca="1">W18-TODAY()</f>
        <v>-26</v>
      </c>
      <c r="Y18" s="96" t="str">
        <f ca="1">IF(X18&gt;=60,"Vigente",IF(AND(X18&gt;=1,X18&lt;=59),"Por Vencer","Vencido"))</f>
        <v>Vencido</v>
      </c>
    </row>
    <row r="19" spans="1:26" ht="37.5" hidden="1">
      <c r="A19" s="92">
        <v>19</v>
      </c>
      <c r="B19" s="96" t="s">
        <v>18</v>
      </c>
      <c r="C19" s="3" t="s">
        <v>556</v>
      </c>
      <c r="D19" s="3">
        <v>4927300</v>
      </c>
      <c r="E19" s="3">
        <v>2</v>
      </c>
      <c r="F19" s="3">
        <v>80</v>
      </c>
      <c r="G19" s="97" t="s">
        <v>20</v>
      </c>
      <c r="H19" s="96" t="s">
        <v>251</v>
      </c>
      <c r="I19" s="3" t="s">
        <v>33</v>
      </c>
      <c r="J19" s="3" t="s">
        <v>33</v>
      </c>
      <c r="K19" s="3" t="s">
        <v>33</v>
      </c>
      <c r="L19" s="3" t="s">
        <v>51</v>
      </c>
      <c r="M19" s="3" t="s">
        <v>33</v>
      </c>
      <c r="N19" s="3" t="s">
        <v>33</v>
      </c>
      <c r="O19" s="95" t="s">
        <v>25</v>
      </c>
      <c r="P19" s="3" t="s">
        <v>526</v>
      </c>
      <c r="Q19" s="2"/>
      <c r="R19" s="96" t="s">
        <v>527</v>
      </c>
      <c r="S19" s="96" t="s">
        <v>33</v>
      </c>
      <c r="T19" s="96" t="s">
        <v>528</v>
      </c>
      <c r="U19" s="3" t="s">
        <v>524</v>
      </c>
      <c r="V19" s="109">
        <v>45929</v>
      </c>
      <c r="W19" s="109">
        <v>45990</v>
      </c>
      <c r="X19" s="3">
        <f ca="1">W19-TODAY()</f>
        <v>-95</v>
      </c>
      <c r="Y19" s="96" t="str">
        <f ca="1">IF(X19&gt;=60,"Vigente",IF(AND(X19&gt;=1,X19&lt;=59),"Por Vencer","Vencido"))</f>
        <v>Vencido</v>
      </c>
      <c r="Z19" s="96" t="s">
        <v>557</v>
      </c>
    </row>
    <row r="20" spans="1:26" ht="20.25" hidden="1" customHeight="1">
      <c r="A20" s="92">
        <v>20</v>
      </c>
      <c r="B20" s="96" t="s">
        <v>18</v>
      </c>
      <c r="C20" s="96" t="s">
        <v>558</v>
      </c>
      <c r="D20" s="96">
        <v>6238306</v>
      </c>
      <c r="E20" s="96">
        <v>2</v>
      </c>
      <c r="F20" s="96">
        <v>72</v>
      </c>
      <c r="G20" s="97" t="s">
        <v>20</v>
      </c>
      <c r="H20" s="96" t="s">
        <v>50</v>
      </c>
      <c r="I20" s="96">
        <v>2024</v>
      </c>
      <c r="J20" s="96">
        <v>2024</v>
      </c>
      <c r="K20" s="96" t="s">
        <v>18</v>
      </c>
      <c r="L20" s="97" t="s">
        <v>84</v>
      </c>
      <c r="M20" s="107">
        <v>45407</v>
      </c>
      <c r="N20" s="96" t="s">
        <v>559</v>
      </c>
      <c r="O20" s="96" t="s">
        <v>42</v>
      </c>
      <c r="P20" s="96" t="s">
        <v>526</v>
      </c>
      <c r="Q20" s="82"/>
      <c r="R20" s="96" t="s">
        <v>517</v>
      </c>
      <c r="S20" s="96" t="s">
        <v>33</v>
      </c>
      <c r="T20" s="96" t="s">
        <v>518</v>
      </c>
      <c r="U20" s="95" t="s">
        <v>519</v>
      </c>
      <c r="V20" s="107">
        <v>45741</v>
      </c>
      <c r="W20" s="107">
        <v>45833</v>
      </c>
      <c r="X20" s="96">
        <f ca="1">W20-TODAY()</f>
        <v>-252</v>
      </c>
      <c r="Y20" s="96" t="str">
        <f ca="1">IF(X20&gt;=60,"Vigente",IF(AND(X20&gt;=1,X20&lt;=59),"Por Vencer","Vencido"))</f>
        <v>Vencido</v>
      </c>
      <c r="Z20" s="96"/>
    </row>
    <row r="21" spans="1:26" ht="37.5" hidden="1">
      <c r="A21" s="92">
        <v>21</v>
      </c>
      <c r="B21" s="96" t="s">
        <v>28</v>
      </c>
      <c r="C21" s="98" t="s">
        <v>560</v>
      </c>
      <c r="D21" s="98">
        <v>12649470</v>
      </c>
      <c r="E21" s="98" t="s">
        <v>45</v>
      </c>
      <c r="F21" s="98">
        <v>51</v>
      </c>
      <c r="G21" s="97" t="s">
        <v>20</v>
      </c>
      <c r="H21" s="97" t="s">
        <v>431</v>
      </c>
      <c r="I21" s="98" t="s">
        <v>33</v>
      </c>
      <c r="J21" s="98" t="s">
        <v>33</v>
      </c>
      <c r="K21" s="98" t="s">
        <v>33</v>
      </c>
      <c r="L21" s="98" t="s">
        <v>51</v>
      </c>
      <c r="M21" s="98" t="s">
        <v>33</v>
      </c>
      <c r="N21" s="98" t="s">
        <v>33</v>
      </c>
      <c r="O21" s="95" t="s">
        <v>25</v>
      </c>
      <c r="P21" s="96" t="s">
        <v>434</v>
      </c>
      <c r="Q21" s="86"/>
      <c r="R21" s="96" t="s">
        <v>527</v>
      </c>
      <c r="S21" s="98" t="s">
        <v>33</v>
      </c>
      <c r="T21" s="96" t="s">
        <v>528</v>
      </c>
      <c r="U21" s="3" t="s">
        <v>536</v>
      </c>
      <c r="V21" s="114">
        <v>46006</v>
      </c>
      <c r="W21" s="114">
        <v>46068</v>
      </c>
      <c r="X21" s="3">
        <f ca="1">W21-TODAY()</f>
        <v>-17</v>
      </c>
      <c r="Y21" s="96" t="str">
        <f ca="1">IF(X21&gt;=60,"Vigente",IF(AND(X21&gt;=1,X21&lt;=59),"Por Vencer","Vencido"))</f>
        <v>Vencido</v>
      </c>
      <c r="Z21" s="96"/>
    </row>
    <row r="22" spans="1:26" ht="37.5" hidden="1">
      <c r="A22" s="92">
        <v>22</v>
      </c>
      <c r="B22" s="96" t="s">
        <v>18</v>
      </c>
      <c r="C22" s="3" t="s">
        <v>561</v>
      </c>
      <c r="D22" s="3">
        <v>4574928</v>
      </c>
      <c r="E22" s="3">
        <v>2</v>
      </c>
      <c r="F22" s="3">
        <v>85</v>
      </c>
      <c r="G22" s="97" t="s">
        <v>20</v>
      </c>
      <c r="H22" s="96" t="s">
        <v>251</v>
      </c>
      <c r="I22" s="3" t="s">
        <v>33</v>
      </c>
      <c r="J22" s="3" t="s">
        <v>33</v>
      </c>
      <c r="K22" s="3" t="s">
        <v>33</v>
      </c>
      <c r="L22" s="3" t="s">
        <v>51</v>
      </c>
      <c r="M22" s="3" t="s">
        <v>33</v>
      </c>
      <c r="N22" s="3" t="s">
        <v>33</v>
      </c>
      <c r="O22" s="95" t="s">
        <v>25</v>
      </c>
      <c r="P22" s="96" t="s">
        <v>526</v>
      </c>
      <c r="Q22" s="2"/>
      <c r="R22" s="96" t="s">
        <v>527</v>
      </c>
      <c r="S22" s="96" t="s">
        <v>33</v>
      </c>
      <c r="T22" s="96" t="s">
        <v>528</v>
      </c>
      <c r="U22" s="3" t="s">
        <v>524</v>
      </c>
      <c r="V22" s="109">
        <v>45882</v>
      </c>
      <c r="W22" s="109">
        <v>45974</v>
      </c>
      <c r="X22" s="3">
        <f ca="1">W22-TODAY()</f>
        <v>-111</v>
      </c>
      <c r="Y22" s="96" t="str">
        <f ca="1">IF(X22&gt;=60,"Vigente",IF(AND(X22&gt;=1,X22&lt;=59),"Por Vencer","Vencido"))</f>
        <v>Vencido</v>
      </c>
      <c r="Z22" s="96"/>
    </row>
    <row r="23" spans="1:26" ht="37.5" hidden="1">
      <c r="A23" s="92">
        <v>23</v>
      </c>
      <c r="B23" s="96" t="s">
        <v>28</v>
      </c>
      <c r="C23" s="98" t="s">
        <v>561</v>
      </c>
      <c r="D23" s="98">
        <v>4574928</v>
      </c>
      <c r="E23" s="98">
        <v>2</v>
      </c>
      <c r="F23" s="98">
        <v>86</v>
      </c>
      <c r="G23" s="97" t="s">
        <v>20</v>
      </c>
      <c r="H23" s="97" t="s">
        <v>431</v>
      </c>
      <c r="I23" s="98" t="s">
        <v>33</v>
      </c>
      <c r="J23" s="98" t="s">
        <v>33</v>
      </c>
      <c r="K23" s="98" t="s">
        <v>33</v>
      </c>
      <c r="L23" s="98" t="s">
        <v>51</v>
      </c>
      <c r="M23" s="98" t="s">
        <v>33</v>
      </c>
      <c r="N23" s="98" t="s">
        <v>33</v>
      </c>
      <c r="O23" s="95" t="s">
        <v>25</v>
      </c>
      <c r="P23" s="96" t="s">
        <v>434</v>
      </c>
      <c r="Q23" s="86"/>
      <c r="R23" s="96" t="s">
        <v>527</v>
      </c>
      <c r="S23" s="98" t="s">
        <v>33</v>
      </c>
      <c r="T23" s="96" t="s">
        <v>528</v>
      </c>
      <c r="U23" s="3" t="s">
        <v>524</v>
      </c>
      <c r="V23" s="114">
        <v>45996</v>
      </c>
      <c r="W23" s="114">
        <v>46058</v>
      </c>
      <c r="X23" s="3">
        <f ca="1">W23-TODAY()</f>
        <v>-27</v>
      </c>
      <c r="Y23" s="96" t="str">
        <f ca="1">IF(X23&gt;=60,"Vigente",IF(AND(X23&gt;=1,X23&lt;=59),"Por Vencer","Vencido"))</f>
        <v>Vencido</v>
      </c>
      <c r="Z23" s="96"/>
    </row>
    <row r="24" spans="1:26" hidden="1">
      <c r="A24" s="92">
        <v>24</v>
      </c>
      <c r="B24" s="96" t="s">
        <v>18</v>
      </c>
      <c r="C24" s="3" t="s">
        <v>562</v>
      </c>
      <c r="D24" s="3">
        <v>11260377</v>
      </c>
      <c r="E24" s="3">
        <v>8</v>
      </c>
      <c r="F24" s="3">
        <v>56</v>
      </c>
      <c r="G24" s="97" t="s">
        <v>20</v>
      </c>
      <c r="H24" s="95" t="s">
        <v>59</v>
      </c>
      <c r="I24" s="3">
        <v>2024</v>
      </c>
      <c r="J24" s="3">
        <v>2024</v>
      </c>
      <c r="K24" s="96" t="s">
        <v>18</v>
      </c>
      <c r="L24" s="3" t="s">
        <v>84</v>
      </c>
      <c r="M24" s="109">
        <v>45568</v>
      </c>
      <c r="N24" s="3" t="s">
        <v>563</v>
      </c>
      <c r="O24" s="96" t="s">
        <v>42</v>
      </c>
      <c r="P24" s="96" t="s">
        <v>526</v>
      </c>
      <c r="Q24" s="2"/>
      <c r="R24" s="96" t="s">
        <v>517</v>
      </c>
      <c r="S24" s="96" t="s">
        <v>33</v>
      </c>
      <c r="T24" s="96" t="s">
        <v>518</v>
      </c>
      <c r="U24" s="95" t="s">
        <v>519</v>
      </c>
      <c r="V24" s="109">
        <v>45663</v>
      </c>
      <c r="W24" s="109">
        <v>45753</v>
      </c>
      <c r="X24" s="3">
        <f ca="1">W24-TODAY()</f>
        <v>-332</v>
      </c>
      <c r="Y24" s="96" t="str">
        <f ca="1">IF(X24&gt;=60,"Vigente",IF(AND(X24&gt;=1,X24&lt;=59),"Por Vencer","Vencido"))</f>
        <v>Vencido</v>
      </c>
      <c r="Z24" s="96"/>
    </row>
    <row r="25" spans="1:26" ht="37.5" hidden="1">
      <c r="A25" s="92">
        <v>25</v>
      </c>
      <c r="B25" s="96" t="s">
        <v>18</v>
      </c>
      <c r="C25" s="3" t="s">
        <v>392</v>
      </c>
      <c r="D25" s="3">
        <v>8200457</v>
      </c>
      <c r="E25" s="3">
        <v>2</v>
      </c>
      <c r="F25" s="3">
        <v>67</v>
      </c>
      <c r="G25" s="97" t="s">
        <v>20</v>
      </c>
      <c r="H25" s="96" t="s">
        <v>431</v>
      </c>
      <c r="I25" s="3" t="s">
        <v>33</v>
      </c>
      <c r="J25" s="3" t="s">
        <v>33</v>
      </c>
      <c r="K25" s="3" t="s">
        <v>33</v>
      </c>
      <c r="L25" s="3" t="s">
        <v>51</v>
      </c>
      <c r="M25" s="3" t="s">
        <v>33</v>
      </c>
      <c r="N25" s="3" t="s">
        <v>33</v>
      </c>
      <c r="O25" s="95" t="s">
        <v>25</v>
      </c>
      <c r="P25" s="96" t="s">
        <v>526</v>
      </c>
      <c r="Q25" s="2"/>
      <c r="R25" s="96" t="s">
        <v>527</v>
      </c>
      <c r="S25" s="96" t="s">
        <v>33</v>
      </c>
      <c r="T25" s="96" t="s">
        <v>528</v>
      </c>
      <c r="U25" s="3" t="s">
        <v>524</v>
      </c>
      <c r="V25" s="109">
        <v>45951</v>
      </c>
      <c r="W25" s="109">
        <v>46012</v>
      </c>
      <c r="X25" s="3">
        <f ca="1">W25-TODAY()</f>
        <v>-73</v>
      </c>
      <c r="Y25" s="96" t="str">
        <f ca="1">IF(X25&gt;=60,"Vigente",IF(AND(X25&gt;=1,X25&lt;=59),"Por Vencer","Vencido"))</f>
        <v>Vencido</v>
      </c>
      <c r="Z25" s="96"/>
    </row>
    <row r="26" spans="1:26" ht="20.25" hidden="1" customHeight="1">
      <c r="A26" s="92">
        <v>26</v>
      </c>
      <c r="B26" s="96" t="s">
        <v>18</v>
      </c>
      <c r="C26" s="3" t="s">
        <v>564</v>
      </c>
      <c r="D26" s="3">
        <v>11267222</v>
      </c>
      <c r="E26" s="3">
        <v>2</v>
      </c>
      <c r="F26" s="3">
        <v>57</v>
      </c>
      <c r="G26" s="97" t="s">
        <v>20</v>
      </c>
      <c r="H26" s="96" t="s">
        <v>251</v>
      </c>
      <c r="I26" s="96" t="s">
        <v>33</v>
      </c>
      <c r="J26" s="96" t="s">
        <v>33</v>
      </c>
      <c r="K26" s="96" t="s">
        <v>33</v>
      </c>
      <c r="L26" s="3" t="s">
        <v>51</v>
      </c>
      <c r="M26" s="3" t="s">
        <v>33</v>
      </c>
      <c r="N26" s="3" t="s">
        <v>33</v>
      </c>
      <c r="O26" s="95" t="s">
        <v>25</v>
      </c>
      <c r="P26" s="96" t="s">
        <v>526</v>
      </c>
      <c r="Q26" s="2"/>
      <c r="R26" s="96" t="s">
        <v>527</v>
      </c>
      <c r="S26" s="96" t="s">
        <v>33</v>
      </c>
      <c r="T26" s="96" t="s">
        <v>528</v>
      </c>
      <c r="U26" s="3" t="s">
        <v>524</v>
      </c>
      <c r="V26" s="109">
        <v>45936</v>
      </c>
      <c r="W26" s="109">
        <v>45967</v>
      </c>
      <c r="X26" s="3">
        <f ca="1">W26-TODAY()</f>
        <v>-118</v>
      </c>
      <c r="Y26" s="96" t="str">
        <f ca="1">IF(X26&gt;=60,"Vigente",IF(AND(X26&gt;=1,X26&lt;=59),"Por Vencer","Vencido"))</f>
        <v>Vencido</v>
      </c>
      <c r="Z26" s="96" t="s">
        <v>529</v>
      </c>
    </row>
    <row r="27" spans="1:26" ht="20.25" hidden="1" customHeight="1">
      <c r="A27" s="92">
        <v>27</v>
      </c>
      <c r="B27" s="96" t="s">
        <v>18</v>
      </c>
      <c r="C27" s="98" t="s">
        <v>565</v>
      </c>
      <c r="D27" s="98">
        <v>10926474</v>
      </c>
      <c r="E27" s="98">
        <v>1</v>
      </c>
      <c r="F27" s="98">
        <v>50</v>
      </c>
      <c r="G27" s="97" t="s">
        <v>20</v>
      </c>
      <c r="H27" s="98" t="s">
        <v>206</v>
      </c>
      <c r="I27" s="98" t="s">
        <v>33</v>
      </c>
      <c r="J27" s="98" t="s">
        <v>33</v>
      </c>
      <c r="K27" s="98" t="s">
        <v>33</v>
      </c>
      <c r="L27" s="98" t="s">
        <v>51</v>
      </c>
      <c r="M27" s="98" t="s">
        <v>33</v>
      </c>
      <c r="N27" s="98" t="s">
        <v>33</v>
      </c>
      <c r="O27" s="95" t="s">
        <v>25</v>
      </c>
      <c r="P27" s="98" t="s">
        <v>434</v>
      </c>
      <c r="Q27" s="86"/>
      <c r="R27" s="96" t="s">
        <v>527</v>
      </c>
      <c r="S27" s="98" t="s">
        <v>33</v>
      </c>
      <c r="T27" s="96" t="s">
        <v>528</v>
      </c>
      <c r="U27" s="3" t="s">
        <v>524</v>
      </c>
      <c r="V27" s="98" t="s">
        <v>566</v>
      </c>
      <c r="W27" s="98" t="s">
        <v>566</v>
      </c>
      <c r="X27" s="3" t="e">
        <f ca="1">W27-TODAY()</f>
        <v>#VALUE!</v>
      </c>
      <c r="Y27" s="96" t="e">
        <f ca="1">IF(X27&gt;=60,"Vigente",IF(AND(X27&gt;=1,X27&lt;=59),"Por Vencer","Vencido"))</f>
        <v>#VALUE!</v>
      </c>
      <c r="Z27" s="96"/>
    </row>
    <row r="28" spans="1:26" ht="39" hidden="1" customHeight="1">
      <c r="A28" s="92">
        <v>28</v>
      </c>
      <c r="B28" s="96" t="s">
        <v>18</v>
      </c>
      <c r="C28" s="96" t="s">
        <v>567</v>
      </c>
      <c r="D28" s="96">
        <v>13535595</v>
      </c>
      <c r="E28" s="96" t="s">
        <v>45</v>
      </c>
      <c r="F28" s="96">
        <v>44</v>
      </c>
      <c r="G28" s="97" t="s">
        <v>20</v>
      </c>
      <c r="H28" s="96" t="s">
        <v>50</v>
      </c>
      <c r="I28" s="96">
        <v>2024</v>
      </c>
      <c r="J28" s="107">
        <v>45334</v>
      </c>
      <c r="K28" s="96" t="s">
        <v>18</v>
      </c>
      <c r="L28" s="96" t="s">
        <v>23</v>
      </c>
      <c r="M28" s="107">
        <v>45351</v>
      </c>
      <c r="N28" s="96" t="s">
        <v>539</v>
      </c>
      <c r="O28" s="96" t="s">
        <v>42</v>
      </c>
      <c r="P28" s="96" t="s">
        <v>434</v>
      </c>
      <c r="Q28" s="82"/>
      <c r="R28" s="96" t="s">
        <v>517</v>
      </c>
      <c r="S28" s="96" t="s">
        <v>33</v>
      </c>
      <c r="T28" s="96" t="s">
        <v>518</v>
      </c>
      <c r="U28" s="95" t="s">
        <v>519</v>
      </c>
      <c r="V28" s="107">
        <v>46080</v>
      </c>
      <c r="W28" s="107">
        <v>46169</v>
      </c>
      <c r="X28" s="96">
        <f ca="1">W28-TODAY()</f>
        <v>84</v>
      </c>
      <c r="Y28" s="96" t="str">
        <f ca="1">IF(X28&gt;=60,"Vigente",IF(AND(X28&gt;=1,X28&lt;=59),"Por Vencer","Vencido"))</f>
        <v>Vigente</v>
      </c>
      <c r="Z28" s="96"/>
    </row>
    <row r="29" spans="1:26" ht="20.25" hidden="1" customHeight="1">
      <c r="A29" s="92">
        <v>29</v>
      </c>
      <c r="B29" s="96" t="s">
        <v>18</v>
      </c>
      <c r="C29" s="96" t="s">
        <v>568</v>
      </c>
      <c r="D29" s="96">
        <v>5464052</v>
      </c>
      <c r="E29" s="96">
        <v>8</v>
      </c>
      <c r="F29" s="96">
        <v>77</v>
      </c>
      <c r="G29" s="3" t="s">
        <v>30</v>
      </c>
      <c r="H29" s="95" t="s">
        <v>59</v>
      </c>
      <c r="I29" s="96">
        <v>2021</v>
      </c>
      <c r="J29" s="107">
        <v>44218</v>
      </c>
      <c r="K29" s="96" t="s">
        <v>18</v>
      </c>
      <c r="L29" s="96" t="s">
        <v>23</v>
      </c>
      <c r="M29" s="107">
        <v>44546</v>
      </c>
      <c r="N29" s="96" t="s">
        <v>459</v>
      </c>
      <c r="O29" s="96" t="s">
        <v>42</v>
      </c>
      <c r="P29" s="96" t="s">
        <v>526</v>
      </c>
      <c r="Q29" s="82"/>
      <c r="R29" s="96" t="s">
        <v>517</v>
      </c>
      <c r="S29" s="96" t="s">
        <v>33</v>
      </c>
      <c r="T29" s="96" t="s">
        <v>518</v>
      </c>
      <c r="U29" s="95" t="s">
        <v>519</v>
      </c>
      <c r="V29" s="108">
        <v>45699</v>
      </c>
      <c r="W29" s="107">
        <v>45788</v>
      </c>
      <c r="X29" s="96">
        <f ca="1">W29-TODAY()</f>
        <v>-297</v>
      </c>
      <c r="Y29" s="96" t="str">
        <f ca="1">IF(X29&gt;=60,"Vigente",IF(AND(X29&gt;=1,X29&lt;=59),"Por Vencer","Vencido"))</f>
        <v>Vencido</v>
      </c>
      <c r="Z29" s="96"/>
    </row>
    <row r="30" spans="1:26" ht="39" hidden="1" customHeight="1">
      <c r="A30" s="92">
        <v>30</v>
      </c>
      <c r="B30" s="96" t="s">
        <v>28</v>
      </c>
      <c r="C30" s="96" t="s">
        <v>569</v>
      </c>
      <c r="D30" s="96">
        <v>5519768</v>
      </c>
      <c r="E30" s="96">
        <v>7</v>
      </c>
      <c r="F30" s="96">
        <v>80</v>
      </c>
      <c r="G30" s="3" t="s">
        <v>30</v>
      </c>
      <c r="H30" s="95" t="s">
        <v>300</v>
      </c>
      <c r="I30" s="96">
        <v>2024</v>
      </c>
      <c r="J30" s="107">
        <v>45441</v>
      </c>
      <c r="K30" s="96" t="s">
        <v>33</v>
      </c>
      <c r="L30" s="97" t="s">
        <v>84</v>
      </c>
      <c r="M30" s="97" t="s">
        <v>33</v>
      </c>
      <c r="N30" s="97" t="s">
        <v>33</v>
      </c>
      <c r="O30" s="95" t="s">
        <v>25</v>
      </c>
      <c r="P30" s="96" t="s">
        <v>434</v>
      </c>
      <c r="Q30" s="82"/>
      <c r="R30" s="96" t="s">
        <v>570</v>
      </c>
      <c r="S30" s="96" t="s">
        <v>535</v>
      </c>
      <c r="T30" s="96" t="s">
        <v>571</v>
      </c>
      <c r="U30" s="96" t="s">
        <v>524</v>
      </c>
      <c r="V30" s="107">
        <v>46042</v>
      </c>
      <c r="W30" s="107">
        <v>46162</v>
      </c>
      <c r="X30" s="96">
        <f ca="1">W30-TODAY()</f>
        <v>77</v>
      </c>
      <c r="Y30" s="96" t="str">
        <f ca="1">IF(X30&gt;=60,"Vigente",IF(AND(X30&gt;=1,X30&lt;=59),"Por Vencer","Vencido"))</f>
        <v>Vigente</v>
      </c>
      <c r="Z30" s="96"/>
    </row>
    <row r="31" spans="1:26" ht="39" hidden="1" customHeight="1">
      <c r="A31" s="92">
        <v>31</v>
      </c>
      <c r="B31" s="96" t="s">
        <v>28</v>
      </c>
      <c r="C31" s="169" t="s">
        <v>572</v>
      </c>
      <c r="D31" s="3">
        <v>9892229</v>
      </c>
      <c r="E31" s="3">
        <v>6</v>
      </c>
      <c r="F31" s="3">
        <v>65</v>
      </c>
      <c r="G31" s="3" t="s">
        <v>63</v>
      </c>
      <c r="H31" s="96" t="s">
        <v>431</v>
      </c>
      <c r="I31" s="3" t="s">
        <v>33</v>
      </c>
      <c r="J31" s="3" t="s">
        <v>33</v>
      </c>
      <c r="K31" s="3" t="s">
        <v>83</v>
      </c>
      <c r="L31" s="3" t="s">
        <v>51</v>
      </c>
      <c r="M31" s="3" t="s">
        <v>33</v>
      </c>
      <c r="N31" s="3" t="s">
        <v>33</v>
      </c>
      <c r="O31" s="95" t="s">
        <v>25</v>
      </c>
      <c r="P31" s="96" t="s">
        <v>526</v>
      </c>
      <c r="Q31" s="2"/>
      <c r="R31" s="96" t="s">
        <v>527</v>
      </c>
      <c r="S31" s="3" t="s">
        <v>33</v>
      </c>
      <c r="T31" s="96" t="s">
        <v>528</v>
      </c>
      <c r="U31" s="3" t="s">
        <v>524</v>
      </c>
      <c r="V31" s="109">
        <v>45923</v>
      </c>
      <c r="W31" s="109">
        <v>45984</v>
      </c>
      <c r="X31" s="3">
        <f ca="1">W31-TODAY()</f>
        <v>-101</v>
      </c>
      <c r="Y31" s="96" t="str">
        <f ca="1">IF(X31&gt;=60,"Vigente",IF(AND(X31&gt;=1,X31&lt;=59),"Por Vencer","Vencido"))</f>
        <v>Vencido</v>
      </c>
      <c r="Z31" s="96"/>
    </row>
    <row r="32" spans="1:26" ht="39" hidden="1" customHeight="1">
      <c r="A32" s="92">
        <v>32</v>
      </c>
      <c r="B32" s="96" t="s">
        <v>18</v>
      </c>
      <c r="C32" s="95" t="s">
        <v>573</v>
      </c>
      <c r="D32" s="95">
        <v>4321594</v>
      </c>
      <c r="E32" s="95">
        <v>9</v>
      </c>
      <c r="F32" s="101">
        <v>82</v>
      </c>
      <c r="G32" s="97" t="s">
        <v>20</v>
      </c>
      <c r="H32" s="96" t="s">
        <v>418</v>
      </c>
      <c r="I32" s="101">
        <v>2021</v>
      </c>
      <c r="J32" s="108">
        <v>44407</v>
      </c>
      <c r="K32" s="96" t="s">
        <v>83</v>
      </c>
      <c r="L32" s="3" t="s">
        <v>23</v>
      </c>
      <c r="M32" s="108">
        <v>44406</v>
      </c>
      <c r="N32" s="96" t="s">
        <v>574</v>
      </c>
      <c r="O32" s="95" t="s">
        <v>25</v>
      </c>
      <c r="P32" s="96" t="s">
        <v>434</v>
      </c>
      <c r="Q32" s="84"/>
      <c r="R32" s="95" t="s">
        <v>570</v>
      </c>
      <c r="S32" s="96" t="s">
        <v>33</v>
      </c>
      <c r="T32" s="96" t="s">
        <v>571</v>
      </c>
      <c r="U32" s="95" t="s">
        <v>524</v>
      </c>
      <c r="V32" s="110">
        <v>46044</v>
      </c>
      <c r="W32" s="110">
        <v>46164</v>
      </c>
      <c r="X32" s="96">
        <f ca="1">W32-TODAY()</f>
        <v>79</v>
      </c>
      <c r="Y32" s="96" t="str">
        <f ca="1">IF(X32&gt;=60,"Vigente",IF(AND(X32&gt;=1,X32&lt;=59),"Por Vencer","Vencido"))</f>
        <v>Vigente</v>
      </c>
      <c r="Z32" s="96"/>
    </row>
    <row r="33" spans="1:26" ht="39" hidden="1" customHeight="1">
      <c r="A33" s="92">
        <v>33</v>
      </c>
      <c r="B33" s="96" t="s">
        <v>18</v>
      </c>
      <c r="C33" s="96" t="s">
        <v>575</v>
      </c>
      <c r="D33" s="96">
        <v>10398579</v>
      </c>
      <c r="E33" s="96" t="s">
        <v>45</v>
      </c>
      <c r="F33" s="100">
        <v>60</v>
      </c>
      <c r="G33" s="97" t="s">
        <v>20</v>
      </c>
      <c r="H33" s="96" t="s">
        <v>50</v>
      </c>
      <c r="I33" s="95">
        <v>2022</v>
      </c>
      <c r="J33" s="107">
        <v>43061</v>
      </c>
      <c r="K33" s="96" t="s">
        <v>18</v>
      </c>
      <c r="L33" s="96" t="s">
        <v>23</v>
      </c>
      <c r="M33" s="97" t="s">
        <v>33</v>
      </c>
      <c r="N33" s="97" t="s">
        <v>33</v>
      </c>
      <c r="O33" s="96" t="s">
        <v>42</v>
      </c>
      <c r="P33" s="96" t="s">
        <v>526</v>
      </c>
      <c r="Q33" s="82"/>
      <c r="R33" s="96" t="s">
        <v>517</v>
      </c>
      <c r="S33" s="96" t="s">
        <v>33</v>
      </c>
      <c r="T33" s="96" t="s">
        <v>518</v>
      </c>
      <c r="U33" s="95" t="s">
        <v>519</v>
      </c>
      <c r="V33" s="107">
        <v>45699</v>
      </c>
      <c r="W33" s="107">
        <v>45788</v>
      </c>
      <c r="X33" s="96">
        <f ca="1">W33-TODAY()</f>
        <v>-297</v>
      </c>
      <c r="Y33" s="96" t="str">
        <f ca="1">IF(X33&gt;=60,"Vigente",IF(AND(X33&gt;=1,X33&lt;=59),"Por Vencer","Vencido"))</f>
        <v>Vencido</v>
      </c>
      <c r="Z33" s="96"/>
    </row>
    <row r="34" spans="1:26" ht="20.25" hidden="1" customHeight="1">
      <c r="A34" s="92">
        <v>34</v>
      </c>
      <c r="B34" s="96" t="s">
        <v>28</v>
      </c>
      <c r="C34" s="3" t="s">
        <v>576</v>
      </c>
      <c r="D34" s="3">
        <v>15573412</v>
      </c>
      <c r="E34" s="3">
        <v>4</v>
      </c>
      <c r="F34" s="3">
        <v>41</v>
      </c>
      <c r="G34" s="97" t="s">
        <v>20</v>
      </c>
      <c r="H34" s="96" t="s">
        <v>378</v>
      </c>
      <c r="I34" s="3">
        <v>2022</v>
      </c>
      <c r="J34" s="109">
        <v>44566</v>
      </c>
      <c r="K34" s="3" t="s">
        <v>33</v>
      </c>
      <c r="L34" s="3" t="s">
        <v>23</v>
      </c>
      <c r="M34" s="3" t="s">
        <v>33</v>
      </c>
      <c r="N34" s="3" t="s">
        <v>33</v>
      </c>
      <c r="O34" s="95" t="s">
        <v>25</v>
      </c>
      <c r="P34" s="96" t="s">
        <v>434</v>
      </c>
      <c r="Q34" s="2"/>
      <c r="R34" s="96" t="s">
        <v>545</v>
      </c>
      <c r="S34" s="3" t="s">
        <v>33</v>
      </c>
      <c r="T34" s="108" t="s">
        <v>546</v>
      </c>
      <c r="U34" s="96" t="s">
        <v>524</v>
      </c>
      <c r="V34" s="109">
        <v>45727</v>
      </c>
      <c r="W34" s="109">
        <v>46092</v>
      </c>
      <c r="X34" s="3">
        <f ca="1">W34-TODAY()</f>
        <v>7</v>
      </c>
      <c r="Y34" s="96" t="str">
        <f ca="1">IF(X34&gt;=60,"Vigente",IF(AND(X34&gt;=1,X34&lt;=59),"Por Vencer","Vencido"))</f>
        <v>Por Vencer</v>
      </c>
      <c r="Z34" s="96"/>
    </row>
    <row r="35" spans="1:26" ht="38.25" hidden="1" customHeight="1">
      <c r="A35" s="92">
        <v>35</v>
      </c>
      <c r="B35" s="96" t="s">
        <v>18</v>
      </c>
      <c r="C35" s="97" t="s">
        <v>577</v>
      </c>
      <c r="D35" s="97">
        <v>12420300</v>
      </c>
      <c r="E35" s="97">
        <v>7</v>
      </c>
      <c r="F35" s="102">
        <v>50</v>
      </c>
      <c r="G35" s="3" t="s">
        <v>30</v>
      </c>
      <c r="H35" s="96" t="s">
        <v>46</v>
      </c>
      <c r="I35" s="102">
        <v>2021</v>
      </c>
      <c r="J35" s="110">
        <v>44522</v>
      </c>
      <c r="K35" s="96" t="s">
        <v>18</v>
      </c>
      <c r="L35" s="3" t="s">
        <v>23</v>
      </c>
      <c r="M35" s="110">
        <v>44806</v>
      </c>
      <c r="N35" s="97" t="s">
        <v>533</v>
      </c>
      <c r="O35" s="95" t="s">
        <v>25</v>
      </c>
      <c r="P35" s="96" t="s">
        <v>434</v>
      </c>
      <c r="Q35" s="83"/>
      <c r="R35" s="97" t="s">
        <v>578</v>
      </c>
      <c r="S35" s="96" t="s">
        <v>33</v>
      </c>
      <c r="T35" s="110" t="s">
        <v>571</v>
      </c>
      <c r="U35" s="110" t="s">
        <v>524</v>
      </c>
      <c r="V35" s="110">
        <v>46035</v>
      </c>
      <c r="W35" s="110">
        <v>46155</v>
      </c>
      <c r="X35" s="96">
        <f ca="1">W35-TODAY()</f>
        <v>70</v>
      </c>
      <c r="Y35" s="96" t="str">
        <f ca="1">IF(X35&gt;=60,"Vigente",IF(AND(X35&gt;=1,X35&lt;=59),"Por Vencer","Vencido"))</f>
        <v>Vigente</v>
      </c>
      <c r="Z35" s="107"/>
    </row>
    <row r="36" spans="1:26" ht="35.25" hidden="1" customHeight="1">
      <c r="A36" s="92">
        <v>36</v>
      </c>
      <c r="B36" s="96" t="s">
        <v>18</v>
      </c>
      <c r="C36" s="96" t="s">
        <v>579</v>
      </c>
      <c r="D36" s="96">
        <v>9135695</v>
      </c>
      <c r="E36" s="96">
        <v>3</v>
      </c>
      <c r="F36" s="96">
        <v>63</v>
      </c>
      <c r="G36" s="97" t="s">
        <v>20</v>
      </c>
      <c r="H36" s="96" t="s">
        <v>418</v>
      </c>
      <c r="I36" s="96">
        <v>2021</v>
      </c>
      <c r="J36" s="107">
        <v>44498</v>
      </c>
      <c r="K36" s="96" t="s">
        <v>18</v>
      </c>
      <c r="L36" s="96" t="s">
        <v>23</v>
      </c>
      <c r="M36" s="96" t="s">
        <v>580</v>
      </c>
      <c r="N36" s="96" t="s">
        <v>33</v>
      </c>
      <c r="O36" s="96" t="s">
        <v>42</v>
      </c>
      <c r="P36" s="96" t="s">
        <v>526</v>
      </c>
      <c r="Q36" s="82"/>
      <c r="R36" s="96" t="s">
        <v>517</v>
      </c>
      <c r="S36" s="96" t="s">
        <v>33</v>
      </c>
      <c r="T36" s="96" t="s">
        <v>518</v>
      </c>
      <c r="U36" s="95" t="s">
        <v>519</v>
      </c>
      <c r="V36" s="107">
        <v>45677</v>
      </c>
      <c r="W36" s="107">
        <v>45767</v>
      </c>
      <c r="X36" s="96">
        <f ca="1">W36-TODAY()</f>
        <v>-318</v>
      </c>
      <c r="Y36" s="96" t="str">
        <f ca="1">IF(X36&gt;=60,"Vigente",IF(AND(X36&gt;=1,X36&lt;=59),"Por Vencer","Vencido"))</f>
        <v>Vencido</v>
      </c>
      <c r="Z36" s="96"/>
    </row>
    <row r="37" spans="1:26" ht="39" hidden="1" customHeight="1">
      <c r="A37" s="92">
        <v>37</v>
      </c>
      <c r="B37" s="96" t="s">
        <v>18</v>
      </c>
      <c r="C37" s="3" t="s">
        <v>581</v>
      </c>
      <c r="D37" s="3">
        <v>8074429</v>
      </c>
      <c r="E37" s="3">
        <v>3</v>
      </c>
      <c r="F37" s="3">
        <v>66</v>
      </c>
      <c r="G37" s="3" t="s">
        <v>30</v>
      </c>
      <c r="H37" s="96" t="s">
        <v>251</v>
      </c>
      <c r="I37" s="3" t="s">
        <v>33</v>
      </c>
      <c r="J37" s="3" t="s">
        <v>33</v>
      </c>
      <c r="K37" s="3" t="s">
        <v>33</v>
      </c>
      <c r="L37" s="3" t="s">
        <v>51</v>
      </c>
      <c r="M37" s="3" t="s">
        <v>33</v>
      </c>
      <c r="N37" s="3" t="s">
        <v>33</v>
      </c>
      <c r="O37" s="95" t="s">
        <v>25</v>
      </c>
      <c r="P37" s="96" t="s">
        <v>434</v>
      </c>
      <c r="Q37" s="2"/>
      <c r="R37" s="96" t="s">
        <v>522</v>
      </c>
      <c r="S37" s="96" t="s">
        <v>33</v>
      </c>
      <c r="T37" s="96" t="s">
        <v>523</v>
      </c>
      <c r="U37" s="95" t="s">
        <v>536</v>
      </c>
      <c r="V37" s="109">
        <v>45979</v>
      </c>
      <c r="W37" s="109">
        <v>46160</v>
      </c>
      <c r="X37" s="3">
        <f ca="1">W37-TODAY()</f>
        <v>75</v>
      </c>
      <c r="Y37" s="96" t="str">
        <f ca="1">IF(X37&gt;=60,"Vigente",IF(AND(X37&gt;=1,X37&lt;=59),"Por Vencer","Vencido"))</f>
        <v>Vigente</v>
      </c>
      <c r="Z37" s="96"/>
    </row>
    <row r="38" spans="1:26" ht="39" hidden="1" customHeight="1">
      <c r="A38" s="92">
        <v>38</v>
      </c>
      <c r="B38" s="96" t="s">
        <v>18</v>
      </c>
      <c r="C38" s="96" t="s">
        <v>582</v>
      </c>
      <c r="D38" s="96">
        <v>8752728</v>
      </c>
      <c r="E38" s="96" t="s">
        <v>45</v>
      </c>
      <c r="F38" s="96">
        <v>69</v>
      </c>
      <c r="G38" s="97" t="s">
        <v>20</v>
      </c>
      <c r="H38" s="96" t="s">
        <v>50</v>
      </c>
      <c r="I38" s="96">
        <v>2024</v>
      </c>
      <c r="J38" s="107">
        <v>45575</v>
      </c>
      <c r="K38" s="96" t="s">
        <v>33</v>
      </c>
      <c r="L38" s="95" t="s">
        <v>23</v>
      </c>
      <c r="M38" s="107">
        <v>45582</v>
      </c>
      <c r="N38" s="96" t="s">
        <v>583</v>
      </c>
      <c r="O38" s="96" t="s">
        <v>42</v>
      </c>
      <c r="P38" s="96" t="s">
        <v>526</v>
      </c>
      <c r="Q38" s="82"/>
      <c r="R38" s="96" t="s">
        <v>517</v>
      </c>
      <c r="S38" s="96" t="s">
        <v>33</v>
      </c>
      <c r="T38" s="96" t="s">
        <v>518</v>
      </c>
      <c r="U38" s="95" t="s">
        <v>519</v>
      </c>
      <c r="V38" s="107">
        <v>45694</v>
      </c>
      <c r="W38" s="107">
        <v>45783</v>
      </c>
      <c r="X38" s="96">
        <f ca="1">W38-TODAY()</f>
        <v>-302</v>
      </c>
      <c r="Y38" s="96" t="str">
        <f ca="1">IF(X38&gt;=60,"Vigente",IF(AND(X38&gt;=1,X38&lt;=59),"Por Vencer","Vencido"))</f>
        <v>Vencido</v>
      </c>
      <c r="Z38" s="107"/>
    </row>
    <row r="39" spans="1:26" ht="39" hidden="1" customHeight="1">
      <c r="A39" s="92">
        <v>39</v>
      </c>
      <c r="B39" s="96" t="s">
        <v>18</v>
      </c>
      <c r="C39" s="96" t="s">
        <v>584</v>
      </c>
      <c r="D39" s="103">
        <v>4062548</v>
      </c>
      <c r="E39" s="95">
        <v>8</v>
      </c>
      <c r="F39" s="95">
        <v>83</v>
      </c>
      <c r="G39" s="97" t="s">
        <v>20</v>
      </c>
      <c r="H39" s="96" t="s">
        <v>418</v>
      </c>
      <c r="I39" s="95">
        <v>2019</v>
      </c>
      <c r="J39" s="108">
        <v>43776</v>
      </c>
      <c r="K39" s="96" t="s">
        <v>83</v>
      </c>
      <c r="L39" s="3" t="s">
        <v>23</v>
      </c>
      <c r="M39" s="108">
        <v>45390</v>
      </c>
      <c r="N39" s="95" t="s">
        <v>585</v>
      </c>
      <c r="O39" s="95" t="s">
        <v>25</v>
      </c>
      <c r="P39" s="96" t="s">
        <v>434</v>
      </c>
      <c r="Q39" s="84"/>
      <c r="R39" s="96" t="s">
        <v>527</v>
      </c>
      <c r="S39" s="96" t="s">
        <v>33</v>
      </c>
      <c r="T39" s="96" t="s">
        <v>528</v>
      </c>
      <c r="U39" s="108" t="s">
        <v>524</v>
      </c>
      <c r="V39" s="108">
        <v>46031</v>
      </c>
      <c r="W39" s="108">
        <v>46062</v>
      </c>
      <c r="X39" s="96">
        <f ca="1">W39-TODAY()</f>
        <v>-23</v>
      </c>
      <c r="Y39" s="96" t="str">
        <f ca="1">IF(X39&gt;=60,"Vigente",IF(AND(X39&gt;=1,X39&lt;=59),"Por Vencer","Vencido"))</f>
        <v>Vencido</v>
      </c>
      <c r="Z39" s="96"/>
    </row>
    <row r="40" spans="1:26" ht="39" hidden="1" customHeight="1">
      <c r="A40" s="92">
        <v>40</v>
      </c>
      <c r="B40" s="96" t="s">
        <v>28</v>
      </c>
      <c r="C40" s="96" t="s">
        <v>586</v>
      </c>
      <c r="D40" s="96">
        <v>11422592</v>
      </c>
      <c r="E40" s="96">
        <v>4</v>
      </c>
      <c r="F40" s="96">
        <v>55</v>
      </c>
      <c r="G40" s="97" t="s">
        <v>20</v>
      </c>
      <c r="H40" s="96" t="s">
        <v>587</v>
      </c>
      <c r="I40" s="96" t="s">
        <v>33</v>
      </c>
      <c r="J40" s="96" t="s">
        <v>33</v>
      </c>
      <c r="K40" s="96" t="s">
        <v>33</v>
      </c>
      <c r="L40" s="97" t="s">
        <v>84</v>
      </c>
      <c r="M40" s="96" t="s">
        <v>33</v>
      </c>
      <c r="N40" s="96" t="s">
        <v>33</v>
      </c>
      <c r="O40" s="95" t="s">
        <v>25</v>
      </c>
      <c r="P40" s="96" t="s">
        <v>434</v>
      </c>
      <c r="Q40" s="82"/>
      <c r="R40" s="96" t="s">
        <v>531</v>
      </c>
      <c r="S40" s="96" t="s">
        <v>535</v>
      </c>
      <c r="T40" s="96" t="s">
        <v>518</v>
      </c>
      <c r="U40" s="96" t="s">
        <v>524</v>
      </c>
      <c r="V40" s="107">
        <v>46000</v>
      </c>
      <c r="W40" s="107">
        <v>46090</v>
      </c>
      <c r="X40" s="96">
        <f ca="1">W40-TODAY()</f>
        <v>5</v>
      </c>
      <c r="Y40" s="96" t="str">
        <f ca="1">IF(X40&gt;=60,"Vigente",IF(AND(X40&gt;=1,X40&lt;=59),"Por Vencer","Vencido"))</f>
        <v>Por Vencer</v>
      </c>
      <c r="Z40" s="96"/>
    </row>
    <row r="41" spans="1:26" ht="39" hidden="1" customHeight="1">
      <c r="A41" s="92">
        <v>41</v>
      </c>
      <c r="B41" s="96" t="s">
        <v>18</v>
      </c>
      <c r="C41" s="95" t="s">
        <v>588</v>
      </c>
      <c r="D41" s="95">
        <v>12571555</v>
      </c>
      <c r="E41" s="95">
        <v>9</v>
      </c>
      <c r="F41" s="101">
        <v>50</v>
      </c>
      <c r="G41" s="97" t="s">
        <v>20</v>
      </c>
      <c r="H41" s="96" t="s">
        <v>50</v>
      </c>
      <c r="I41" s="95">
        <v>2023</v>
      </c>
      <c r="J41" s="108">
        <v>45146</v>
      </c>
      <c r="K41" s="96" t="s">
        <v>18</v>
      </c>
      <c r="L41" s="95" t="s">
        <v>23</v>
      </c>
      <c r="M41" s="97" t="s">
        <v>33</v>
      </c>
      <c r="N41" s="97" t="s">
        <v>539</v>
      </c>
      <c r="O41" s="96" t="s">
        <v>42</v>
      </c>
      <c r="P41" s="96" t="s">
        <v>526</v>
      </c>
      <c r="Q41" s="84"/>
      <c r="R41" s="96" t="s">
        <v>517</v>
      </c>
      <c r="S41" s="96" t="s">
        <v>33</v>
      </c>
      <c r="T41" s="96" t="s">
        <v>518</v>
      </c>
      <c r="U41" s="95" t="s">
        <v>519</v>
      </c>
      <c r="V41" s="108">
        <v>45699</v>
      </c>
      <c r="W41" s="110">
        <v>45788</v>
      </c>
      <c r="X41" s="96">
        <f ca="1">W41-TODAY()</f>
        <v>-297</v>
      </c>
      <c r="Y41" s="96" t="str">
        <f ca="1">IF(X41&gt;=60,"Vigente",IF(AND(X41&gt;=1,X41&lt;=59),"Por Vencer","Vencido"))</f>
        <v>Vencido</v>
      </c>
      <c r="Z41" s="96"/>
    </row>
    <row r="42" spans="1:26" ht="40.5" hidden="1" customHeight="1">
      <c r="A42" s="92">
        <v>42</v>
      </c>
      <c r="B42" s="96" t="s">
        <v>28</v>
      </c>
      <c r="C42" s="98" t="s">
        <v>589</v>
      </c>
      <c r="D42" s="98">
        <v>17628826</v>
      </c>
      <c r="E42" s="98">
        <v>4</v>
      </c>
      <c r="F42" s="98">
        <v>37</v>
      </c>
      <c r="G42" s="97" t="s">
        <v>20</v>
      </c>
      <c r="H42" s="97" t="s">
        <v>431</v>
      </c>
      <c r="I42" s="98" t="s">
        <v>33</v>
      </c>
      <c r="J42" s="98" t="s">
        <v>33</v>
      </c>
      <c r="K42" s="98" t="s">
        <v>33</v>
      </c>
      <c r="L42" s="98" t="s">
        <v>51</v>
      </c>
      <c r="M42" s="98" t="s">
        <v>33</v>
      </c>
      <c r="N42" s="98" t="s">
        <v>33</v>
      </c>
      <c r="O42" s="95" t="s">
        <v>25</v>
      </c>
      <c r="P42" s="98" t="s">
        <v>434</v>
      </c>
      <c r="Q42" s="86"/>
      <c r="R42" s="96" t="s">
        <v>527</v>
      </c>
      <c r="S42" s="98" t="s">
        <v>33</v>
      </c>
      <c r="T42" s="96" t="s">
        <v>528</v>
      </c>
      <c r="U42" s="3" t="s">
        <v>536</v>
      </c>
      <c r="V42" s="114" t="s">
        <v>566</v>
      </c>
      <c r="W42" s="114" t="s">
        <v>566</v>
      </c>
      <c r="X42" s="3" t="e">
        <f ca="1">W42-TODAY()</f>
        <v>#VALUE!</v>
      </c>
      <c r="Y42" s="96" t="e">
        <f ca="1">IF(X42&gt;=60,"Vigente",IF(AND(X42&gt;=1,X42&lt;=59),"Por Vencer","Vencido"))</f>
        <v>#VALUE!</v>
      </c>
      <c r="Z42" s="96"/>
    </row>
    <row r="43" spans="1:26" ht="57" hidden="1" customHeight="1">
      <c r="A43" s="92">
        <v>43</v>
      </c>
      <c r="B43" s="96" t="s">
        <v>18</v>
      </c>
      <c r="C43" s="96" t="s">
        <v>590</v>
      </c>
      <c r="D43" s="96">
        <v>14313411</v>
      </c>
      <c r="E43" s="96">
        <v>3</v>
      </c>
      <c r="F43" s="96">
        <v>48</v>
      </c>
      <c r="G43" s="97" t="s">
        <v>20</v>
      </c>
      <c r="H43" s="96" t="s">
        <v>50</v>
      </c>
      <c r="I43" s="96">
        <v>2013</v>
      </c>
      <c r="J43" s="96">
        <v>2013</v>
      </c>
      <c r="K43" s="96" t="s">
        <v>83</v>
      </c>
      <c r="L43" s="3" t="s">
        <v>23</v>
      </c>
      <c r="M43" s="96" t="s">
        <v>580</v>
      </c>
      <c r="N43" s="96" t="s">
        <v>539</v>
      </c>
      <c r="O43" s="95" t="s">
        <v>25</v>
      </c>
      <c r="P43" s="96" t="s">
        <v>434</v>
      </c>
      <c r="Q43" s="82"/>
      <c r="R43" s="96" t="s">
        <v>545</v>
      </c>
      <c r="S43" s="96" t="s">
        <v>33</v>
      </c>
      <c r="T43" s="108" t="s">
        <v>546</v>
      </c>
      <c r="U43" s="96" t="s">
        <v>524</v>
      </c>
      <c r="V43" s="107">
        <v>45715</v>
      </c>
      <c r="W43" s="107">
        <v>46080</v>
      </c>
      <c r="X43" s="96">
        <f ca="1">W43-TODAY()</f>
        <v>-5</v>
      </c>
      <c r="Y43" s="96" t="str">
        <f ca="1">IF(X43&gt;=60,"Vigente",IF(AND(X43&gt;=1,X43&lt;=59),"Por Vencer","Vencido"))</f>
        <v>Vencido</v>
      </c>
    </row>
    <row r="44" spans="1:26" ht="57" hidden="1" customHeight="1">
      <c r="A44" s="92">
        <v>44</v>
      </c>
      <c r="B44" s="96" t="s">
        <v>28</v>
      </c>
      <c r="C44" s="3" t="s">
        <v>591</v>
      </c>
      <c r="D44" s="3">
        <v>22211364</v>
      </c>
      <c r="E44" s="3">
        <v>4</v>
      </c>
      <c r="F44" s="3">
        <v>18</v>
      </c>
      <c r="G44" s="97" t="s">
        <v>20</v>
      </c>
      <c r="H44" s="96" t="s">
        <v>592</v>
      </c>
      <c r="I44" s="3">
        <v>2022</v>
      </c>
      <c r="J44" s="3">
        <v>2022</v>
      </c>
      <c r="K44" s="3" t="s">
        <v>33</v>
      </c>
      <c r="L44" s="3" t="s">
        <v>23</v>
      </c>
      <c r="M44" s="3" t="s">
        <v>33</v>
      </c>
      <c r="N44" s="3" t="s">
        <v>33</v>
      </c>
      <c r="O44" s="95" t="s">
        <v>25</v>
      </c>
      <c r="P44" s="96" t="s">
        <v>434</v>
      </c>
      <c r="Q44" s="2"/>
      <c r="R44" s="95" t="s">
        <v>593</v>
      </c>
      <c r="S44" s="96" t="s">
        <v>33</v>
      </c>
      <c r="T44" s="96" t="s">
        <v>594</v>
      </c>
      <c r="U44" s="3" t="s">
        <v>524</v>
      </c>
      <c r="V44" s="109">
        <v>45986</v>
      </c>
      <c r="W44" s="109">
        <v>46047</v>
      </c>
      <c r="X44" s="3">
        <f ca="1">W44-TODAY()</f>
        <v>-38</v>
      </c>
      <c r="Y44" s="96" t="str">
        <f ca="1">IF(X44&gt;=60,"Vigente",IF(AND(X44&gt;=1,X44&lt;=59),"Por Vencer","Vencido"))</f>
        <v>Vencido</v>
      </c>
      <c r="Z44" s="96"/>
    </row>
    <row r="45" spans="1:26" ht="35.25" hidden="1" customHeight="1">
      <c r="A45" s="92">
        <v>45</v>
      </c>
      <c r="B45" s="96" t="s">
        <v>18</v>
      </c>
      <c r="C45" s="96" t="s">
        <v>595</v>
      </c>
      <c r="D45" s="96">
        <v>10391903</v>
      </c>
      <c r="E45" s="96">
        <v>7</v>
      </c>
      <c r="F45" s="96">
        <v>60</v>
      </c>
      <c r="G45" s="97" t="s">
        <v>20</v>
      </c>
      <c r="H45" s="96" t="s">
        <v>46</v>
      </c>
      <c r="I45" s="96">
        <v>2024</v>
      </c>
      <c r="J45" s="107">
        <v>45513</v>
      </c>
      <c r="K45" s="96" t="s">
        <v>18</v>
      </c>
      <c r="L45" s="95" t="s">
        <v>23</v>
      </c>
      <c r="M45" s="110">
        <v>45547</v>
      </c>
      <c r="N45" s="96" t="s">
        <v>539</v>
      </c>
      <c r="O45" s="96" t="s">
        <v>42</v>
      </c>
      <c r="P45" s="96" t="s">
        <v>526</v>
      </c>
      <c r="Q45" s="82"/>
      <c r="R45" s="96" t="s">
        <v>517</v>
      </c>
      <c r="S45" s="96" t="s">
        <v>33</v>
      </c>
      <c r="T45" s="96" t="s">
        <v>518</v>
      </c>
      <c r="U45" s="95" t="s">
        <v>519</v>
      </c>
      <c r="V45" s="107">
        <v>45677</v>
      </c>
      <c r="W45" s="107">
        <v>45767</v>
      </c>
      <c r="X45" s="96">
        <f ca="1">W45-TODAY()</f>
        <v>-318</v>
      </c>
      <c r="Y45" s="96" t="str">
        <f ca="1">IF(X45&gt;=60,"Vigente",IF(AND(X45&gt;=1,X45&lt;=59),"Por Vencer","Vencido"))</f>
        <v>Vencido</v>
      </c>
      <c r="Z45" s="118"/>
    </row>
    <row r="46" spans="1:26" hidden="1">
      <c r="A46" s="92">
        <v>46</v>
      </c>
      <c r="B46" s="96" t="s">
        <v>18</v>
      </c>
      <c r="C46" s="98" t="s">
        <v>596</v>
      </c>
      <c r="D46" s="98">
        <v>7943521</v>
      </c>
      <c r="E46" s="98" t="s">
        <v>45</v>
      </c>
      <c r="F46" s="98">
        <v>67</v>
      </c>
      <c r="G46" s="97" t="s">
        <v>20</v>
      </c>
      <c r="H46" s="97" t="s">
        <v>418</v>
      </c>
      <c r="I46" s="98" t="s">
        <v>33</v>
      </c>
      <c r="J46" s="98" t="s">
        <v>541</v>
      </c>
      <c r="K46" s="98" t="s">
        <v>33</v>
      </c>
      <c r="L46" s="98" t="s">
        <v>51</v>
      </c>
      <c r="M46" s="98" t="s">
        <v>33</v>
      </c>
      <c r="N46" s="98" t="s">
        <v>33</v>
      </c>
      <c r="O46" s="95" t="s">
        <v>25</v>
      </c>
      <c r="P46" s="98" t="s">
        <v>434</v>
      </c>
      <c r="Q46" s="86"/>
      <c r="R46" s="98" t="s">
        <v>527</v>
      </c>
      <c r="S46" s="98" t="s">
        <v>33</v>
      </c>
      <c r="T46" s="98" t="s">
        <v>528</v>
      </c>
      <c r="U46" s="3" t="s">
        <v>536</v>
      </c>
      <c r="V46" s="114">
        <v>46028</v>
      </c>
      <c r="W46" s="114">
        <v>46059</v>
      </c>
      <c r="X46" s="3">
        <f ca="1">W46-TODAY()</f>
        <v>-26</v>
      </c>
      <c r="Y46" s="96" t="str">
        <f ca="1">IF(X46&gt;=60,"Vigente",IF(AND(X46&gt;=1,X46&lt;=59),"Por Vencer","Vencido"))</f>
        <v>Vencido</v>
      </c>
      <c r="Z46" s="96"/>
    </row>
    <row r="47" spans="1:26" ht="37.5" hidden="1" customHeight="1">
      <c r="A47" s="92">
        <v>47</v>
      </c>
      <c r="B47" s="96" t="s">
        <v>18</v>
      </c>
      <c r="C47" s="96" t="s">
        <v>597</v>
      </c>
      <c r="D47" s="96">
        <v>5566416</v>
      </c>
      <c r="E47" s="96">
        <v>1</v>
      </c>
      <c r="F47" s="100">
        <v>78</v>
      </c>
      <c r="G47" s="97" t="s">
        <v>20</v>
      </c>
      <c r="H47" s="96" t="s">
        <v>50</v>
      </c>
      <c r="I47" s="95">
        <v>2022</v>
      </c>
      <c r="J47" s="107">
        <v>44802</v>
      </c>
      <c r="K47" s="96" t="s">
        <v>18</v>
      </c>
      <c r="L47" s="96" t="s">
        <v>23</v>
      </c>
      <c r="M47" s="107">
        <v>44636</v>
      </c>
      <c r="N47" s="96" t="s">
        <v>539</v>
      </c>
      <c r="O47" s="96" t="s">
        <v>42</v>
      </c>
      <c r="P47" s="96" t="s">
        <v>526</v>
      </c>
      <c r="Q47" s="82"/>
      <c r="R47" s="96" t="s">
        <v>517</v>
      </c>
      <c r="S47" s="96" t="s">
        <v>33</v>
      </c>
      <c r="T47" s="96" t="s">
        <v>518</v>
      </c>
      <c r="U47" s="95" t="s">
        <v>519</v>
      </c>
      <c r="V47" s="108">
        <v>45699</v>
      </c>
      <c r="W47" s="107">
        <v>45788</v>
      </c>
      <c r="X47" s="96">
        <f ca="1">W47-TODAY()</f>
        <v>-297</v>
      </c>
      <c r="Y47" s="96" t="str">
        <f ca="1">IF(X47&gt;=60,"Vigente",IF(AND(X47&gt;=1,X47&lt;=59),"Por Vencer","Vencido"))</f>
        <v>Vencido</v>
      </c>
      <c r="Z47" s="119" t="s">
        <v>598</v>
      </c>
    </row>
    <row r="48" spans="1:26" hidden="1">
      <c r="A48" s="92">
        <v>48</v>
      </c>
      <c r="B48" s="96" t="s">
        <v>18</v>
      </c>
      <c r="C48" s="96" t="s">
        <v>599</v>
      </c>
      <c r="D48" s="96">
        <v>16110939</v>
      </c>
      <c r="E48" s="96">
        <v>8</v>
      </c>
      <c r="F48" s="100">
        <v>38</v>
      </c>
      <c r="G48" s="3" t="s">
        <v>30</v>
      </c>
      <c r="H48" s="96" t="s">
        <v>50</v>
      </c>
      <c r="I48" s="100">
        <v>2021</v>
      </c>
      <c r="J48" s="107">
        <v>44382</v>
      </c>
      <c r="K48" s="96" t="s">
        <v>18</v>
      </c>
      <c r="L48" s="96" t="s">
        <v>23</v>
      </c>
      <c r="M48" s="107">
        <v>44399</v>
      </c>
      <c r="N48" s="96" t="s">
        <v>539</v>
      </c>
      <c r="O48" s="96" t="s">
        <v>42</v>
      </c>
      <c r="P48" s="96" t="s">
        <v>526</v>
      </c>
      <c r="Q48" s="82"/>
      <c r="R48" s="96" t="s">
        <v>517</v>
      </c>
      <c r="S48" s="96" t="s">
        <v>33</v>
      </c>
      <c r="T48" s="96" t="s">
        <v>518</v>
      </c>
      <c r="U48" s="95" t="s">
        <v>519</v>
      </c>
      <c r="V48" s="108">
        <v>45699</v>
      </c>
      <c r="W48" s="107">
        <v>45788</v>
      </c>
      <c r="X48" s="96">
        <f ca="1">W48-TODAY()</f>
        <v>-297</v>
      </c>
      <c r="Y48" s="96" t="str">
        <f ca="1">IF(X48&gt;=60,"Vigente",IF(AND(X48&gt;=1,X48&lt;=59),"Por Vencer","Vencido"))</f>
        <v>Vencido</v>
      </c>
      <c r="Z48" s="96"/>
    </row>
    <row r="49" spans="1:26" ht="35.25" hidden="1" customHeight="1">
      <c r="A49" s="92">
        <v>49</v>
      </c>
      <c r="B49" s="96" t="s">
        <v>28</v>
      </c>
      <c r="C49" s="3" t="s">
        <v>600</v>
      </c>
      <c r="D49" s="3">
        <v>13975654</v>
      </c>
      <c r="E49" s="3">
        <v>1</v>
      </c>
      <c r="F49" s="3">
        <v>44</v>
      </c>
      <c r="G49" s="97" t="s">
        <v>20</v>
      </c>
      <c r="H49" s="95" t="s">
        <v>300</v>
      </c>
      <c r="I49" s="3">
        <v>2019</v>
      </c>
      <c r="J49" s="109">
        <v>43517</v>
      </c>
      <c r="K49" s="3" t="s">
        <v>33</v>
      </c>
      <c r="L49" s="3" t="s">
        <v>23</v>
      </c>
      <c r="M49" s="3" t="s">
        <v>33</v>
      </c>
      <c r="N49" s="3" t="s">
        <v>33</v>
      </c>
      <c r="O49" s="95" t="s">
        <v>25</v>
      </c>
      <c r="P49" s="96" t="s">
        <v>434</v>
      </c>
      <c r="Q49" s="2"/>
      <c r="R49" s="96" t="s">
        <v>522</v>
      </c>
      <c r="S49" s="96" t="s">
        <v>33</v>
      </c>
      <c r="T49" s="96" t="s">
        <v>523</v>
      </c>
      <c r="U49" s="3" t="s">
        <v>524</v>
      </c>
      <c r="V49" s="109">
        <v>46028</v>
      </c>
      <c r="W49" s="109">
        <v>46209</v>
      </c>
      <c r="X49" s="3">
        <f ca="1">W49-TODAY()</f>
        <v>124</v>
      </c>
      <c r="Y49" s="96" t="str">
        <f ca="1">IF(X49&gt;=60,"Vigente",IF(AND(X49&gt;=1,X49&lt;=59),"Por Vencer","Vencido"))</f>
        <v>Vigente</v>
      </c>
      <c r="Z49" s="96"/>
    </row>
    <row r="50" spans="1:26" ht="33.75" hidden="1" customHeight="1">
      <c r="A50" s="92">
        <v>50</v>
      </c>
      <c r="B50" s="96" t="s">
        <v>28</v>
      </c>
      <c r="C50" s="96" t="s">
        <v>601</v>
      </c>
      <c r="D50" s="96">
        <v>11937416</v>
      </c>
      <c r="E50" s="96">
        <v>2</v>
      </c>
      <c r="F50" s="96">
        <v>52</v>
      </c>
      <c r="G50" s="97" t="s">
        <v>20</v>
      </c>
      <c r="H50" s="95" t="s">
        <v>300</v>
      </c>
      <c r="I50" s="95">
        <v>2023</v>
      </c>
      <c r="J50" s="107">
        <v>45197</v>
      </c>
      <c r="K50" s="96" t="s">
        <v>83</v>
      </c>
      <c r="L50" s="97" t="s">
        <v>84</v>
      </c>
      <c r="M50" s="97" t="s">
        <v>33</v>
      </c>
      <c r="N50" s="97" t="s">
        <v>33</v>
      </c>
      <c r="O50" s="95" t="s">
        <v>25</v>
      </c>
      <c r="P50" s="96" t="s">
        <v>434</v>
      </c>
      <c r="Q50" s="82"/>
      <c r="R50" s="96" t="s">
        <v>531</v>
      </c>
      <c r="S50" s="96" t="s">
        <v>535</v>
      </c>
      <c r="T50" s="96" t="s">
        <v>518</v>
      </c>
      <c r="U50" s="96" t="s">
        <v>536</v>
      </c>
      <c r="V50" s="107">
        <v>45951</v>
      </c>
      <c r="W50" s="107">
        <v>46043</v>
      </c>
      <c r="X50" s="96">
        <f ca="1">W50-TODAY()</f>
        <v>-42</v>
      </c>
      <c r="Y50" s="96" t="str">
        <f ca="1">IF(X50&gt;=60,"Vigente",IF(AND(X50&gt;=1,X50&lt;=59),"Por Vencer","Vencido"))</f>
        <v>Vencido</v>
      </c>
      <c r="Z50" s="96" t="s">
        <v>602</v>
      </c>
    </row>
    <row r="51" spans="1:26" hidden="1">
      <c r="A51" s="92">
        <v>51</v>
      </c>
      <c r="B51" s="96" t="s">
        <v>28</v>
      </c>
      <c r="C51" s="96" t="s">
        <v>603</v>
      </c>
      <c r="D51" s="96">
        <v>5143385</v>
      </c>
      <c r="E51" s="96">
        <v>8</v>
      </c>
      <c r="F51" s="96">
        <v>79</v>
      </c>
      <c r="G51" s="97" t="s">
        <v>20</v>
      </c>
      <c r="H51" s="95" t="s">
        <v>458</v>
      </c>
      <c r="I51" s="96">
        <v>2025</v>
      </c>
      <c r="J51" s="107">
        <v>45785</v>
      </c>
      <c r="K51" s="96" t="s">
        <v>83</v>
      </c>
      <c r="L51" s="97" t="s">
        <v>84</v>
      </c>
      <c r="M51" s="110">
        <v>45785</v>
      </c>
      <c r="N51" s="97" t="s">
        <v>459</v>
      </c>
      <c r="O51" s="96" t="s">
        <v>42</v>
      </c>
      <c r="P51" s="96" t="s">
        <v>526</v>
      </c>
      <c r="Q51" s="82"/>
      <c r="R51" s="96" t="s">
        <v>517</v>
      </c>
      <c r="S51" s="96" t="s">
        <v>33</v>
      </c>
      <c r="T51" s="96" t="s">
        <v>518</v>
      </c>
      <c r="U51" s="95" t="s">
        <v>519</v>
      </c>
      <c r="V51" s="107">
        <v>46029</v>
      </c>
      <c r="W51" s="107">
        <v>46119</v>
      </c>
      <c r="X51" s="96">
        <f ca="1">W51-TODAY()</f>
        <v>34</v>
      </c>
      <c r="Y51" s="96" t="str">
        <f ca="1">IF(X51&gt;=60,"Vigente",IF(AND(X51&gt;=1,X51&lt;=59),"Por Vencer","Vencido"))</f>
        <v>Por Vencer</v>
      </c>
      <c r="Z51" s="96"/>
    </row>
    <row r="52" spans="1:26" hidden="1">
      <c r="A52" s="92">
        <v>52</v>
      </c>
      <c r="B52" s="96" t="s">
        <v>18</v>
      </c>
      <c r="C52" s="95" t="s">
        <v>604</v>
      </c>
      <c r="D52" s="95">
        <v>11512594</v>
      </c>
      <c r="E52" s="95" t="s">
        <v>45</v>
      </c>
      <c r="F52" s="95">
        <v>54</v>
      </c>
      <c r="G52" s="97" t="s">
        <v>20</v>
      </c>
      <c r="H52" s="96" t="s">
        <v>418</v>
      </c>
      <c r="I52" s="95">
        <v>2022</v>
      </c>
      <c r="J52" s="108">
        <v>44736</v>
      </c>
      <c r="K52" s="96" t="s">
        <v>83</v>
      </c>
      <c r="L52" s="3" t="s">
        <v>23</v>
      </c>
      <c r="M52" s="108">
        <v>45036</v>
      </c>
      <c r="N52" s="95" t="s">
        <v>585</v>
      </c>
      <c r="O52" s="95" t="s">
        <v>25</v>
      </c>
      <c r="P52" s="96" t="s">
        <v>526</v>
      </c>
      <c r="Q52" s="84"/>
      <c r="R52" s="96" t="s">
        <v>531</v>
      </c>
      <c r="S52" s="96" t="s">
        <v>33</v>
      </c>
      <c r="T52" s="96" t="s">
        <v>518</v>
      </c>
      <c r="U52" s="108" t="s">
        <v>524</v>
      </c>
      <c r="V52" s="108">
        <v>45926</v>
      </c>
      <c r="W52" s="108">
        <v>46017</v>
      </c>
      <c r="X52" s="96">
        <f ca="1">W52-TODAY()</f>
        <v>-68</v>
      </c>
      <c r="Y52" s="96" t="str">
        <f ca="1">IF(X52&gt;=60,"Vigente",IF(AND(X52&gt;=1,X52&lt;=59),"Por Vencer","Vencido"))</f>
        <v>Vencido</v>
      </c>
      <c r="Z52" s="96"/>
    </row>
    <row r="53" spans="1:26" hidden="1">
      <c r="A53" s="92">
        <v>53</v>
      </c>
      <c r="B53" s="96" t="s">
        <v>18</v>
      </c>
      <c r="C53" s="96" t="s">
        <v>605</v>
      </c>
      <c r="D53" s="96">
        <v>18149233</v>
      </c>
      <c r="E53" s="96">
        <v>3</v>
      </c>
      <c r="F53" s="96">
        <v>31</v>
      </c>
      <c r="G53" s="3" t="s">
        <v>63</v>
      </c>
      <c r="H53" s="96" t="s">
        <v>50</v>
      </c>
      <c r="I53" s="95">
        <v>2023</v>
      </c>
      <c r="J53" s="107">
        <v>45012</v>
      </c>
      <c r="K53" s="96" t="s">
        <v>18</v>
      </c>
      <c r="L53" s="95" t="s">
        <v>23</v>
      </c>
      <c r="M53" s="107">
        <v>45078</v>
      </c>
      <c r="N53" s="96" t="s">
        <v>539</v>
      </c>
      <c r="O53" s="96" t="s">
        <v>42</v>
      </c>
      <c r="P53" s="96" t="s">
        <v>526</v>
      </c>
      <c r="Q53" s="82"/>
      <c r="R53" s="96" t="s">
        <v>517</v>
      </c>
      <c r="S53" s="96" t="s">
        <v>33</v>
      </c>
      <c r="T53" s="96" t="s">
        <v>518</v>
      </c>
      <c r="U53" s="95" t="s">
        <v>519</v>
      </c>
      <c r="V53" s="108">
        <v>45707</v>
      </c>
      <c r="W53" s="107">
        <v>45796</v>
      </c>
      <c r="X53" s="96">
        <f ca="1">W53-TODAY()</f>
        <v>-289</v>
      </c>
      <c r="Y53" s="96" t="str">
        <f ca="1">IF(X53&gt;=60,"Vigente",IF(AND(X53&gt;=1,X53&lt;=59),"Por Vencer","Vencido"))</f>
        <v>Vencido</v>
      </c>
      <c r="Z53" s="96"/>
    </row>
    <row r="54" spans="1:26" ht="33.75" hidden="1" customHeight="1">
      <c r="A54" s="92">
        <v>54</v>
      </c>
      <c r="B54" s="96" t="s">
        <v>18</v>
      </c>
      <c r="C54" s="96" t="s">
        <v>606</v>
      </c>
      <c r="D54" s="96">
        <v>6579071</v>
      </c>
      <c r="E54" s="96">
        <v>8</v>
      </c>
      <c r="F54" s="100">
        <v>78</v>
      </c>
      <c r="G54" s="97" t="s">
        <v>20</v>
      </c>
      <c r="H54" s="96" t="s">
        <v>50</v>
      </c>
      <c r="I54" s="95">
        <v>2022</v>
      </c>
      <c r="J54" s="107">
        <v>44831</v>
      </c>
      <c r="K54" s="96" t="s">
        <v>83</v>
      </c>
      <c r="L54" s="3" t="s">
        <v>84</v>
      </c>
      <c r="M54" s="107">
        <v>44917</v>
      </c>
      <c r="N54" s="96" t="s">
        <v>607</v>
      </c>
      <c r="O54" s="96" t="s">
        <v>42</v>
      </c>
      <c r="P54" s="96" t="s">
        <v>526</v>
      </c>
      <c r="Q54" s="82"/>
      <c r="R54" s="96" t="s">
        <v>517</v>
      </c>
      <c r="S54" s="96" t="s">
        <v>33</v>
      </c>
      <c r="T54" s="96" t="s">
        <v>518</v>
      </c>
      <c r="U54" s="95" t="s">
        <v>519</v>
      </c>
      <c r="V54" s="108">
        <v>45840</v>
      </c>
      <c r="W54" s="107">
        <v>45932</v>
      </c>
      <c r="X54" s="96">
        <f ca="1">W54-TODAY()</f>
        <v>-153</v>
      </c>
      <c r="Y54" s="96" t="str">
        <f ca="1">IF(X54&gt;=60,"Vigente",IF(AND(X54&gt;=1,X54&lt;=59),"Por Vencer","Vencido"))</f>
        <v>Vencido</v>
      </c>
      <c r="Z54" s="96"/>
    </row>
    <row r="55" spans="1:26" ht="37.5" hidden="1">
      <c r="A55" s="92">
        <v>55</v>
      </c>
      <c r="B55" s="96" t="s">
        <v>18</v>
      </c>
      <c r="C55" s="3" t="s">
        <v>608</v>
      </c>
      <c r="D55" s="3">
        <v>6915077</v>
      </c>
      <c r="E55" s="3">
        <v>2</v>
      </c>
      <c r="F55" s="3">
        <v>70</v>
      </c>
      <c r="G55" s="97" t="s">
        <v>20</v>
      </c>
      <c r="H55" s="96" t="s">
        <v>46</v>
      </c>
      <c r="I55" s="3">
        <v>2025</v>
      </c>
      <c r="J55" s="109">
        <v>45785</v>
      </c>
      <c r="K55" s="3" t="s">
        <v>83</v>
      </c>
      <c r="L55" s="3" t="s">
        <v>84</v>
      </c>
      <c r="M55" s="109">
        <v>45792</v>
      </c>
      <c r="N55" s="96" t="s">
        <v>609</v>
      </c>
      <c r="O55" s="96" t="s">
        <v>42</v>
      </c>
      <c r="P55" s="96" t="s">
        <v>526</v>
      </c>
      <c r="Q55" s="2"/>
      <c r="R55" s="96" t="s">
        <v>517</v>
      </c>
      <c r="S55" s="96" t="s">
        <v>33</v>
      </c>
      <c r="T55" s="96" t="s">
        <v>518</v>
      </c>
      <c r="U55" s="95" t="s">
        <v>519</v>
      </c>
      <c r="V55" s="109">
        <v>45792</v>
      </c>
      <c r="W55" s="109">
        <v>45884</v>
      </c>
      <c r="X55" s="3">
        <f ca="1">W55-TODAY()</f>
        <v>-201</v>
      </c>
      <c r="Y55" s="96" t="str">
        <f ca="1">IF(X55&gt;=60,"Vigente",IF(AND(X55&gt;=1,X55&lt;=59),"Por Vencer","Vencido"))</f>
        <v>Vencido</v>
      </c>
      <c r="Z55" s="96"/>
    </row>
    <row r="56" spans="1:26" hidden="1">
      <c r="A56" s="92">
        <v>56</v>
      </c>
      <c r="B56" s="96" t="s">
        <v>18</v>
      </c>
      <c r="C56" s="95" t="s">
        <v>610</v>
      </c>
      <c r="D56" s="95">
        <v>5332334</v>
      </c>
      <c r="E56" s="95">
        <v>0</v>
      </c>
      <c r="F56" s="95">
        <v>75</v>
      </c>
      <c r="G56" s="97" t="s">
        <v>20</v>
      </c>
      <c r="H56" s="95" t="s">
        <v>59</v>
      </c>
      <c r="I56" s="95">
        <v>2022</v>
      </c>
      <c r="J56" s="108">
        <v>44802</v>
      </c>
      <c r="K56" s="96" t="s">
        <v>18</v>
      </c>
      <c r="L56" s="97" t="s">
        <v>84</v>
      </c>
      <c r="M56" s="108">
        <v>44812</v>
      </c>
      <c r="N56" s="96" t="s">
        <v>611</v>
      </c>
      <c r="O56" s="95" t="s">
        <v>25</v>
      </c>
      <c r="P56" s="96" t="s">
        <v>434</v>
      </c>
      <c r="Q56" s="84"/>
      <c r="R56" s="96" t="s">
        <v>531</v>
      </c>
      <c r="S56" s="96" t="s">
        <v>612</v>
      </c>
      <c r="T56" s="96" t="s">
        <v>518</v>
      </c>
      <c r="U56" s="108" t="s">
        <v>524</v>
      </c>
      <c r="V56" s="108">
        <v>46009</v>
      </c>
      <c r="W56" s="108">
        <v>46099</v>
      </c>
      <c r="X56" s="96">
        <f ca="1">W56-TODAY()</f>
        <v>14</v>
      </c>
      <c r="Y56" s="96" t="str">
        <f ca="1">IF(X56&gt;=60,"Vigente",IF(AND(X56&gt;=1,X56&lt;=59),"Por Vencer","Vencido"))</f>
        <v>Por Vencer</v>
      </c>
      <c r="Z56" s="96"/>
    </row>
    <row r="57" spans="1:26" ht="57" hidden="1" customHeight="1">
      <c r="A57" s="92">
        <v>57</v>
      </c>
      <c r="B57" s="96" t="s">
        <v>28</v>
      </c>
      <c r="C57" s="96" t="s">
        <v>613</v>
      </c>
      <c r="D57" s="96">
        <v>9859261</v>
      </c>
      <c r="E57" s="96" t="s">
        <v>45</v>
      </c>
      <c r="F57" s="96">
        <v>61</v>
      </c>
      <c r="G57" s="97" t="s">
        <v>20</v>
      </c>
      <c r="H57" s="96" t="s">
        <v>431</v>
      </c>
      <c r="I57" s="96" t="s">
        <v>33</v>
      </c>
      <c r="J57" s="96" t="s">
        <v>33</v>
      </c>
      <c r="K57" s="96" t="s">
        <v>33</v>
      </c>
      <c r="L57" s="3" t="s">
        <v>23</v>
      </c>
      <c r="M57" s="97" t="s">
        <v>33</v>
      </c>
      <c r="N57" s="97" t="s">
        <v>33</v>
      </c>
      <c r="O57" s="95" t="s">
        <v>25</v>
      </c>
      <c r="P57" s="96" t="s">
        <v>434</v>
      </c>
      <c r="Q57" s="82"/>
      <c r="R57" s="96" t="s">
        <v>527</v>
      </c>
      <c r="S57" s="96" t="s">
        <v>33</v>
      </c>
      <c r="T57" s="96" t="s">
        <v>528</v>
      </c>
      <c r="U57" s="96" t="s">
        <v>524</v>
      </c>
      <c r="V57" s="107">
        <v>46078</v>
      </c>
      <c r="W57" s="107">
        <v>46106</v>
      </c>
      <c r="X57" s="96">
        <f ca="1">W57-TODAY()</f>
        <v>21</v>
      </c>
      <c r="Y57" s="96" t="str">
        <f ca="1">IF(X57&gt;=60,"Vigente",IF(AND(X57&gt;=1,X57&lt;=59),"Por Vencer","Vencido"))</f>
        <v>Por Vencer</v>
      </c>
      <c r="Z57" s="96"/>
    </row>
    <row r="58" spans="1:26" ht="37.5" hidden="1">
      <c r="A58" s="92">
        <v>58</v>
      </c>
      <c r="B58" s="96" t="s">
        <v>28</v>
      </c>
      <c r="C58" s="3" t="s">
        <v>614</v>
      </c>
      <c r="D58" s="3">
        <v>6397207</v>
      </c>
      <c r="E58" s="3" t="s">
        <v>45</v>
      </c>
      <c r="F58" s="3">
        <v>75</v>
      </c>
      <c r="G58" s="97" t="s">
        <v>20</v>
      </c>
      <c r="H58" s="96" t="s">
        <v>431</v>
      </c>
      <c r="I58" s="3" t="s">
        <v>33</v>
      </c>
      <c r="J58" s="3" t="s">
        <v>33</v>
      </c>
      <c r="K58" s="3" t="s">
        <v>33</v>
      </c>
      <c r="L58" s="3" t="s">
        <v>51</v>
      </c>
      <c r="M58" s="3" t="s">
        <v>33</v>
      </c>
      <c r="N58" s="3" t="s">
        <v>33</v>
      </c>
      <c r="O58" s="95" t="s">
        <v>25</v>
      </c>
      <c r="P58" s="96" t="s">
        <v>434</v>
      </c>
      <c r="Q58" s="2"/>
      <c r="R58" s="96" t="s">
        <v>522</v>
      </c>
      <c r="S58" s="96" t="s">
        <v>33</v>
      </c>
      <c r="T58" s="3" t="s">
        <v>523</v>
      </c>
      <c r="U58" s="3" t="s">
        <v>524</v>
      </c>
      <c r="V58" s="109">
        <v>45874</v>
      </c>
      <c r="W58" s="109">
        <v>46058</v>
      </c>
      <c r="X58" s="3">
        <f ca="1">W58-TODAY()</f>
        <v>-27</v>
      </c>
      <c r="Y58" s="96" t="str">
        <f ca="1">IF(X58&gt;=60,"Vigente",IF(AND(X58&gt;=1,X58&lt;=59),"Por Vencer","Vencido"))</f>
        <v>Vencido</v>
      </c>
      <c r="Z58" s="96"/>
    </row>
    <row r="59" spans="1:26" ht="37.5" hidden="1">
      <c r="A59" s="92">
        <v>59</v>
      </c>
      <c r="B59" s="96" t="s">
        <v>18</v>
      </c>
      <c r="C59" s="3" t="s">
        <v>615</v>
      </c>
      <c r="D59" s="3">
        <v>22217875</v>
      </c>
      <c r="E59" s="3">
        <v>4</v>
      </c>
      <c r="F59" s="3">
        <v>19</v>
      </c>
      <c r="G59" s="97" t="s">
        <v>20</v>
      </c>
      <c r="H59" s="96" t="s">
        <v>431</v>
      </c>
      <c r="I59" s="3" t="s">
        <v>33</v>
      </c>
      <c r="J59" s="3" t="s">
        <v>33</v>
      </c>
      <c r="K59" s="96" t="s">
        <v>83</v>
      </c>
      <c r="L59" s="3" t="s">
        <v>51</v>
      </c>
      <c r="M59" s="3" t="s">
        <v>33</v>
      </c>
      <c r="N59" s="3" t="s">
        <v>33</v>
      </c>
      <c r="O59" s="95" t="s">
        <v>25</v>
      </c>
      <c r="P59" s="96" t="s">
        <v>434</v>
      </c>
      <c r="Q59" s="2"/>
      <c r="R59" s="96" t="s">
        <v>531</v>
      </c>
      <c r="S59" s="96" t="s">
        <v>33</v>
      </c>
      <c r="T59" s="96" t="s">
        <v>518</v>
      </c>
      <c r="U59" s="95" t="s">
        <v>536</v>
      </c>
      <c r="V59" s="109">
        <v>46036</v>
      </c>
      <c r="W59" s="109">
        <v>46126</v>
      </c>
      <c r="X59" s="3">
        <f ca="1">W59-TODAY()</f>
        <v>41</v>
      </c>
      <c r="Y59" s="96" t="str">
        <f ca="1">IF(X59&gt;=60,"Vigente",IF(AND(X59&gt;=1,X59&lt;=59),"Por Vencer","Vencido"))</f>
        <v>Por Vencer</v>
      </c>
      <c r="Z59" s="96"/>
    </row>
    <row r="60" spans="1:26" s="2" customFormat="1" ht="37.5" hidden="1">
      <c r="A60" s="92">
        <v>60</v>
      </c>
      <c r="B60" s="96" t="s">
        <v>28</v>
      </c>
      <c r="C60" s="121" t="s">
        <v>616</v>
      </c>
      <c r="D60" s="3">
        <v>7496735</v>
      </c>
      <c r="E60" s="3">
        <v>3</v>
      </c>
      <c r="F60" s="3">
        <v>67</v>
      </c>
      <c r="G60" s="3" t="s">
        <v>30</v>
      </c>
      <c r="H60" s="96" t="s">
        <v>431</v>
      </c>
      <c r="I60" s="3" t="s">
        <v>33</v>
      </c>
      <c r="J60" s="3" t="s">
        <v>33</v>
      </c>
      <c r="K60" s="96" t="s">
        <v>83</v>
      </c>
      <c r="L60" s="3" t="s">
        <v>51</v>
      </c>
      <c r="M60" s="3" t="s">
        <v>33</v>
      </c>
      <c r="N60" s="3" t="s">
        <v>33</v>
      </c>
      <c r="O60" s="95" t="s">
        <v>25</v>
      </c>
      <c r="P60" s="96" t="s">
        <v>526</v>
      </c>
      <c r="R60" s="96" t="s">
        <v>527</v>
      </c>
      <c r="S60" s="96" t="s">
        <v>33</v>
      </c>
      <c r="T60" s="96" t="s">
        <v>528</v>
      </c>
      <c r="U60" s="95" t="s">
        <v>536</v>
      </c>
      <c r="V60" s="109">
        <v>45925</v>
      </c>
      <c r="W60" s="109">
        <v>45955</v>
      </c>
      <c r="X60" s="3">
        <f ca="1">W60-TODAY()</f>
        <v>-130</v>
      </c>
      <c r="Y60" s="96" t="str">
        <f ca="1">IF(X60&gt;=60,"Vigente",IF(AND(X60&gt;=1,X60&lt;=59),"Por Vencer","Vencido"))</f>
        <v>Vencido</v>
      </c>
      <c r="Z60" s="96"/>
    </row>
    <row r="61" spans="1:26" ht="36.75" hidden="1" customHeight="1">
      <c r="A61" s="92">
        <v>61</v>
      </c>
      <c r="B61" s="96" t="s">
        <v>28</v>
      </c>
      <c r="C61" s="3" t="s">
        <v>617</v>
      </c>
      <c r="D61" s="3">
        <v>7117469</v>
      </c>
      <c r="E61" s="3">
        <v>7</v>
      </c>
      <c r="F61" s="3">
        <v>72</v>
      </c>
      <c r="G61" s="97" t="s">
        <v>20</v>
      </c>
      <c r="H61" s="96" t="s">
        <v>431</v>
      </c>
      <c r="I61" s="3" t="s">
        <v>33</v>
      </c>
      <c r="J61" s="3" t="s">
        <v>33</v>
      </c>
      <c r="K61" s="3" t="s">
        <v>33</v>
      </c>
      <c r="L61" s="3" t="s">
        <v>51</v>
      </c>
      <c r="M61" s="3" t="s">
        <v>33</v>
      </c>
      <c r="N61" s="3" t="s">
        <v>33</v>
      </c>
      <c r="O61" s="95" t="s">
        <v>25</v>
      </c>
      <c r="P61" s="96" t="s">
        <v>526</v>
      </c>
      <c r="Q61" s="2"/>
      <c r="R61" s="96" t="s">
        <v>531</v>
      </c>
      <c r="S61" s="96" t="s">
        <v>33</v>
      </c>
      <c r="T61" s="96" t="s">
        <v>518</v>
      </c>
      <c r="U61" s="3" t="s">
        <v>524</v>
      </c>
      <c r="V61" s="109">
        <v>45797</v>
      </c>
      <c r="W61" s="109">
        <v>45889</v>
      </c>
      <c r="X61" s="3">
        <f ca="1">W61-TODAY()</f>
        <v>-196</v>
      </c>
      <c r="Y61" s="96" t="str">
        <f ca="1">IF(X61&gt;=60,"Vigente",IF(AND(X61&gt;=1,X61&lt;=59),"Por Vencer","Vencido"))</f>
        <v>Vencido</v>
      </c>
      <c r="Z61" s="96" t="s">
        <v>618</v>
      </c>
    </row>
    <row r="62" spans="1:26" hidden="1">
      <c r="A62" s="92">
        <v>62</v>
      </c>
      <c r="B62" s="96" t="s">
        <v>18</v>
      </c>
      <c r="C62" s="95" t="s">
        <v>619</v>
      </c>
      <c r="D62" s="95">
        <v>5425038</v>
      </c>
      <c r="E62" s="95" t="s">
        <v>45</v>
      </c>
      <c r="F62" s="95">
        <v>81</v>
      </c>
      <c r="G62" s="3" t="s">
        <v>63</v>
      </c>
      <c r="H62" s="96" t="s">
        <v>418</v>
      </c>
      <c r="I62" s="95">
        <v>2021</v>
      </c>
      <c r="J62" s="95">
        <v>2021</v>
      </c>
      <c r="K62" s="96" t="s">
        <v>18</v>
      </c>
      <c r="L62" s="97" t="s">
        <v>84</v>
      </c>
      <c r="M62" s="108">
        <v>44567</v>
      </c>
      <c r="N62" s="95" t="s">
        <v>620</v>
      </c>
      <c r="O62" s="95" t="s">
        <v>25</v>
      </c>
      <c r="P62" s="96" t="s">
        <v>434</v>
      </c>
      <c r="Q62" s="84"/>
      <c r="R62" s="96" t="s">
        <v>531</v>
      </c>
      <c r="S62" s="95" t="s">
        <v>620</v>
      </c>
      <c r="T62" s="96" t="s">
        <v>518</v>
      </c>
      <c r="U62" s="108" t="s">
        <v>524</v>
      </c>
      <c r="V62" s="108">
        <v>45996</v>
      </c>
      <c r="W62" s="108">
        <v>46086</v>
      </c>
      <c r="X62" s="96">
        <f ca="1">W62-TODAY()</f>
        <v>1</v>
      </c>
      <c r="Y62" s="96" t="str">
        <f ca="1">IF(X62&gt;=60,"Vigente",IF(AND(X62&gt;=1,X62&lt;=59),"Por Vencer","Vencido"))</f>
        <v>Por Vencer</v>
      </c>
      <c r="Z62" s="96"/>
    </row>
    <row r="63" spans="1:26" ht="39" hidden="1" customHeight="1">
      <c r="A63" s="92">
        <v>63</v>
      </c>
      <c r="B63" s="96" t="s">
        <v>18</v>
      </c>
      <c r="C63" s="96" t="s">
        <v>621</v>
      </c>
      <c r="D63" s="96">
        <v>5021024</v>
      </c>
      <c r="E63" s="96">
        <v>3</v>
      </c>
      <c r="F63" s="96">
        <v>79</v>
      </c>
      <c r="G63" s="97" t="s">
        <v>20</v>
      </c>
      <c r="H63" s="95" t="s">
        <v>59</v>
      </c>
      <c r="I63" s="96" t="s">
        <v>33</v>
      </c>
      <c r="J63" s="96" t="s">
        <v>33</v>
      </c>
      <c r="K63" s="96" t="s">
        <v>18</v>
      </c>
      <c r="L63" s="97" t="s">
        <v>84</v>
      </c>
      <c r="M63" s="107">
        <v>44392</v>
      </c>
      <c r="N63" s="96" t="s">
        <v>622</v>
      </c>
      <c r="O63" s="95" t="s">
        <v>25</v>
      </c>
      <c r="P63" s="96" t="s">
        <v>434</v>
      </c>
      <c r="Q63" s="82"/>
      <c r="R63" s="96" t="s">
        <v>531</v>
      </c>
      <c r="S63" s="96" t="s">
        <v>612</v>
      </c>
      <c r="T63" s="96" t="s">
        <v>518</v>
      </c>
      <c r="U63" s="108" t="s">
        <v>524</v>
      </c>
      <c r="V63" s="108">
        <v>46037</v>
      </c>
      <c r="W63" s="107">
        <v>46127</v>
      </c>
      <c r="X63" s="96">
        <f ca="1">W63-TODAY()</f>
        <v>42</v>
      </c>
      <c r="Y63" s="96" t="str">
        <f ca="1">IF(X63&gt;=60,"Vigente",IF(AND(X63&gt;=1,X63&lt;=59),"Por Vencer","Vencido"))</f>
        <v>Por Vencer</v>
      </c>
      <c r="Z63" s="96"/>
    </row>
    <row r="64" spans="1:26" ht="37.5" hidden="1">
      <c r="A64" s="92">
        <v>64</v>
      </c>
      <c r="B64" s="96" t="s">
        <v>28</v>
      </c>
      <c r="C64" s="96" t="s">
        <v>623</v>
      </c>
      <c r="D64" s="96">
        <v>3072735</v>
      </c>
      <c r="E64" s="96">
        <v>5</v>
      </c>
      <c r="F64" s="96">
        <v>93</v>
      </c>
      <c r="G64" s="97" t="s">
        <v>20</v>
      </c>
      <c r="H64" s="95" t="s">
        <v>300</v>
      </c>
      <c r="I64" s="95">
        <v>2022</v>
      </c>
      <c r="J64" s="107">
        <v>44606</v>
      </c>
      <c r="K64" s="96" t="s">
        <v>83</v>
      </c>
      <c r="L64" s="97" t="s">
        <v>84</v>
      </c>
      <c r="M64" s="97" t="s">
        <v>33</v>
      </c>
      <c r="N64" s="97" t="s">
        <v>33</v>
      </c>
      <c r="O64" s="95" t="s">
        <v>25</v>
      </c>
      <c r="P64" s="96" t="s">
        <v>434</v>
      </c>
      <c r="Q64" s="82"/>
      <c r="R64" s="95" t="s">
        <v>570</v>
      </c>
      <c r="S64" s="96" t="s">
        <v>535</v>
      </c>
      <c r="T64" s="96" t="s">
        <v>571</v>
      </c>
      <c r="U64" s="96" t="s">
        <v>524</v>
      </c>
      <c r="V64" s="107">
        <v>46009</v>
      </c>
      <c r="W64" s="107">
        <v>46130</v>
      </c>
      <c r="X64" s="96">
        <f ca="1">W64-TODAY()</f>
        <v>45</v>
      </c>
      <c r="Y64" s="96" t="str">
        <f ca="1">IF(X64&gt;=60,"Vigente",IF(AND(X64&gt;=1,X64&lt;=59),"Por Vencer","Vencido"))</f>
        <v>Por Vencer</v>
      </c>
      <c r="Z64" s="96"/>
    </row>
    <row r="65" spans="1:26" ht="38.25" hidden="1" customHeight="1">
      <c r="A65" s="92">
        <v>65</v>
      </c>
      <c r="B65" s="96" t="s">
        <v>18</v>
      </c>
      <c r="C65" s="96" t="s">
        <v>624</v>
      </c>
      <c r="D65" s="96">
        <v>6911288</v>
      </c>
      <c r="E65" s="96">
        <v>9</v>
      </c>
      <c r="F65" s="100">
        <v>74</v>
      </c>
      <c r="G65" s="97" t="s">
        <v>20</v>
      </c>
      <c r="H65" s="96" t="s">
        <v>50</v>
      </c>
      <c r="I65" s="100">
        <v>2021</v>
      </c>
      <c r="J65" s="107">
        <v>44384</v>
      </c>
      <c r="K65" s="96" t="s">
        <v>18</v>
      </c>
      <c r="L65" s="3" t="s">
        <v>84</v>
      </c>
      <c r="M65" s="97" t="s">
        <v>533</v>
      </c>
      <c r="N65" s="97" t="s">
        <v>533</v>
      </c>
      <c r="O65" s="96" t="s">
        <v>42</v>
      </c>
      <c r="P65" s="96" t="s">
        <v>526</v>
      </c>
      <c r="Q65" s="82"/>
      <c r="R65" s="96" t="s">
        <v>517</v>
      </c>
      <c r="S65" s="96" t="s">
        <v>33</v>
      </c>
      <c r="T65" s="96" t="s">
        <v>518</v>
      </c>
      <c r="U65" s="95" t="s">
        <v>519</v>
      </c>
      <c r="V65" s="107"/>
      <c r="W65" s="107">
        <v>45746</v>
      </c>
      <c r="X65" s="96">
        <f ca="1">W65-TODAY()</f>
        <v>-339</v>
      </c>
      <c r="Y65" s="96" t="str">
        <f ca="1">IF(X65&gt;=60,"Vigente",IF(AND(X65&gt;=1,X65&lt;=59),"Por Vencer","Vencido"))</f>
        <v>Vencido</v>
      </c>
      <c r="Z65" s="96" t="s">
        <v>625</v>
      </c>
    </row>
    <row r="66" spans="1:26" ht="37.5" hidden="1">
      <c r="A66" s="92">
        <v>66</v>
      </c>
      <c r="B66" s="96" t="s">
        <v>28</v>
      </c>
      <c r="C66" s="3" t="s">
        <v>626</v>
      </c>
      <c r="D66" s="98">
        <v>6436487</v>
      </c>
      <c r="E66" s="98">
        <v>1</v>
      </c>
      <c r="F66" s="98">
        <v>74</v>
      </c>
      <c r="G66" s="97" t="s">
        <v>20</v>
      </c>
      <c r="H66" s="97" t="s">
        <v>431</v>
      </c>
      <c r="I66" s="98" t="s">
        <v>33</v>
      </c>
      <c r="J66" s="98" t="s">
        <v>33</v>
      </c>
      <c r="K66" s="98" t="s">
        <v>33</v>
      </c>
      <c r="L66" s="98" t="s">
        <v>51</v>
      </c>
      <c r="M66" s="98" t="s">
        <v>33</v>
      </c>
      <c r="N66" s="98" t="s">
        <v>33</v>
      </c>
      <c r="O66" s="95" t="s">
        <v>25</v>
      </c>
      <c r="P66" s="98" t="s">
        <v>434</v>
      </c>
      <c r="Q66" s="86"/>
      <c r="R66" s="98" t="s">
        <v>527</v>
      </c>
      <c r="S66" s="98" t="s">
        <v>33</v>
      </c>
      <c r="T66" s="98" t="s">
        <v>528</v>
      </c>
      <c r="U66" s="3" t="s">
        <v>536</v>
      </c>
      <c r="V66" s="114">
        <v>46038</v>
      </c>
      <c r="W66" s="114">
        <v>46069</v>
      </c>
      <c r="X66" s="3">
        <f ca="1">W66-TODAY()</f>
        <v>-16</v>
      </c>
      <c r="Y66" s="96" t="str">
        <f ca="1">IF(X66&gt;=60,"Vigente",IF(AND(X66&gt;=1,X66&lt;=59),"Por Vencer","Vencido"))</f>
        <v>Vencido</v>
      </c>
      <c r="Z66" s="96"/>
    </row>
    <row r="67" spans="1:26" ht="20.25" hidden="1" customHeight="1">
      <c r="A67" s="92">
        <v>67</v>
      </c>
      <c r="B67" s="96" t="s">
        <v>18</v>
      </c>
      <c r="C67" s="96" t="s">
        <v>627</v>
      </c>
      <c r="D67" s="96">
        <v>5424175</v>
      </c>
      <c r="E67" s="96">
        <v>5</v>
      </c>
      <c r="F67" s="96">
        <v>78</v>
      </c>
      <c r="G67" s="97" t="s">
        <v>20</v>
      </c>
      <c r="H67" s="96" t="s">
        <v>50</v>
      </c>
      <c r="I67" s="96">
        <v>2024</v>
      </c>
      <c r="J67" s="107">
        <v>45439</v>
      </c>
      <c r="K67" s="96" t="s">
        <v>18</v>
      </c>
      <c r="L67" s="95" t="s">
        <v>23</v>
      </c>
      <c r="M67" s="110">
        <v>45456</v>
      </c>
      <c r="N67" s="96" t="s">
        <v>539</v>
      </c>
      <c r="O67" s="96" t="s">
        <v>42</v>
      </c>
      <c r="P67" s="96" t="s">
        <v>526</v>
      </c>
      <c r="Q67" s="82"/>
      <c r="R67" s="96" t="s">
        <v>517</v>
      </c>
      <c r="S67" s="96" t="s">
        <v>33</v>
      </c>
      <c r="T67" s="96" t="s">
        <v>518</v>
      </c>
      <c r="U67" s="95" t="s">
        <v>519</v>
      </c>
      <c r="V67" s="107">
        <v>45684</v>
      </c>
      <c r="W67" s="107">
        <v>45774</v>
      </c>
      <c r="X67" s="96">
        <f ca="1">W67-TODAY()</f>
        <v>-311</v>
      </c>
      <c r="Y67" s="96" t="str">
        <f ca="1">IF(X67&gt;=60,"Vigente",IF(AND(X67&gt;=1,X67&lt;=59),"Por Vencer","Vencido"))</f>
        <v>Vencido</v>
      </c>
      <c r="Z67" s="96"/>
    </row>
    <row r="68" spans="1:26" ht="39" hidden="1" customHeight="1">
      <c r="A68" s="92">
        <v>68</v>
      </c>
      <c r="B68" s="96" t="s">
        <v>28</v>
      </c>
      <c r="C68" s="96" t="s">
        <v>628</v>
      </c>
      <c r="D68" s="96">
        <v>7713185</v>
      </c>
      <c r="E68" s="96" t="s">
        <v>45</v>
      </c>
      <c r="F68" s="96">
        <v>67</v>
      </c>
      <c r="G68" s="3" t="s">
        <v>30</v>
      </c>
      <c r="H68" s="96" t="s">
        <v>378</v>
      </c>
      <c r="I68" s="96">
        <v>2024</v>
      </c>
      <c r="J68" s="107">
        <v>45496</v>
      </c>
      <c r="K68" s="96" t="s">
        <v>28</v>
      </c>
      <c r="L68" s="3" t="s">
        <v>23</v>
      </c>
      <c r="M68" s="96" t="s">
        <v>33</v>
      </c>
      <c r="N68" s="96" t="s">
        <v>33</v>
      </c>
      <c r="O68" s="95" t="s">
        <v>25</v>
      </c>
      <c r="P68" s="96" t="s">
        <v>434</v>
      </c>
      <c r="Q68" s="82"/>
      <c r="R68" s="96" t="s">
        <v>527</v>
      </c>
      <c r="S68" s="96" t="s">
        <v>33</v>
      </c>
      <c r="T68" s="96" t="s">
        <v>528</v>
      </c>
      <c r="U68" s="96" t="s">
        <v>524</v>
      </c>
      <c r="V68" s="107">
        <v>46007</v>
      </c>
      <c r="W68" s="107">
        <v>46189</v>
      </c>
      <c r="X68" s="96">
        <f ca="1">W68-TODAY()</f>
        <v>104</v>
      </c>
      <c r="Y68" s="96" t="str">
        <f ca="1">IF(X68&gt;=60,"Vigente",IF(AND(X68&gt;=1,X68&lt;=59),"Por Vencer","Vencido"))</f>
        <v>Vigente</v>
      </c>
      <c r="Z68" s="96"/>
    </row>
    <row r="69" spans="1:26" ht="39" hidden="1" customHeight="1">
      <c r="A69" s="92">
        <v>69</v>
      </c>
      <c r="B69" s="96" t="s">
        <v>28</v>
      </c>
      <c r="C69" s="95" t="s">
        <v>629</v>
      </c>
      <c r="D69" s="95">
        <v>7115052</v>
      </c>
      <c r="E69" s="95">
        <v>6</v>
      </c>
      <c r="F69" s="95">
        <v>69</v>
      </c>
      <c r="G69" s="97" t="s">
        <v>20</v>
      </c>
      <c r="H69" s="95" t="s">
        <v>300</v>
      </c>
      <c r="I69" s="95">
        <v>2023</v>
      </c>
      <c r="J69" s="108">
        <v>45014</v>
      </c>
      <c r="K69" s="96" t="s">
        <v>33</v>
      </c>
      <c r="L69" s="97" t="s">
        <v>84</v>
      </c>
      <c r="M69" s="97" t="s">
        <v>33</v>
      </c>
      <c r="N69" s="97" t="s">
        <v>33</v>
      </c>
      <c r="O69" s="95" t="s">
        <v>25</v>
      </c>
      <c r="P69" s="96" t="s">
        <v>434</v>
      </c>
      <c r="Q69" s="84"/>
      <c r="R69" s="95" t="s">
        <v>570</v>
      </c>
      <c r="S69" s="96" t="s">
        <v>535</v>
      </c>
      <c r="T69" s="96" t="s">
        <v>571</v>
      </c>
      <c r="U69" s="108" t="s">
        <v>536</v>
      </c>
      <c r="V69" s="108">
        <v>46042</v>
      </c>
      <c r="W69" s="108">
        <v>46162</v>
      </c>
      <c r="X69" s="96">
        <f ca="1">W69-TODAY()</f>
        <v>77</v>
      </c>
      <c r="Y69" s="96" t="str">
        <f ca="1">IF(X69&gt;=60,"Vigente",IF(AND(X69&gt;=1,X69&lt;=59),"Por Vencer","Vencido"))</f>
        <v>Vigente</v>
      </c>
      <c r="Z69" s="96"/>
    </row>
    <row r="70" spans="1:26" ht="37.5" hidden="1">
      <c r="A70" s="92">
        <v>70</v>
      </c>
      <c r="B70" s="96" t="s">
        <v>28</v>
      </c>
      <c r="C70" s="96" t="s">
        <v>630</v>
      </c>
      <c r="D70" s="96">
        <v>7379279</v>
      </c>
      <c r="E70" s="96">
        <v>7</v>
      </c>
      <c r="F70" s="96">
        <v>69</v>
      </c>
      <c r="G70" s="97" t="s">
        <v>20</v>
      </c>
      <c r="H70" s="95" t="s">
        <v>300</v>
      </c>
      <c r="I70" s="96">
        <v>2021</v>
      </c>
      <c r="J70" s="107">
        <v>44355</v>
      </c>
      <c r="K70" s="96" t="s">
        <v>33</v>
      </c>
      <c r="L70" s="97" t="s">
        <v>84</v>
      </c>
      <c r="M70" s="97" t="s">
        <v>33</v>
      </c>
      <c r="N70" s="97" t="s">
        <v>33</v>
      </c>
      <c r="O70" s="95" t="s">
        <v>25</v>
      </c>
      <c r="P70" s="96" t="s">
        <v>434</v>
      </c>
      <c r="Q70" s="82"/>
      <c r="R70" s="95" t="s">
        <v>570</v>
      </c>
      <c r="S70" s="96" t="s">
        <v>535</v>
      </c>
      <c r="T70" s="96" t="s">
        <v>571</v>
      </c>
      <c r="U70" s="96" t="s">
        <v>524</v>
      </c>
      <c r="V70" s="107">
        <v>45967</v>
      </c>
      <c r="W70" s="107">
        <v>46087</v>
      </c>
      <c r="X70" s="96">
        <f ca="1">W70-TODAY()</f>
        <v>2</v>
      </c>
      <c r="Y70" s="96" t="str">
        <f ca="1">IF(X70&gt;=60,"Vigente",IF(AND(X70&gt;=1,X70&lt;=59),"Por Vencer","Vencido"))</f>
        <v>Por Vencer</v>
      </c>
      <c r="Z70" s="96"/>
    </row>
    <row r="71" spans="1:26" ht="39" hidden="1" customHeight="1">
      <c r="A71" s="92">
        <v>71</v>
      </c>
      <c r="B71" s="96" t="s">
        <v>18</v>
      </c>
      <c r="C71" s="98" t="s">
        <v>631</v>
      </c>
      <c r="D71" s="98">
        <v>6707393</v>
      </c>
      <c r="E71" s="98">
        <v>2</v>
      </c>
      <c r="F71" s="98">
        <v>76</v>
      </c>
      <c r="G71" s="98" t="s">
        <v>20</v>
      </c>
      <c r="H71" s="97" t="s">
        <v>431</v>
      </c>
      <c r="I71" s="98" t="s">
        <v>33</v>
      </c>
      <c r="J71" s="98" t="s">
        <v>33</v>
      </c>
      <c r="K71" s="98" t="s">
        <v>33</v>
      </c>
      <c r="L71" s="98" t="s">
        <v>51</v>
      </c>
      <c r="M71" s="98" t="s">
        <v>33</v>
      </c>
      <c r="N71" s="98" t="s">
        <v>33</v>
      </c>
      <c r="O71" s="95" t="s">
        <v>25</v>
      </c>
      <c r="P71" s="96" t="s">
        <v>434</v>
      </c>
      <c r="Q71" s="86"/>
      <c r="R71" s="96" t="s">
        <v>527</v>
      </c>
      <c r="S71" s="98" t="s">
        <v>33</v>
      </c>
      <c r="T71" s="96" t="s">
        <v>528</v>
      </c>
      <c r="U71" s="3" t="s">
        <v>524</v>
      </c>
      <c r="V71" s="114">
        <v>46010</v>
      </c>
      <c r="W71" s="114">
        <v>46041</v>
      </c>
      <c r="X71" s="3">
        <f ca="1">W71-TODAY()</f>
        <v>-44</v>
      </c>
      <c r="Y71" s="96" t="str">
        <f ca="1">IF(X71&gt;=60,"Vigente",IF(AND(X71&gt;=1,X71&lt;=59),"Por Vencer","Vencido"))</f>
        <v>Vencido</v>
      </c>
      <c r="Z71" s="96"/>
    </row>
    <row r="72" spans="1:26" ht="37.5" hidden="1">
      <c r="A72" s="92">
        <v>72</v>
      </c>
      <c r="B72" s="96" t="s">
        <v>28</v>
      </c>
      <c r="C72" s="95" t="s">
        <v>632</v>
      </c>
      <c r="D72" s="95">
        <v>5513152</v>
      </c>
      <c r="E72" s="95" t="s">
        <v>45</v>
      </c>
      <c r="F72" s="95">
        <v>77</v>
      </c>
      <c r="G72" s="97" t="s">
        <v>20</v>
      </c>
      <c r="H72" s="96" t="s">
        <v>378</v>
      </c>
      <c r="I72" s="95">
        <v>2019</v>
      </c>
      <c r="J72" s="108">
        <v>43556</v>
      </c>
      <c r="K72" s="96" t="s">
        <v>83</v>
      </c>
      <c r="L72" s="3" t="s">
        <v>23</v>
      </c>
      <c r="M72" s="97" t="s">
        <v>33</v>
      </c>
      <c r="N72" s="97" t="s">
        <v>33</v>
      </c>
      <c r="O72" s="95" t="s">
        <v>25</v>
      </c>
      <c r="P72" s="96" t="s">
        <v>434</v>
      </c>
      <c r="Q72" s="84"/>
      <c r="R72" s="96" t="s">
        <v>522</v>
      </c>
      <c r="S72" s="96" t="s">
        <v>33</v>
      </c>
      <c r="T72" s="108" t="s">
        <v>523</v>
      </c>
      <c r="U72" s="95" t="s">
        <v>536</v>
      </c>
      <c r="V72" s="107">
        <v>45849</v>
      </c>
      <c r="W72" s="108">
        <v>46033</v>
      </c>
      <c r="X72" s="96">
        <f ca="1">W72-TODAY()</f>
        <v>-52</v>
      </c>
      <c r="Y72" s="96" t="str">
        <f ca="1">IF(X72&gt;=60,"Vigente",IF(AND(X72&gt;=1,X72&lt;=59),"Por Vencer","Vencido"))</f>
        <v>Vencido</v>
      </c>
      <c r="Z72" s="96"/>
    </row>
    <row r="73" spans="1:26" ht="37.5" hidden="1">
      <c r="A73" s="92">
        <v>73</v>
      </c>
      <c r="B73" s="96" t="s">
        <v>18</v>
      </c>
      <c r="C73" s="98" t="s">
        <v>633</v>
      </c>
      <c r="D73" s="98">
        <v>9425658</v>
      </c>
      <c r="E73" s="98">
        <v>5</v>
      </c>
      <c r="F73" s="98">
        <v>65</v>
      </c>
      <c r="G73" s="97" t="s">
        <v>63</v>
      </c>
      <c r="H73" s="97" t="s">
        <v>431</v>
      </c>
      <c r="I73" s="98" t="s">
        <v>33</v>
      </c>
      <c r="J73" s="98" t="s">
        <v>541</v>
      </c>
      <c r="K73" s="98" t="s">
        <v>33</v>
      </c>
      <c r="L73" s="98" t="s">
        <v>51</v>
      </c>
      <c r="M73" s="98" t="s">
        <v>33</v>
      </c>
      <c r="N73" s="98" t="s">
        <v>33</v>
      </c>
      <c r="O73" s="95" t="s">
        <v>25</v>
      </c>
      <c r="P73" s="98" t="s">
        <v>434</v>
      </c>
      <c r="Q73" s="86"/>
      <c r="R73" s="98" t="s">
        <v>527</v>
      </c>
      <c r="S73" s="98" t="s">
        <v>33</v>
      </c>
      <c r="T73" s="98" t="s">
        <v>528</v>
      </c>
      <c r="U73" s="3" t="s">
        <v>536</v>
      </c>
      <c r="V73" s="114">
        <v>46029</v>
      </c>
      <c r="W73" s="114">
        <v>46060</v>
      </c>
      <c r="X73" s="3">
        <f ca="1">W73-TODAY()</f>
        <v>-25</v>
      </c>
      <c r="Y73" s="96" t="str">
        <f ca="1">IF(X73&gt;=60,"Vigente",IF(AND(X73&gt;=1,X73&lt;=59),"Por Vencer","Vencido"))</f>
        <v>Vencido</v>
      </c>
      <c r="Z73" s="96"/>
    </row>
    <row r="74" spans="1:26" ht="37.5" hidden="1">
      <c r="A74" s="92">
        <v>74</v>
      </c>
      <c r="B74" s="96" t="s">
        <v>28</v>
      </c>
      <c r="C74" s="121" t="s">
        <v>634</v>
      </c>
      <c r="D74" s="3">
        <v>17520729</v>
      </c>
      <c r="E74" s="3">
        <v>5</v>
      </c>
      <c r="F74" s="3">
        <v>34</v>
      </c>
      <c r="G74" s="97" t="s">
        <v>20</v>
      </c>
      <c r="H74" s="96" t="s">
        <v>431</v>
      </c>
      <c r="I74" s="3" t="s">
        <v>33</v>
      </c>
      <c r="J74" s="3" t="s">
        <v>33</v>
      </c>
      <c r="K74" s="3" t="s">
        <v>33</v>
      </c>
      <c r="L74" s="3" t="s">
        <v>51</v>
      </c>
      <c r="M74" s="3" t="s">
        <v>33</v>
      </c>
      <c r="N74" s="3" t="s">
        <v>33</v>
      </c>
      <c r="O74" s="95" t="s">
        <v>25</v>
      </c>
      <c r="P74" s="96" t="s">
        <v>526</v>
      </c>
      <c r="Q74" s="2"/>
      <c r="R74" s="96" t="s">
        <v>527</v>
      </c>
      <c r="S74" s="96" t="s">
        <v>33</v>
      </c>
      <c r="T74" s="96" t="s">
        <v>528</v>
      </c>
      <c r="U74" s="95" t="s">
        <v>536</v>
      </c>
      <c r="V74" s="109">
        <v>45867</v>
      </c>
      <c r="W74" s="109">
        <v>45959</v>
      </c>
      <c r="X74" s="3">
        <f ca="1">W74-TODAY()</f>
        <v>-126</v>
      </c>
      <c r="Y74" s="96" t="str">
        <f ca="1">IF(X74&gt;=60,"Vigente",IF(AND(X74&gt;=1,X74&lt;=59),"Por Vencer","Vencido"))</f>
        <v>Vencido</v>
      </c>
      <c r="Z74" s="3"/>
    </row>
    <row r="75" spans="1:26" s="2" customFormat="1" ht="39" hidden="1" customHeight="1">
      <c r="A75" s="92">
        <v>75</v>
      </c>
      <c r="B75" s="96" t="s">
        <v>18</v>
      </c>
      <c r="C75" s="96" t="s">
        <v>635</v>
      </c>
      <c r="D75" s="96">
        <v>10249812</v>
      </c>
      <c r="E75" s="96">
        <v>7</v>
      </c>
      <c r="F75" s="96">
        <v>61</v>
      </c>
      <c r="G75" s="97" t="s">
        <v>20</v>
      </c>
      <c r="H75" s="96" t="s">
        <v>418</v>
      </c>
      <c r="I75" s="96">
        <v>2024</v>
      </c>
      <c r="J75" s="107">
        <v>45577</v>
      </c>
      <c r="K75" s="96" t="s">
        <v>83</v>
      </c>
      <c r="L75" s="3" t="s">
        <v>23</v>
      </c>
      <c r="M75" s="96" t="s">
        <v>33</v>
      </c>
      <c r="N75" s="96" t="s">
        <v>33</v>
      </c>
      <c r="O75" s="95" t="s">
        <v>25</v>
      </c>
      <c r="P75" s="96" t="s">
        <v>434</v>
      </c>
      <c r="Q75" s="82"/>
      <c r="R75" s="96" t="s">
        <v>531</v>
      </c>
      <c r="S75" s="96" t="s">
        <v>33</v>
      </c>
      <c r="T75" s="96" t="s">
        <v>518</v>
      </c>
      <c r="U75" s="96" t="s">
        <v>524</v>
      </c>
      <c r="V75" s="107">
        <v>46042</v>
      </c>
      <c r="W75" s="107">
        <v>46132</v>
      </c>
      <c r="X75" s="96">
        <f ca="1">W75-TODAY()</f>
        <v>47</v>
      </c>
      <c r="Y75" s="96" t="str">
        <f ca="1">IF(X75&gt;=60,"Vigente",IF(AND(X75&gt;=1,X75&lt;=59),"Por Vencer","Vencido"))</f>
        <v>Por Vencer</v>
      </c>
      <c r="Z75" s="96"/>
    </row>
    <row r="76" spans="1:26" hidden="1">
      <c r="A76" s="92">
        <v>76</v>
      </c>
      <c r="B76" s="96" t="s">
        <v>18</v>
      </c>
      <c r="C76" s="96" t="s">
        <v>636</v>
      </c>
      <c r="D76" s="96">
        <v>8943360</v>
      </c>
      <c r="E76" s="96">
        <v>6</v>
      </c>
      <c r="F76" s="96">
        <v>63</v>
      </c>
      <c r="G76" s="3" t="s">
        <v>30</v>
      </c>
      <c r="H76" s="96" t="s">
        <v>50</v>
      </c>
      <c r="I76" s="95">
        <v>2023</v>
      </c>
      <c r="J76" s="107">
        <v>44987</v>
      </c>
      <c r="K76" s="96" t="s">
        <v>18</v>
      </c>
      <c r="L76" s="95" t="s">
        <v>23</v>
      </c>
      <c r="M76" s="107">
        <v>45106</v>
      </c>
      <c r="N76" s="96" t="s">
        <v>539</v>
      </c>
      <c r="O76" s="96" t="s">
        <v>42</v>
      </c>
      <c r="P76" s="96" t="s">
        <v>526</v>
      </c>
      <c r="Q76" s="82"/>
      <c r="R76" s="96" t="s">
        <v>517</v>
      </c>
      <c r="S76" s="96" t="s">
        <v>33</v>
      </c>
      <c r="T76" s="96" t="s">
        <v>518</v>
      </c>
      <c r="U76" s="95" t="s">
        <v>519</v>
      </c>
      <c r="V76" s="108"/>
      <c r="W76" s="107">
        <v>45746</v>
      </c>
      <c r="X76" s="96">
        <f ca="1">W76-TODAY()</f>
        <v>-339</v>
      </c>
      <c r="Y76" s="96" t="str">
        <f ca="1">IF(X76&gt;=60,"Vigente",IF(AND(X76&gt;=1,X76&lt;=59),"Por Vencer","Vencido"))</f>
        <v>Vencido</v>
      </c>
      <c r="Z76" s="96"/>
    </row>
    <row r="77" spans="1:26" hidden="1">
      <c r="A77" s="92">
        <v>77</v>
      </c>
      <c r="B77" s="96" t="s">
        <v>18</v>
      </c>
      <c r="C77" s="96" t="s">
        <v>637</v>
      </c>
      <c r="D77" s="96">
        <v>5991381</v>
      </c>
      <c r="E77" s="96">
        <v>6</v>
      </c>
      <c r="F77" s="100">
        <v>76</v>
      </c>
      <c r="G77" s="3" t="s">
        <v>30</v>
      </c>
      <c r="H77" s="96" t="s">
        <v>50</v>
      </c>
      <c r="I77" s="95">
        <v>2022</v>
      </c>
      <c r="J77" s="107">
        <v>44698</v>
      </c>
      <c r="K77" s="96" t="s">
        <v>18</v>
      </c>
      <c r="L77" s="95" t="s">
        <v>23</v>
      </c>
      <c r="M77" s="107">
        <v>44749</v>
      </c>
      <c r="N77" s="96" t="s">
        <v>539</v>
      </c>
      <c r="O77" s="96" t="s">
        <v>42</v>
      </c>
      <c r="P77" s="96" t="s">
        <v>526</v>
      </c>
      <c r="Q77" s="82"/>
      <c r="R77" s="95" t="s">
        <v>570</v>
      </c>
      <c r="S77" s="96" t="s">
        <v>33</v>
      </c>
      <c r="T77" s="96" t="s">
        <v>571</v>
      </c>
      <c r="U77" s="95" t="s">
        <v>519</v>
      </c>
      <c r="V77" s="108">
        <v>45804</v>
      </c>
      <c r="W77" s="107">
        <v>45927</v>
      </c>
      <c r="X77" s="96">
        <f ca="1">W77-TODAY()</f>
        <v>-158</v>
      </c>
      <c r="Y77" s="96" t="str">
        <f ca="1">IF(X77&gt;=60,"Vigente",IF(AND(X77&gt;=1,X77&lt;=59),"Por Vencer","Vencido"))</f>
        <v>Vencido</v>
      </c>
      <c r="Z77" s="96"/>
    </row>
    <row r="78" spans="1:26" ht="39" hidden="1" customHeight="1">
      <c r="A78" s="92">
        <v>78</v>
      </c>
      <c r="B78" s="96" t="s">
        <v>28</v>
      </c>
      <c r="C78" s="3" t="s">
        <v>638</v>
      </c>
      <c r="D78" s="3">
        <v>4632087</v>
      </c>
      <c r="E78" s="3">
        <v>5</v>
      </c>
      <c r="F78" s="3">
        <v>81</v>
      </c>
      <c r="G78" s="97" t="s">
        <v>20</v>
      </c>
      <c r="H78" s="95" t="s">
        <v>300</v>
      </c>
      <c r="I78" s="3">
        <v>2023</v>
      </c>
      <c r="J78" s="3">
        <v>2023</v>
      </c>
      <c r="K78" s="3" t="s">
        <v>33</v>
      </c>
      <c r="L78" s="3" t="s">
        <v>84</v>
      </c>
      <c r="M78" s="3" t="s">
        <v>33</v>
      </c>
      <c r="N78" s="3" t="s">
        <v>33</v>
      </c>
      <c r="O78" s="95" t="s">
        <v>25</v>
      </c>
      <c r="P78" s="96" t="s">
        <v>434</v>
      </c>
      <c r="Q78" s="2"/>
      <c r="R78" s="96" t="s">
        <v>570</v>
      </c>
      <c r="S78" s="3" t="s">
        <v>535</v>
      </c>
      <c r="T78" s="96" t="s">
        <v>571</v>
      </c>
      <c r="U78" s="95" t="s">
        <v>536</v>
      </c>
      <c r="V78" s="109">
        <v>45951</v>
      </c>
      <c r="W78" s="109">
        <v>46074</v>
      </c>
      <c r="X78" s="3">
        <f ca="1">W78-TODAY()</f>
        <v>-11</v>
      </c>
      <c r="Y78" s="96" t="str">
        <f ca="1">IF(X78&gt;=60,"Vigente",IF(AND(X78&gt;=1,X78&lt;=59),"Por Vencer","Vencido"))</f>
        <v>Vencido</v>
      </c>
      <c r="Z78" s="3"/>
    </row>
    <row r="79" spans="1:26" hidden="1">
      <c r="A79" s="92">
        <v>79</v>
      </c>
      <c r="B79" s="96" t="s">
        <v>18</v>
      </c>
      <c r="C79" s="3" t="s">
        <v>639</v>
      </c>
      <c r="D79" s="3">
        <v>4740457</v>
      </c>
      <c r="E79" s="3">
        <v>6</v>
      </c>
      <c r="F79" s="3">
        <v>86</v>
      </c>
      <c r="G79" s="97" t="s">
        <v>20</v>
      </c>
      <c r="H79" s="96" t="s">
        <v>50</v>
      </c>
      <c r="I79" s="3">
        <v>2025</v>
      </c>
      <c r="J79" s="109">
        <v>45891</v>
      </c>
      <c r="K79" s="96" t="s">
        <v>83</v>
      </c>
      <c r="L79" s="97" t="s">
        <v>84</v>
      </c>
      <c r="M79" s="109">
        <v>45925</v>
      </c>
      <c r="N79" s="3" t="s">
        <v>640</v>
      </c>
      <c r="O79" s="96" t="s">
        <v>42</v>
      </c>
      <c r="P79" s="96" t="s">
        <v>526</v>
      </c>
      <c r="Q79" s="2"/>
      <c r="R79" s="96" t="s">
        <v>517</v>
      </c>
      <c r="S79" s="96" t="s">
        <v>33</v>
      </c>
      <c r="T79" s="96" t="s">
        <v>518</v>
      </c>
      <c r="U79" s="95" t="s">
        <v>519</v>
      </c>
      <c r="V79" s="109">
        <v>45932</v>
      </c>
      <c r="W79" s="109">
        <v>46024</v>
      </c>
      <c r="X79" s="3">
        <f ca="1">W79-TODAY()</f>
        <v>-61</v>
      </c>
      <c r="Y79" s="96" t="str">
        <f ca="1">IF(X79&gt;=60,"Vigente",IF(AND(X79&gt;=1,X79&lt;=59),"Por Vencer","Vencido"))</f>
        <v>Vencido</v>
      </c>
      <c r="Z79" s="96"/>
    </row>
    <row r="80" spans="1:26" ht="39" hidden="1" customHeight="1">
      <c r="A80" s="92">
        <v>80</v>
      </c>
      <c r="B80" s="96" t="s">
        <v>28</v>
      </c>
      <c r="C80" s="96" t="s">
        <v>641</v>
      </c>
      <c r="D80" s="96">
        <v>4262817</v>
      </c>
      <c r="E80" s="96">
        <v>4</v>
      </c>
      <c r="F80" s="96">
        <v>86</v>
      </c>
      <c r="G80" s="97" t="s">
        <v>20</v>
      </c>
      <c r="H80" s="95" t="s">
        <v>300</v>
      </c>
      <c r="I80" s="96">
        <v>2024</v>
      </c>
      <c r="J80" s="107">
        <v>45467</v>
      </c>
      <c r="K80" s="96" t="s">
        <v>33</v>
      </c>
      <c r="L80" s="97" t="s">
        <v>84</v>
      </c>
      <c r="M80" s="97" t="s">
        <v>33</v>
      </c>
      <c r="N80" s="97" t="s">
        <v>33</v>
      </c>
      <c r="O80" s="95" t="s">
        <v>25</v>
      </c>
      <c r="P80" s="96" t="s">
        <v>434</v>
      </c>
      <c r="Q80" s="82"/>
      <c r="R80" s="95" t="s">
        <v>570</v>
      </c>
      <c r="S80" s="96" t="s">
        <v>535</v>
      </c>
      <c r="T80" s="96" t="s">
        <v>571</v>
      </c>
      <c r="U80" s="96" t="s">
        <v>524</v>
      </c>
      <c r="V80" s="107">
        <v>46042</v>
      </c>
      <c r="W80" s="107">
        <v>46162</v>
      </c>
      <c r="X80" s="96">
        <f ca="1">W80-TODAY()</f>
        <v>77</v>
      </c>
      <c r="Y80" s="96" t="str">
        <f ca="1">IF(X80&gt;=60,"Vigente",IF(AND(X80&gt;=1,X80&lt;=59),"Por Vencer","Vencido"))</f>
        <v>Vigente</v>
      </c>
      <c r="Z80" s="96"/>
    </row>
    <row r="81" spans="1:61" ht="37.5" hidden="1">
      <c r="A81" s="92">
        <v>82</v>
      </c>
      <c r="B81" s="96" t="s">
        <v>18</v>
      </c>
      <c r="C81" s="3" t="s">
        <v>642</v>
      </c>
      <c r="D81" s="3">
        <v>8591996</v>
      </c>
      <c r="E81" s="3">
        <v>2</v>
      </c>
      <c r="F81" s="3">
        <v>70</v>
      </c>
      <c r="G81" s="97" t="s">
        <v>20</v>
      </c>
      <c r="H81" s="96" t="s">
        <v>431</v>
      </c>
      <c r="I81" s="3" t="s">
        <v>33</v>
      </c>
      <c r="J81" s="3" t="s">
        <v>33</v>
      </c>
      <c r="K81" s="3" t="s">
        <v>33</v>
      </c>
      <c r="L81" s="3" t="s">
        <v>51</v>
      </c>
      <c r="M81" s="3" t="s">
        <v>33</v>
      </c>
      <c r="N81" s="3" t="s">
        <v>33</v>
      </c>
      <c r="O81" s="95" t="s">
        <v>25</v>
      </c>
      <c r="P81" s="96" t="s">
        <v>526</v>
      </c>
      <c r="Q81" s="2"/>
      <c r="R81" s="96" t="s">
        <v>527</v>
      </c>
      <c r="S81" s="96" t="s">
        <v>33</v>
      </c>
      <c r="T81" s="96" t="s">
        <v>528</v>
      </c>
      <c r="U81" s="3" t="s">
        <v>524</v>
      </c>
      <c r="V81" s="109">
        <v>45874</v>
      </c>
      <c r="W81" s="109">
        <v>45916</v>
      </c>
      <c r="X81" s="3">
        <f ca="1">W81-TODAY()</f>
        <v>-169</v>
      </c>
      <c r="Y81" s="96" t="str">
        <f ca="1">IF(X81&gt;=60,"Vigente",IF(AND(X81&gt;=1,X81&lt;=59),"Por Vencer","Vencido"))</f>
        <v>Vencido</v>
      </c>
      <c r="Z81" s="96" t="s">
        <v>643</v>
      </c>
    </row>
    <row r="82" spans="1:61" ht="37.5" hidden="1">
      <c r="A82" s="92">
        <v>83</v>
      </c>
      <c r="B82" s="96" t="s">
        <v>18</v>
      </c>
      <c r="C82" s="95" t="s">
        <v>644</v>
      </c>
      <c r="D82" s="95">
        <v>8717798</v>
      </c>
      <c r="E82" s="95" t="s">
        <v>45</v>
      </c>
      <c r="F82" s="95">
        <v>54</v>
      </c>
      <c r="G82" s="97" t="s">
        <v>20</v>
      </c>
      <c r="H82" s="96" t="s">
        <v>251</v>
      </c>
      <c r="I82" s="95">
        <v>2024</v>
      </c>
      <c r="J82" s="108">
        <v>45418</v>
      </c>
      <c r="K82" s="96" t="s">
        <v>33</v>
      </c>
      <c r="L82" s="3" t="s">
        <v>23</v>
      </c>
      <c r="M82" s="97" t="s">
        <v>33</v>
      </c>
      <c r="N82" s="97" t="s">
        <v>33</v>
      </c>
      <c r="O82" s="95" t="s">
        <v>25</v>
      </c>
      <c r="P82" s="96" t="s">
        <v>526</v>
      </c>
      <c r="Q82" s="84"/>
      <c r="R82" s="96" t="s">
        <v>527</v>
      </c>
      <c r="S82" s="96" t="s">
        <v>33</v>
      </c>
      <c r="T82" s="96" t="s">
        <v>528</v>
      </c>
      <c r="U82" s="108" t="s">
        <v>524</v>
      </c>
      <c r="V82" s="108">
        <v>45418</v>
      </c>
      <c r="W82" s="108">
        <v>45663</v>
      </c>
      <c r="X82" s="96">
        <f ca="1">W82-TODAY()</f>
        <v>-422</v>
      </c>
      <c r="Y82" s="96" t="str">
        <f ca="1">IF(X82&gt;=60,"Vigente",IF(AND(X82&gt;=1,X82&lt;=59),"Por Vencer","Vencido"))</f>
        <v>Vencido</v>
      </c>
      <c r="Z82" s="96" t="s">
        <v>645</v>
      </c>
    </row>
    <row r="83" spans="1:61" ht="35.25" hidden="1" customHeight="1">
      <c r="A83" s="92">
        <v>84</v>
      </c>
      <c r="B83" s="96" t="s">
        <v>18</v>
      </c>
      <c r="C83" s="97" t="s">
        <v>646</v>
      </c>
      <c r="D83" s="97">
        <v>11512628</v>
      </c>
      <c r="E83" s="97">
        <v>8</v>
      </c>
      <c r="F83" s="97">
        <v>54</v>
      </c>
      <c r="G83" s="3" t="s">
        <v>30</v>
      </c>
      <c r="H83" s="96" t="s">
        <v>418</v>
      </c>
      <c r="I83" s="97">
        <v>2021</v>
      </c>
      <c r="J83" s="110">
        <v>44454</v>
      </c>
      <c r="K83" s="96" t="s">
        <v>83</v>
      </c>
      <c r="L83" s="95" t="s">
        <v>23</v>
      </c>
      <c r="M83" s="97" t="s">
        <v>33</v>
      </c>
      <c r="N83" s="97" t="s">
        <v>33</v>
      </c>
      <c r="O83" s="96" t="s">
        <v>42</v>
      </c>
      <c r="P83" s="96" t="s">
        <v>526</v>
      </c>
      <c r="Q83" s="83"/>
      <c r="R83" s="96" t="s">
        <v>517</v>
      </c>
      <c r="S83" s="96" t="s">
        <v>33</v>
      </c>
      <c r="T83" s="96" t="s">
        <v>518</v>
      </c>
      <c r="U83" s="95" t="s">
        <v>519</v>
      </c>
      <c r="V83" s="110"/>
      <c r="W83" s="110">
        <v>45747</v>
      </c>
      <c r="X83" s="96">
        <f ca="1">W83-TODAY()</f>
        <v>-338</v>
      </c>
      <c r="Y83" s="96" t="str">
        <f ca="1">IF(X83&gt;=60,"Vigente",IF(AND(X83&gt;=1,X83&lt;=59),"Por Vencer","Vencido"))</f>
        <v>Vencido</v>
      </c>
      <c r="Z83" s="96"/>
    </row>
    <row r="84" spans="1:61" ht="42" hidden="1" customHeight="1">
      <c r="A84" s="92">
        <v>85</v>
      </c>
      <c r="B84" s="96" t="s">
        <v>28</v>
      </c>
      <c r="C84" s="170" t="s">
        <v>647</v>
      </c>
      <c r="D84" s="95">
        <v>2661880</v>
      </c>
      <c r="E84" s="95">
        <v>0</v>
      </c>
      <c r="F84" s="95">
        <v>95</v>
      </c>
      <c r="G84" s="97" t="s">
        <v>20</v>
      </c>
      <c r="H84" s="95" t="s">
        <v>300</v>
      </c>
      <c r="I84" s="96" t="s">
        <v>33</v>
      </c>
      <c r="J84" s="95" t="s">
        <v>33</v>
      </c>
      <c r="K84" s="96" t="s">
        <v>33</v>
      </c>
      <c r="L84" s="3" t="s">
        <v>23</v>
      </c>
      <c r="M84" s="97" t="s">
        <v>33</v>
      </c>
      <c r="N84" s="97" t="s">
        <v>33</v>
      </c>
      <c r="O84" s="95" t="s">
        <v>25</v>
      </c>
      <c r="P84" s="96" t="s">
        <v>526</v>
      </c>
      <c r="Q84" s="84"/>
      <c r="R84" s="96" t="s">
        <v>527</v>
      </c>
      <c r="S84" s="96" t="s">
        <v>33</v>
      </c>
      <c r="T84" s="96" t="s">
        <v>528</v>
      </c>
      <c r="U84" s="108" t="s">
        <v>524</v>
      </c>
      <c r="V84" s="108">
        <v>45855</v>
      </c>
      <c r="W84" s="108">
        <v>45886</v>
      </c>
      <c r="X84" s="96">
        <f ca="1">W84-TODAY()</f>
        <v>-199</v>
      </c>
      <c r="Y84" s="96" t="str">
        <f ca="1">IF(X84&gt;=60,"Vigente",IF(AND(X84&gt;=1,X84&lt;=59),"Por Vencer","Vencido"))</f>
        <v>Vencido</v>
      </c>
      <c r="Z84" s="96"/>
    </row>
    <row r="85" spans="1:61" s="4" customFormat="1" ht="20.25" hidden="1" customHeight="1">
      <c r="A85" s="92">
        <v>86</v>
      </c>
      <c r="B85" s="96" t="s">
        <v>28</v>
      </c>
      <c r="C85" s="95" t="s">
        <v>648</v>
      </c>
      <c r="D85" s="104">
        <v>7159470</v>
      </c>
      <c r="E85" s="96" t="s">
        <v>45</v>
      </c>
      <c r="F85" s="96">
        <v>71</v>
      </c>
      <c r="G85" s="3" t="s">
        <v>30</v>
      </c>
      <c r="H85" s="95" t="s">
        <v>300</v>
      </c>
      <c r="I85" s="95">
        <v>2022</v>
      </c>
      <c r="J85" s="107">
        <v>44785</v>
      </c>
      <c r="K85" s="96" t="s">
        <v>18</v>
      </c>
      <c r="L85" s="97" t="s">
        <v>84</v>
      </c>
      <c r="M85" s="97" t="s">
        <v>33</v>
      </c>
      <c r="N85" s="97" t="s">
        <v>33</v>
      </c>
      <c r="O85" s="95" t="s">
        <v>25</v>
      </c>
      <c r="P85" s="96" t="s">
        <v>434</v>
      </c>
      <c r="Q85" s="85"/>
      <c r="R85" s="96" t="s">
        <v>531</v>
      </c>
      <c r="S85" s="96" t="s">
        <v>535</v>
      </c>
      <c r="T85" s="96" t="s">
        <v>518</v>
      </c>
      <c r="U85" s="108" t="s">
        <v>524</v>
      </c>
      <c r="V85" s="107">
        <v>46007</v>
      </c>
      <c r="W85" s="107">
        <v>46097</v>
      </c>
      <c r="X85" s="96">
        <f ca="1">W85-TODAY()</f>
        <v>12</v>
      </c>
      <c r="Y85" s="96" t="str">
        <f ca="1">IF(X85&gt;=60,"Vigente",IF(AND(X85&gt;=1,X85&lt;=59),"Por Vencer","Vencido"))</f>
        <v>Por Vencer</v>
      </c>
      <c r="Z85" s="96"/>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row>
    <row r="86" spans="1:61" hidden="1">
      <c r="A86" s="92">
        <v>87</v>
      </c>
      <c r="B86" s="96" t="s">
        <v>18</v>
      </c>
      <c r="C86" s="96" t="s">
        <v>649</v>
      </c>
      <c r="D86" s="96">
        <v>5737309</v>
      </c>
      <c r="E86" s="96">
        <v>1</v>
      </c>
      <c r="F86" s="96">
        <v>74</v>
      </c>
      <c r="G86" s="97" t="s">
        <v>20</v>
      </c>
      <c r="H86" s="96" t="s">
        <v>50</v>
      </c>
      <c r="I86" s="96">
        <v>2024</v>
      </c>
      <c r="J86" s="107">
        <v>45461</v>
      </c>
      <c r="K86" s="96" t="s">
        <v>18</v>
      </c>
      <c r="L86" s="95" t="s">
        <v>23</v>
      </c>
      <c r="M86" s="107">
        <v>45456</v>
      </c>
      <c r="N86" s="96" t="s">
        <v>650</v>
      </c>
      <c r="O86" s="96" t="s">
        <v>42</v>
      </c>
      <c r="P86" s="96" t="s">
        <v>526</v>
      </c>
      <c r="Q86" s="82"/>
      <c r="R86" s="96" t="s">
        <v>517</v>
      </c>
      <c r="S86" s="96" t="s">
        <v>33</v>
      </c>
      <c r="T86" s="96" t="s">
        <v>518</v>
      </c>
      <c r="U86" s="95" t="s">
        <v>519</v>
      </c>
      <c r="V86" s="107">
        <v>45460</v>
      </c>
      <c r="W86" s="107">
        <v>45746</v>
      </c>
      <c r="X86" s="96">
        <f ca="1">W86-TODAY()</f>
        <v>-339</v>
      </c>
      <c r="Y86" s="96" t="str">
        <f ca="1">IF(X86&gt;=60,"Vigente",IF(AND(X86&gt;=1,X86&lt;=59),"Por Vencer","Vencido"))</f>
        <v>Vencido</v>
      </c>
      <c r="Z86" s="96"/>
    </row>
    <row r="87" spans="1:61" ht="37.5" hidden="1">
      <c r="A87" s="92">
        <v>88</v>
      </c>
      <c r="B87" s="96" t="s">
        <v>28</v>
      </c>
      <c r="C87" s="121" t="s">
        <v>651</v>
      </c>
      <c r="D87" s="3">
        <v>6218688</v>
      </c>
      <c r="E87" s="3">
        <v>7</v>
      </c>
      <c r="F87" s="3">
        <v>71</v>
      </c>
      <c r="G87" s="97" t="s">
        <v>20</v>
      </c>
      <c r="H87" s="96" t="s">
        <v>431</v>
      </c>
      <c r="I87" s="3" t="s">
        <v>33</v>
      </c>
      <c r="J87" s="3" t="s">
        <v>33</v>
      </c>
      <c r="K87" s="3" t="s">
        <v>33</v>
      </c>
      <c r="L87" s="3" t="s">
        <v>51</v>
      </c>
      <c r="M87" s="3" t="s">
        <v>33</v>
      </c>
      <c r="N87" s="3" t="s">
        <v>33</v>
      </c>
      <c r="O87" s="95" t="s">
        <v>25</v>
      </c>
      <c r="P87" s="96" t="s">
        <v>526</v>
      </c>
      <c r="Q87" s="2"/>
      <c r="R87" s="96" t="s">
        <v>593</v>
      </c>
      <c r="S87" s="96" t="s">
        <v>33</v>
      </c>
      <c r="T87" s="96" t="s">
        <v>594</v>
      </c>
      <c r="U87" s="95" t="s">
        <v>536</v>
      </c>
      <c r="V87" s="108">
        <v>45937</v>
      </c>
      <c r="W87" s="108">
        <v>45998</v>
      </c>
      <c r="X87" s="3">
        <f ca="1">W87-TODAY()</f>
        <v>-87</v>
      </c>
      <c r="Y87" s="96" t="str">
        <f ca="1">IF(X87&gt;=60,"Vigente",IF(AND(X87&gt;=1,X87&lt;=59),"Por Vencer","Vencido"))</f>
        <v>Vencido</v>
      </c>
      <c r="Z87" s="96"/>
    </row>
    <row r="88" spans="1:61" ht="39" hidden="1" customHeight="1">
      <c r="A88" s="92">
        <v>89</v>
      </c>
      <c r="B88" s="96" t="s">
        <v>18</v>
      </c>
      <c r="C88" s="3" t="s">
        <v>652</v>
      </c>
      <c r="D88" s="3">
        <v>7020088</v>
      </c>
      <c r="E88" s="3">
        <v>0</v>
      </c>
      <c r="F88" s="3">
        <v>74</v>
      </c>
      <c r="G88" s="97" t="s">
        <v>20</v>
      </c>
      <c r="H88" s="96" t="s">
        <v>431</v>
      </c>
      <c r="I88" s="3" t="s">
        <v>33</v>
      </c>
      <c r="J88" s="3" t="s">
        <v>33</v>
      </c>
      <c r="K88" s="3" t="s">
        <v>33</v>
      </c>
      <c r="L88" s="3" t="s">
        <v>51</v>
      </c>
      <c r="M88" s="3" t="s">
        <v>33</v>
      </c>
      <c r="N88" s="3" t="s">
        <v>33</v>
      </c>
      <c r="O88" s="95" t="s">
        <v>25</v>
      </c>
      <c r="P88" s="96" t="s">
        <v>434</v>
      </c>
      <c r="Q88" s="2"/>
      <c r="R88" s="96" t="s">
        <v>522</v>
      </c>
      <c r="S88" s="96" t="s">
        <v>33</v>
      </c>
      <c r="T88" s="96" t="s">
        <v>523</v>
      </c>
      <c r="U88" s="96" t="s">
        <v>524</v>
      </c>
      <c r="V88" s="109">
        <v>45853</v>
      </c>
      <c r="W88" s="109">
        <v>46037</v>
      </c>
      <c r="X88" s="3">
        <f ca="1">W88-TODAY()</f>
        <v>-48</v>
      </c>
      <c r="Y88" s="96" t="str">
        <f ca="1">IF(X88&gt;=60,"Vigente",IF(AND(X88&gt;=1,X88&lt;=59),"Por Vencer","Vencido"))</f>
        <v>Vencido</v>
      </c>
      <c r="Z88" s="96"/>
    </row>
    <row r="89" spans="1:61" ht="42.75" hidden="1" customHeight="1">
      <c r="A89" s="92">
        <v>90</v>
      </c>
      <c r="B89" s="96" t="s">
        <v>18</v>
      </c>
      <c r="C89" s="3" t="s">
        <v>653</v>
      </c>
      <c r="D89" s="3">
        <v>6626195</v>
      </c>
      <c r="E89" s="3">
        <v>6</v>
      </c>
      <c r="F89" s="3">
        <v>74</v>
      </c>
      <c r="G89" s="97" t="s">
        <v>20</v>
      </c>
      <c r="H89" s="96" t="s">
        <v>46</v>
      </c>
      <c r="I89" s="3">
        <v>2025</v>
      </c>
      <c r="J89" s="109">
        <v>45827</v>
      </c>
      <c r="K89" s="3" t="s">
        <v>33</v>
      </c>
      <c r="L89" s="3" t="s">
        <v>84</v>
      </c>
      <c r="M89" s="109">
        <v>45827</v>
      </c>
      <c r="N89" s="3" t="s">
        <v>654</v>
      </c>
      <c r="O89" s="96" t="s">
        <v>42</v>
      </c>
      <c r="P89" s="96" t="s">
        <v>526</v>
      </c>
      <c r="Q89" s="2"/>
      <c r="R89" s="96" t="s">
        <v>517</v>
      </c>
      <c r="S89" s="96" t="s">
        <v>33</v>
      </c>
      <c r="T89" s="96" t="s">
        <v>518</v>
      </c>
      <c r="U89" s="95" t="s">
        <v>519</v>
      </c>
      <c r="V89" s="109">
        <v>45832</v>
      </c>
      <c r="W89" s="109">
        <v>45924</v>
      </c>
      <c r="X89" s="3">
        <f ca="1">W89-TODAY()</f>
        <v>-161</v>
      </c>
      <c r="Y89" s="96" t="str">
        <f ca="1">IF(X89&gt;=60,"Vigente",IF(AND(X89&gt;=1,X89&lt;=59),"Por Vencer","Vencido"))</f>
        <v>Vencido</v>
      </c>
      <c r="Z89" s="96"/>
    </row>
    <row r="90" spans="1:61" ht="39" hidden="1" customHeight="1">
      <c r="A90" s="92">
        <v>91</v>
      </c>
      <c r="B90" s="96" t="s">
        <v>28</v>
      </c>
      <c r="C90" s="3" t="s">
        <v>655</v>
      </c>
      <c r="D90" s="3">
        <v>3894494</v>
      </c>
      <c r="E90" s="3">
        <v>0</v>
      </c>
      <c r="F90" s="3">
        <v>90</v>
      </c>
      <c r="G90" s="97" t="s">
        <v>20</v>
      </c>
      <c r="H90" s="96" t="s">
        <v>431</v>
      </c>
      <c r="I90" s="3" t="s">
        <v>33</v>
      </c>
      <c r="J90" s="3" t="s">
        <v>33</v>
      </c>
      <c r="K90" s="3" t="s">
        <v>33</v>
      </c>
      <c r="L90" s="3" t="s">
        <v>51</v>
      </c>
      <c r="M90" s="3" t="s">
        <v>33</v>
      </c>
      <c r="N90" s="3" t="s">
        <v>33</v>
      </c>
      <c r="O90" s="95" t="s">
        <v>25</v>
      </c>
      <c r="P90" s="96" t="s">
        <v>434</v>
      </c>
      <c r="Q90" s="2"/>
      <c r="R90" s="96" t="s">
        <v>531</v>
      </c>
      <c r="S90" s="96" t="s">
        <v>33</v>
      </c>
      <c r="T90" s="96" t="s">
        <v>518</v>
      </c>
      <c r="U90" s="96" t="s">
        <v>524</v>
      </c>
      <c r="V90" s="109">
        <v>45965</v>
      </c>
      <c r="W90" s="109">
        <v>46057</v>
      </c>
      <c r="X90" s="3">
        <f ca="1">W90-TODAY()</f>
        <v>-28</v>
      </c>
      <c r="Y90" s="96" t="str">
        <f ca="1">IF(X90&gt;=60,"Vigente",IF(AND(X90&gt;=1,X90&lt;=59),"Por Vencer","Vencido"))</f>
        <v>Vencido</v>
      </c>
      <c r="Z90" s="96"/>
    </row>
    <row r="91" spans="1:61" hidden="1">
      <c r="A91" s="92">
        <v>92</v>
      </c>
      <c r="B91" s="96" t="s">
        <v>18</v>
      </c>
      <c r="C91" s="95" t="s">
        <v>656</v>
      </c>
      <c r="D91" s="95">
        <v>6739551</v>
      </c>
      <c r="E91" s="95">
        <v>4</v>
      </c>
      <c r="F91" s="95">
        <v>82</v>
      </c>
      <c r="G91" s="97" t="s">
        <v>20</v>
      </c>
      <c r="H91" s="95" t="s">
        <v>59</v>
      </c>
      <c r="I91" s="96" t="s">
        <v>33</v>
      </c>
      <c r="J91" s="95" t="s">
        <v>35</v>
      </c>
      <c r="K91" s="96" t="s">
        <v>83</v>
      </c>
      <c r="L91" s="3" t="s">
        <v>23</v>
      </c>
      <c r="M91" s="97" t="s">
        <v>33</v>
      </c>
      <c r="N91" s="97" t="s">
        <v>33</v>
      </c>
      <c r="O91" s="95" t="s">
        <v>25</v>
      </c>
      <c r="P91" s="96" t="s">
        <v>434</v>
      </c>
      <c r="Q91" s="84"/>
      <c r="R91" s="96" t="s">
        <v>522</v>
      </c>
      <c r="S91" s="96" t="s">
        <v>33</v>
      </c>
      <c r="T91" s="108" t="s">
        <v>523</v>
      </c>
      <c r="U91" s="95" t="s">
        <v>524</v>
      </c>
      <c r="V91" s="108">
        <v>46009</v>
      </c>
      <c r="W91" s="108">
        <v>46191</v>
      </c>
      <c r="X91" s="96">
        <f ca="1">W91-TODAY()</f>
        <v>106</v>
      </c>
      <c r="Y91" s="96" t="str">
        <f ca="1">IF(X91&gt;=60,"Vigente",IF(AND(X91&gt;=1,X91&lt;=59),"Por Vencer","Vencido"))</f>
        <v>Vigente</v>
      </c>
      <c r="Z91" s="96"/>
    </row>
    <row r="92" spans="1:61" ht="20.25" hidden="1" customHeight="1">
      <c r="A92" s="92">
        <v>93</v>
      </c>
      <c r="B92" s="96" t="s">
        <v>18</v>
      </c>
      <c r="C92" s="95" t="s">
        <v>657</v>
      </c>
      <c r="D92" s="95">
        <v>14314008</v>
      </c>
      <c r="E92" s="95">
        <v>3</v>
      </c>
      <c r="F92" s="101">
        <v>47</v>
      </c>
      <c r="G92" s="97" t="s">
        <v>20</v>
      </c>
      <c r="H92" s="96" t="s">
        <v>418</v>
      </c>
      <c r="I92" s="95">
        <v>2022</v>
      </c>
      <c r="J92" s="108">
        <v>44776</v>
      </c>
      <c r="K92" s="96" t="s">
        <v>18</v>
      </c>
      <c r="L92" s="97" t="s">
        <v>84</v>
      </c>
      <c r="M92" s="108">
        <v>44777</v>
      </c>
      <c r="N92" s="95" t="s">
        <v>658</v>
      </c>
      <c r="O92" s="95" t="s">
        <v>25</v>
      </c>
      <c r="P92" s="96" t="s">
        <v>434</v>
      </c>
      <c r="Q92" s="84"/>
      <c r="R92" s="96" t="s">
        <v>531</v>
      </c>
      <c r="S92" s="96" t="s">
        <v>659</v>
      </c>
      <c r="T92" s="96" t="s">
        <v>518</v>
      </c>
      <c r="U92" s="108" t="s">
        <v>524</v>
      </c>
      <c r="V92" s="108">
        <v>45964</v>
      </c>
      <c r="W92" s="108">
        <v>46056</v>
      </c>
      <c r="X92" s="96">
        <f ca="1">W92-TODAY()</f>
        <v>-29</v>
      </c>
      <c r="Y92" s="96" t="str">
        <f ca="1">IF(X92&gt;=60,"Vigente",IF(AND(X92&gt;=1,X92&lt;=59),"Por Vencer","Vencido"))</f>
        <v>Vencido</v>
      </c>
      <c r="Z92" s="96"/>
    </row>
    <row r="93" spans="1:61" ht="20.25" hidden="1" customHeight="1">
      <c r="A93" s="92">
        <v>94</v>
      </c>
      <c r="B93" s="96" t="s">
        <v>18</v>
      </c>
      <c r="C93" s="98" t="s">
        <v>660</v>
      </c>
      <c r="D93" s="98">
        <v>10158614</v>
      </c>
      <c r="E93" s="98">
        <v>6</v>
      </c>
      <c r="F93" s="98">
        <v>61</v>
      </c>
      <c r="G93" s="98" t="s">
        <v>20</v>
      </c>
      <c r="H93" s="97" t="s">
        <v>46</v>
      </c>
      <c r="I93" s="98">
        <v>2025</v>
      </c>
      <c r="J93" s="114">
        <v>45995</v>
      </c>
      <c r="K93" s="98" t="s">
        <v>28</v>
      </c>
      <c r="L93" s="3" t="s">
        <v>84</v>
      </c>
      <c r="M93" s="114">
        <v>46002</v>
      </c>
      <c r="N93" s="98" t="s">
        <v>539</v>
      </c>
      <c r="O93" s="95" t="s">
        <v>553</v>
      </c>
      <c r="P93" s="96" t="s">
        <v>434</v>
      </c>
      <c r="Q93" s="86"/>
      <c r="R93" s="96" t="s">
        <v>531</v>
      </c>
      <c r="S93" s="98" t="s">
        <v>33</v>
      </c>
      <c r="T93" s="96" t="s">
        <v>518</v>
      </c>
      <c r="U93" s="95" t="s">
        <v>519</v>
      </c>
      <c r="V93" s="114">
        <v>46002</v>
      </c>
      <c r="W93" s="114">
        <v>46092</v>
      </c>
      <c r="X93" s="3">
        <f ca="1">W93-TODAY()</f>
        <v>7</v>
      </c>
      <c r="Y93" s="96" t="str">
        <f ca="1">IF(X93&gt;=60,"Vigente",IF(AND(X93&gt;=1,X93&lt;=59),"Por Vencer","Vencido"))</f>
        <v>Por Vencer</v>
      </c>
      <c r="Z93" s="96"/>
    </row>
    <row r="94" spans="1:61" ht="37.5" hidden="1">
      <c r="A94" s="92">
        <v>95</v>
      </c>
      <c r="B94" s="96" t="s">
        <v>28</v>
      </c>
      <c r="C94" s="96" t="s">
        <v>661</v>
      </c>
      <c r="D94" s="96">
        <v>10269419</v>
      </c>
      <c r="E94" s="96">
        <v>8</v>
      </c>
      <c r="F94" s="96">
        <v>58</v>
      </c>
      <c r="G94" s="97" t="s">
        <v>20</v>
      </c>
      <c r="H94" s="95" t="s">
        <v>300</v>
      </c>
      <c r="I94" s="96" t="s">
        <v>33</v>
      </c>
      <c r="J94" s="96" t="s">
        <v>33</v>
      </c>
      <c r="K94" s="96" t="s">
        <v>33</v>
      </c>
      <c r="L94" s="97" t="s">
        <v>84</v>
      </c>
      <c r="M94" s="96" t="s">
        <v>33</v>
      </c>
      <c r="N94" s="96" t="s">
        <v>33</v>
      </c>
      <c r="O94" s="95" t="s">
        <v>25</v>
      </c>
      <c r="P94" s="96" t="s">
        <v>434</v>
      </c>
      <c r="Q94" s="82"/>
      <c r="R94" s="96" t="s">
        <v>531</v>
      </c>
      <c r="S94" s="96" t="s">
        <v>535</v>
      </c>
      <c r="T94" s="96" t="s">
        <v>518</v>
      </c>
      <c r="U94" s="96" t="s">
        <v>524</v>
      </c>
      <c r="V94" s="107">
        <v>46030</v>
      </c>
      <c r="W94" s="107">
        <v>46120</v>
      </c>
      <c r="X94" s="96">
        <f ca="1">W94-TODAY()</f>
        <v>35</v>
      </c>
      <c r="Y94" s="96" t="str">
        <f ca="1">IF(X94&gt;=60,"Vigente",IF(AND(X94&gt;=1,X94&lt;=59),"Por Vencer","Vencido"))</f>
        <v>Por Vencer</v>
      </c>
      <c r="Z94" s="96"/>
    </row>
    <row r="95" spans="1:61" ht="20.25" hidden="1" customHeight="1">
      <c r="A95" s="92">
        <v>96</v>
      </c>
      <c r="B95" s="96" t="s">
        <v>18</v>
      </c>
      <c r="C95" s="96" t="s">
        <v>662</v>
      </c>
      <c r="D95" s="96">
        <v>9140037</v>
      </c>
      <c r="E95" s="96">
        <v>5</v>
      </c>
      <c r="F95" s="96">
        <v>65</v>
      </c>
      <c r="G95" s="3" t="s">
        <v>30</v>
      </c>
      <c r="H95" s="95" t="s">
        <v>59</v>
      </c>
      <c r="I95" s="96">
        <v>2024</v>
      </c>
      <c r="J95" s="107">
        <v>45637</v>
      </c>
      <c r="K95" s="96" t="s">
        <v>18</v>
      </c>
      <c r="L95" s="96" t="s">
        <v>23</v>
      </c>
      <c r="M95" s="107">
        <v>45673</v>
      </c>
      <c r="N95" s="96" t="s">
        <v>326</v>
      </c>
      <c r="O95" s="96" t="s">
        <v>42</v>
      </c>
      <c r="P95" s="96" t="s">
        <v>526</v>
      </c>
      <c r="Q95" s="82"/>
      <c r="R95" s="96" t="s">
        <v>517</v>
      </c>
      <c r="S95" s="96" t="s">
        <v>33</v>
      </c>
      <c r="T95" s="96" t="s">
        <v>518</v>
      </c>
      <c r="U95" s="95" t="s">
        <v>519</v>
      </c>
      <c r="V95" s="107">
        <v>45678</v>
      </c>
      <c r="W95" s="107">
        <v>45768</v>
      </c>
      <c r="X95" s="96">
        <f ca="1">W95-TODAY()</f>
        <v>-317</v>
      </c>
      <c r="Y95" s="96" t="str">
        <f ca="1">IF(X95&gt;=60,"Vigente",IF(AND(X95&gt;=1,X95&lt;=59),"Por Vencer","Vencido"))</f>
        <v>Vencido</v>
      </c>
      <c r="Z95" s="96"/>
    </row>
    <row r="96" spans="1:61" ht="37.5" hidden="1">
      <c r="A96" s="92">
        <v>97</v>
      </c>
      <c r="B96" s="96" t="s">
        <v>18</v>
      </c>
      <c r="C96" s="3" t="s">
        <v>663</v>
      </c>
      <c r="D96" s="3">
        <v>17036919</v>
      </c>
      <c r="E96" s="3" t="s">
        <v>45</v>
      </c>
      <c r="F96" s="3">
        <v>36</v>
      </c>
      <c r="G96" s="97" t="s">
        <v>20</v>
      </c>
      <c r="H96" s="96" t="s">
        <v>431</v>
      </c>
      <c r="I96" s="97" t="s">
        <v>33</v>
      </c>
      <c r="J96" s="97" t="s">
        <v>33</v>
      </c>
      <c r="K96" s="96" t="s">
        <v>33</v>
      </c>
      <c r="L96" s="3" t="s">
        <v>51</v>
      </c>
      <c r="M96" s="97" t="s">
        <v>33</v>
      </c>
      <c r="N96" s="97" t="s">
        <v>33</v>
      </c>
      <c r="O96" s="95" t="s">
        <v>25</v>
      </c>
      <c r="P96" s="96" t="s">
        <v>526</v>
      </c>
      <c r="Q96" s="2"/>
      <c r="R96" s="96" t="s">
        <v>527</v>
      </c>
      <c r="S96" s="96" t="s">
        <v>33</v>
      </c>
      <c r="T96" s="96" t="s">
        <v>528</v>
      </c>
      <c r="U96" s="95" t="s">
        <v>536</v>
      </c>
      <c r="V96" s="109">
        <v>45873</v>
      </c>
      <c r="W96" s="109">
        <v>45900</v>
      </c>
      <c r="X96" s="3">
        <f ca="1">W96-TODAY()</f>
        <v>-185</v>
      </c>
      <c r="Y96" s="96" t="str">
        <f ca="1">IF(X96&gt;=60,"Vigente",IF(AND(X96&gt;=1,X96&lt;=59),"Por Vencer","Vencido"))</f>
        <v>Vencido</v>
      </c>
      <c r="Z96" s="96" t="s">
        <v>664</v>
      </c>
    </row>
    <row r="97" spans="1:26" ht="37.5" hidden="1">
      <c r="A97" s="92">
        <v>98</v>
      </c>
      <c r="B97" s="96" t="s">
        <v>28</v>
      </c>
      <c r="C97" s="96" t="s">
        <v>665</v>
      </c>
      <c r="D97" s="97">
        <v>6703318</v>
      </c>
      <c r="E97" s="96">
        <v>3</v>
      </c>
      <c r="F97" s="96">
        <v>72</v>
      </c>
      <c r="G97" s="97" t="s">
        <v>20</v>
      </c>
      <c r="H97" s="96" t="s">
        <v>378</v>
      </c>
      <c r="I97" s="96">
        <v>2021</v>
      </c>
      <c r="J97" s="107">
        <v>44397</v>
      </c>
      <c r="K97" s="96" t="s">
        <v>33</v>
      </c>
      <c r="L97" s="3" t="s">
        <v>23</v>
      </c>
      <c r="M97" s="97" t="s">
        <v>33</v>
      </c>
      <c r="N97" s="97" t="s">
        <v>33</v>
      </c>
      <c r="O97" s="95" t="s">
        <v>25</v>
      </c>
      <c r="P97" s="96" t="s">
        <v>526</v>
      </c>
      <c r="Q97" s="82"/>
      <c r="R97" s="95" t="s">
        <v>570</v>
      </c>
      <c r="S97" s="96" t="s">
        <v>33</v>
      </c>
      <c r="T97" s="96" t="s">
        <v>571</v>
      </c>
      <c r="U97" s="96" t="s">
        <v>524</v>
      </c>
      <c r="V97" s="107">
        <v>45881</v>
      </c>
      <c r="W97" s="107">
        <v>46003</v>
      </c>
      <c r="X97" s="96">
        <f ca="1">W97-TODAY()</f>
        <v>-82</v>
      </c>
      <c r="Y97" s="96" t="str">
        <f ca="1">IF(X97&gt;=60,"Vigente",IF(AND(X97&gt;=1,X97&lt;=59),"Por Vencer","Vencido"))</f>
        <v>Vencido</v>
      </c>
      <c r="Z97" s="96"/>
    </row>
    <row r="98" spans="1:26" ht="20.25" hidden="1" customHeight="1">
      <c r="A98" s="92">
        <v>99</v>
      </c>
      <c r="B98" s="96" t="s">
        <v>18</v>
      </c>
      <c r="C98" s="96" t="s">
        <v>666</v>
      </c>
      <c r="D98" s="96">
        <v>6500020</v>
      </c>
      <c r="E98" s="96">
        <v>2</v>
      </c>
      <c r="F98" s="96">
        <v>74</v>
      </c>
      <c r="G98" s="3" t="s">
        <v>30</v>
      </c>
      <c r="H98" s="96" t="s">
        <v>50</v>
      </c>
      <c r="I98" s="96">
        <v>2024</v>
      </c>
      <c r="J98" s="107">
        <v>45576</v>
      </c>
      <c r="K98" s="96" t="s">
        <v>83</v>
      </c>
      <c r="L98" s="95" t="s">
        <v>23</v>
      </c>
      <c r="M98" s="107">
        <v>45645</v>
      </c>
      <c r="N98" s="96" t="s">
        <v>539</v>
      </c>
      <c r="O98" s="96" t="s">
        <v>42</v>
      </c>
      <c r="P98" s="96" t="s">
        <v>434</v>
      </c>
      <c r="Q98" s="82"/>
      <c r="R98" s="96" t="s">
        <v>517</v>
      </c>
      <c r="S98" s="96" t="s">
        <v>33</v>
      </c>
      <c r="T98" s="96" t="s">
        <v>518</v>
      </c>
      <c r="U98" s="95" t="s">
        <v>519</v>
      </c>
      <c r="V98" s="107">
        <v>46080</v>
      </c>
      <c r="W98" s="107">
        <v>46169</v>
      </c>
      <c r="X98" s="96">
        <f ca="1">W98-TODAY()</f>
        <v>84</v>
      </c>
      <c r="Y98" s="96" t="str">
        <f ca="1">IF(X98&gt;=60,"Vigente",IF(AND(X98&gt;=1,X98&lt;=59),"Por Vencer","Vencido"))</f>
        <v>Vigente</v>
      </c>
      <c r="Z98" s="96"/>
    </row>
    <row r="99" spans="1:26" ht="37.5" hidden="1">
      <c r="A99" s="92">
        <v>100</v>
      </c>
      <c r="B99" s="96" t="s">
        <v>28</v>
      </c>
      <c r="C99" s="96" t="s">
        <v>667</v>
      </c>
      <c r="D99" s="96">
        <v>6749903</v>
      </c>
      <c r="E99" s="96">
        <v>4</v>
      </c>
      <c r="F99" s="96">
        <v>77</v>
      </c>
      <c r="G99" s="97" t="s">
        <v>20</v>
      </c>
      <c r="H99" s="96" t="s">
        <v>378</v>
      </c>
      <c r="I99" s="96">
        <v>2024</v>
      </c>
      <c r="J99" s="107">
        <v>45397</v>
      </c>
      <c r="K99" s="96" t="s">
        <v>33</v>
      </c>
      <c r="L99" s="3" t="s">
        <v>23</v>
      </c>
      <c r="M99" s="96" t="s">
        <v>33</v>
      </c>
      <c r="N99" s="96" t="s">
        <v>33</v>
      </c>
      <c r="O99" s="95" t="s">
        <v>25</v>
      </c>
      <c r="P99" s="96" t="s">
        <v>434</v>
      </c>
      <c r="Q99" s="82"/>
      <c r="R99" s="96" t="s">
        <v>522</v>
      </c>
      <c r="S99" s="96" t="s">
        <v>33</v>
      </c>
      <c r="T99" s="96" t="s">
        <v>523</v>
      </c>
      <c r="U99" s="96" t="s">
        <v>524</v>
      </c>
      <c r="V99" s="107">
        <v>46028</v>
      </c>
      <c r="W99" s="107">
        <v>46209</v>
      </c>
      <c r="X99" s="96">
        <f ca="1">W99-TODAY()</f>
        <v>124</v>
      </c>
      <c r="Y99" s="96" t="str">
        <f ca="1">IF(X99&gt;=60,"Vigente",IF(AND(X99&gt;=1,X99&lt;=59),"Por Vencer","Vencido"))</f>
        <v>Vigente</v>
      </c>
      <c r="Z99" s="96"/>
    </row>
    <row r="100" spans="1:26" ht="34.5" hidden="1" customHeight="1">
      <c r="A100" s="92">
        <v>101</v>
      </c>
      <c r="B100" s="96" t="s">
        <v>28</v>
      </c>
      <c r="C100" s="96" t="s">
        <v>668</v>
      </c>
      <c r="D100" s="96">
        <v>12397301</v>
      </c>
      <c r="E100" s="96">
        <v>1</v>
      </c>
      <c r="F100" s="96">
        <v>50</v>
      </c>
      <c r="G100" s="97" t="s">
        <v>270</v>
      </c>
      <c r="H100" s="96" t="s">
        <v>669</v>
      </c>
      <c r="I100" s="96" t="s">
        <v>33</v>
      </c>
      <c r="J100" s="96" t="s">
        <v>35</v>
      </c>
      <c r="K100" s="96" t="s">
        <v>33</v>
      </c>
      <c r="L100" s="95" t="s">
        <v>23</v>
      </c>
      <c r="M100" s="97" t="s">
        <v>33</v>
      </c>
      <c r="N100" s="97" t="s">
        <v>33</v>
      </c>
      <c r="O100" s="96" t="s">
        <v>42</v>
      </c>
      <c r="P100" s="96" t="s">
        <v>526</v>
      </c>
      <c r="Q100" s="82"/>
      <c r="R100" s="96" t="s">
        <v>517</v>
      </c>
      <c r="S100" s="96" t="s">
        <v>33</v>
      </c>
      <c r="T100" s="96" t="s">
        <v>518</v>
      </c>
      <c r="U100" s="95" t="s">
        <v>519</v>
      </c>
      <c r="V100" s="95"/>
      <c r="W100" s="107">
        <v>45731</v>
      </c>
      <c r="X100" s="96">
        <f ca="1">W100-TODAY()</f>
        <v>-354</v>
      </c>
      <c r="Y100" s="96" t="str">
        <f ca="1">IF(X100&gt;=60,"Vigente",IF(AND(X100&gt;=1,X100&lt;=59),"Por Vencer","Vencido"))</f>
        <v>Vencido</v>
      </c>
      <c r="Z100" s="96"/>
    </row>
    <row r="101" spans="1:26" ht="37.5" hidden="1">
      <c r="A101" s="92">
        <v>102</v>
      </c>
      <c r="B101" s="96" t="s">
        <v>18</v>
      </c>
      <c r="C101" s="99" t="s">
        <v>670</v>
      </c>
      <c r="D101" s="98">
        <v>11506207</v>
      </c>
      <c r="E101" s="98">
        <v>7</v>
      </c>
      <c r="F101" s="98">
        <v>55</v>
      </c>
      <c r="G101" s="98" t="s">
        <v>30</v>
      </c>
      <c r="H101" s="97" t="s">
        <v>251</v>
      </c>
      <c r="I101" s="98" t="s">
        <v>33</v>
      </c>
      <c r="J101" s="98" t="s">
        <v>33</v>
      </c>
      <c r="K101" s="98" t="s">
        <v>33</v>
      </c>
      <c r="L101" s="98" t="s">
        <v>51</v>
      </c>
      <c r="M101" s="98" t="s">
        <v>33</v>
      </c>
      <c r="N101" s="98" t="s">
        <v>33</v>
      </c>
      <c r="O101" s="95" t="s">
        <v>25</v>
      </c>
      <c r="P101" s="96" t="s">
        <v>434</v>
      </c>
      <c r="Q101" s="86"/>
      <c r="R101" s="96" t="s">
        <v>527</v>
      </c>
      <c r="S101" s="98" t="s">
        <v>33</v>
      </c>
      <c r="T101" s="96" t="s">
        <v>528</v>
      </c>
      <c r="U101" s="3" t="s">
        <v>524</v>
      </c>
      <c r="V101" s="114">
        <v>45985</v>
      </c>
      <c r="W101" s="114">
        <v>46046</v>
      </c>
      <c r="X101" s="3">
        <f ca="1">W101-TODAY()</f>
        <v>-39</v>
      </c>
      <c r="Y101" s="96" t="str">
        <f ca="1">IF(X101&gt;=60,"Vigente",IF(AND(X101&gt;=1,X101&lt;=59),"Por Vencer","Vencido"))</f>
        <v>Vencido</v>
      </c>
      <c r="Z101" s="96"/>
    </row>
    <row r="102" spans="1:26" hidden="1">
      <c r="A102" s="92">
        <v>103</v>
      </c>
      <c r="B102" s="96" t="s">
        <v>18</v>
      </c>
      <c r="C102" s="96" t="s">
        <v>671</v>
      </c>
      <c r="D102" s="96">
        <v>7341905</v>
      </c>
      <c r="E102" s="96">
        <v>0</v>
      </c>
      <c r="F102" s="100">
        <v>68</v>
      </c>
      <c r="G102" s="97" t="s">
        <v>20</v>
      </c>
      <c r="H102" s="96" t="s">
        <v>418</v>
      </c>
      <c r="I102" s="100">
        <v>2013</v>
      </c>
      <c r="J102" s="107">
        <v>41494</v>
      </c>
      <c r="K102" s="96" t="s">
        <v>83</v>
      </c>
      <c r="L102" s="96" t="s">
        <v>23</v>
      </c>
      <c r="M102" s="107">
        <v>44420</v>
      </c>
      <c r="N102" s="96" t="s">
        <v>672</v>
      </c>
      <c r="O102" s="96" t="s">
        <v>42</v>
      </c>
      <c r="P102" s="96" t="s">
        <v>526</v>
      </c>
      <c r="Q102" s="82"/>
      <c r="R102" s="96" t="s">
        <v>517</v>
      </c>
      <c r="S102" s="96" t="s">
        <v>33</v>
      </c>
      <c r="T102" s="96" t="s">
        <v>518</v>
      </c>
      <c r="U102" s="95" t="s">
        <v>519</v>
      </c>
      <c r="V102" s="108"/>
      <c r="W102" s="107">
        <v>45731</v>
      </c>
      <c r="X102" s="96">
        <f ca="1">W102-TODAY()</f>
        <v>-354</v>
      </c>
      <c r="Y102" s="96" t="str">
        <f ca="1">IF(X102&gt;=60,"Vigente",IF(AND(X102&gt;=1,X102&lt;=59),"Por Vencer","Vencido"))</f>
        <v>Vencido</v>
      </c>
      <c r="Z102" s="96"/>
    </row>
    <row r="103" spans="1:26" ht="31.5" hidden="1" customHeight="1">
      <c r="A103" s="92">
        <v>104</v>
      </c>
      <c r="B103" s="96" t="s">
        <v>18</v>
      </c>
      <c r="C103" s="3" t="s">
        <v>673</v>
      </c>
      <c r="D103" s="3">
        <v>13178312</v>
      </c>
      <c r="E103" s="3">
        <v>4</v>
      </c>
      <c r="F103" s="3">
        <v>49</v>
      </c>
      <c r="G103" s="3" t="s">
        <v>30</v>
      </c>
      <c r="H103" s="95" t="s">
        <v>300</v>
      </c>
      <c r="I103" s="97">
        <v>2025</v>
      </c>
      <c r="J103" s="110">
        <v>45995</v>
      </c>
      <c r="K103" s="96" t="s">
        <v>33</v>
      </c>
      <c r="L103" s="3" t="s">
        <v>23</v>
      </c>
      <c r="M103" s="3" t="s">
        <v>33</v>
      </c>
      <c r="N103" s="3" t="s">
        <v>33</v>
      </c>
      <c r="O103" s="95" t="s">
        <v>25</v>
      </c>
      <c r="P103" s="96" t="s">
        <v>434</v>
      </c>
      <c r="Q103" s="2"/>
      <c r="R103" s="96" t="s">
        <v>527</v>
      </c>
      <c r="S103" s="96" t="s">
        <v>33</v>
      </c>
      <c r="T103" s="96" t="s">
        <v>528</v>
      </c>
      <c r="U103" s="95" t="s">
        <v>536</v>
      </c>
      <c r="V103" s="109">
        <v>46028</v>
      </c>
      <c r="W103" s="109">
        <v>46059</v>
      </c>
      <c r="X103" s="3">
        <f ca="1">W103-TODAY()</f>
        <v>-26</v>
      </c>
      <c r="Y103" s="96" t="str">
        <f ca="1">IF(X103&gt;=60,"Vigente",IF(AND(X103&gt;=1,X103&lt;=59),"Por Vencer","Vencido"))</f>
        <v>Vencido</v>
      </c>
      <c r="Z103" s="96" t="s">
        <v>674</v>
      </c>
    </row>
    <row r="104" spans="1:26" ht="37.5" hidden="1">
      <c r="A104" s="92">
        <v>105</v>
      </c>
      <c r="B104" s="96" t="s">
        <v>28</v>
      </c>
      <c r="C104" s="3" t="s">
        <v>675</v>
      </c>
      <c r="D104" s="3">
        <v>6544012</v>
      </c>
      <c r="E104" s="3">
        <v>1</v>
      </c>
      <c r="F104" s="3">
        <v>75</v>
      </c>
      <c r="G104" s="97" t="s">
        <v>20</v>
      </c>
      <c r="H104" s="96" t="s">
        <v>431</v>
      </c>
      <c r="I104" s="3" t="s">
        <v>33</v>
      </c>
      <c r="J104" s="3" t="s">
        <v>33</v>
      </c>
      <c r="K104" s="3" t="s">
        <v>33</v>
      </c>
      <c r="L104" s="3" t="s">
        <v>51</v>
      </c>
      <c r="M104" s="3" t="s">
        <v>33</v>
      </c>
      <c r="N104" s="3" t="s">
        <v>33</v>
      </c>
      <c r="O104" s="95" t="s">
        <v>25</v>
      </c>
      <c r="P104" s="96" t="s">
        <v>434</v>
      </c>
      <c r="Q104" s="2"/>
      <c r="R104" s="96" t="s">
        <v>527</v>
      </c>
      <c r="S104" s="96" t="s">
        <v>33</v>
      </c>
      <c r="T104" s="96" t="s">
        <v>528</v>
      </c>
      <c r="U104" s="95" t="s">
        <v>536</v>
      </c>
      <c r="V104" s="109">
        <v>45996</v>
      </c>
      <c r="W104" s="109">
        <v>46027</v>
      </c>
      <c r="X104" s="3">
        <f ca="1">W104-TODAY()</f>
        <v>-58</v>
      </c>
      <c r="Y104" s="96" t="str">
        <f ca="1">IF(X104&gt;=60,"Vigente",IF(AND(X104&gt;=1,X104&lt;=59),"Por Vencer","Vencido"))</f>
        <v>Vencido</v>
      </c>
      <c r="Z104" s="96"/>
    </row>
    <row r="105" spans="1:26" ht="39" hidden="1" customHeight="1">
      <c r="A105" s="92">
        <v>106</v>
      </c>
      <c r="B105" s="96" t="s">
        <v>18</v>
      </c>
      <c r="C105" s="96" t="s">
        <v>676</v>
      </c>
      <c r="D105" s="96">
        <v>10809586</v>
      </c>
      <c r="E105" s="96">
        <v>5</v>
      </c>
      <c r="F105" s="96">
        <v>55</v>
      </c>
      <c r="G105" s="97" t="s">
        <v>20</v>
      </c>
      <c r="H105" s="96" t="s">
        <v>418</v>
      </c>
      <c r="I105" s="96" t="s">
        <v>33</v>
      </c>
      <c r="J105" s="96" t="s">
        <v>33</v>
      </c>
      <c r="K105" s="96" t="s">
        <v>33</v>
      </c>
      <c r="L105" s="95" t="s">
        <v>23</v>
      </c>
      <c r="M105" s="96" t="s">
        <v>33</v>
      </c>
      <c r="N105" s="96" t="s">
        <v>33</v>
      </c>
      <c r="O105" s="96" t="s">
        <v>42</v>
      </c>
      <c r="P105" s="96" t="s">
        <v>526</v>
      </c>
      <c r="Q105" s="82"/>
      <c r="R105" s="96" t="s">
        <v>517</v>
      </c>
      <c r="S105" s="96" t="s">
        <v>33</v>
      </c>
      <c r="T105" s="96" t="s">
        <v>518</v>
      </c>
      <c r="U105" s="95" t="s">
        <v>519</v>
      </c>
      <c r="V105" s="107">
        <v>45839</v>
      </c>
      <c r="W105" s="107">
        <v>45931</v>
      </c>
      <c r="X105" s="96">
        <f ca="1">W105-TODAY()</f>
        <v>-154</v>
      </c>
      <c r="Y105" s="96" t="str">
        <f ca="1">IF(X105&gt;=60,"Vigente",IF(AND(X105&gt;=1,X105&lt;=59),"Por Vencer","Vencido"))</f>
        <v>Vencido</v>
      </c>
      <c r="Z105" s="96"/>
    </row>
    <row r="106" spans="1:26" hidden="1">
      <c r="A106" s="92">
        <v>107</v>
      </c>
      <c r="B106" s="96" t="s">
        <v>18</v>
      </c>
      <c r="C106" s="168" t="s">
        <v>677</v>
      </c>
      <c r="D106" s="96">
        <v>3815220</v>
      </c>
      <c r="E106" s="96">
        <v>3</v>
      </c>
      <c r="F106" s="96">
        <v>86</v>
      </c>
      <c r="G106" s="97" t="s">
        <v>20</v>
      </c>
      <c r="H106" s="96" t="s">
        <v>50</v>
      </c>
      <c r="I106" s="96">
        <v>2024</v>
      </c>
      <c r="J106" s="107">
        <v>45327</v>
      </c>
      <c r="K106" s="96" t="s">
        <v>18</v>
      </c>
      <c r="L106" s="3" t="s">
        <v>23</v>
      </c>
      <c r="M106" s="107">
        <v>45362</v>
      </c>
      <c r="N106" s="95" t="s">
        <v>585</v>
      </c>
      <c r="O106" s="95" t="s">
        <v>25</v>
      </c>
      <c r="P106" s="96" t="s">
        <v>434</v>
      </c>
      <c r="Q106" s="82"/>
      <c r="R106" s="96" t="s">
        <v>522</v>
      </c>
      <c r="S106" s="96" t="s">
        <v>33</v>
      </c>
      <c r="T106" s="96" t="s">
        <v>523</v>
      </c>
      <c r="U106" s="96" t="s">
        <v>524</v>
      </c>
      <c r="V106" s="108">
        <v>45869</v>
      </c>
      <c r="W106" s="108">
        <v>46053</v>
      </c>
      <c r="X106" s="96">
        <f ca="1">W106-TODAY()</f>
        <v>-32</v>
      </c>
      <c r="Y106" s="96" t="str">
        <f ca="1">IF(X106&gt;=60,"Vigente",IF(AND(X106&gt;=1,X106&lt;=59),"Por Vencer","Vencido"))</f>
        <v>Vencido</v>
      </c>
      <c r="Z106" s="96"/>
    </row>
    <row r="107" spans="1:26" ht="20.25" hidden="1" customHeight="1">
      <c r="A107" s="92">
        <v>108</v>
      </c>
      <c r="B107" s="96" t="s">
        <v>18</v>
      </c>
      <c r="C107" s="98" t="s">
        <v>678</v>
      </c>
      <c r="D107" s="98">
        <v>8641224</v>
      </c>
      <c r="E107" s="98">
        <v>1</v>
      </c>
      <c r="F107" s="98">
        <v>66</v>
      </c>
      <c r="G107" s="98"/>
      <c r="H107" s="98" t="s">
        <v>59</v>
      </c>
      <c r="I107" s="98"/>
      <c r="J107" s="98"/>
      <c r="K107" s="98"/>
      <c r="L107" s="98"/>
      <c r="M107" s="98"/>
      <c r="N107" s="98"/>
      <c r="O107" s="96" t="s">
        <v>42</v>
      </c>
      <c r="P107" s="96" t="s">
        <v>526</v>
      </c>
      <c r="Q107" s="86"/>
      <c r="R107" s="98"/>
      <c r="S107" s="98"/>
      <c r="T107" s="98"/>
      <c r="U107" s="98"/>
      <c r="V107" s="98"/>
      <c r="W107" s="98"/>
      <c r="X107" s="3">
        <f ca="1">W107-TODAY()</f>
        <v>-46085</v>
      </c>
      <c r="Y107" s="96" t="str">
        <f ca="1">IF(X107&gt;=60,"Vigente",IF(AND(X107&gt;=1,X107&lt;=59),"Por Vencer","Vencido"))</f>
        <v>Vencido</v>
      </c>
      <c r="Z107" s="96"/>
    </row>
    <row r="108" spans="1:26" hidden="1">
      <c r="A108" s="92">
        <v>109</v>
      </c>
      <c r="B108" s="96" t="s">
        <v>28</v>
      </c>
      <c r="C108" s="96" t="s">
        <v>679</v>
      </c>
      <c r="D108" s="96">
        <v>9133727</v>
      </c>
      <c r="E108" s="96">
        <v>4</v>
      </c>
      <c r="F108" s="96">
        <v>63</v>
      </c>
      <c r="G108" s="97" t="s">
        <v>20</v>
      </c>
      <c r="H108" s="96" t="s">
        <v>669</v>
      </c>
      <c r="I108" s="95">
        <v>2019</v>
      </c>
      <c r="J108" s="107">
        <v>43643</v>
      </c>
      <c r="K108" s="96" t="s">
        <v>83</v>
      </c>
      <c r="L108" s="3" t="s">
        <v>23</v>
      </c>
      <c r="M108" s="97" t="s">
        <v>33</v>
      </c>
      <c r="N108" s="97" t="s">
        <v>33</v>
      </c>
      <c r="O108" s="95" t="s">
        <v>25</v>
      </c>
      <c r="P108" s="96" t="s">
        <v>434</v>
      </c>
      <c r="Q108" s="82"/>
      <c r="R108" s="96" t="s">
        <v>531</v>
      </c>
      <c r="S108" s="96" t="s">
        <v>33</v>
      </c>
      <c r="T108" s="96" t="s">
        <v>518</v>
      </c>
      <c r="U108" s="96" t="s">
        <v>524</v>
      </c>
      <c r="V108" s="107">
        <v>46002</v>
      </c>
      <c r="W108" s="107">
        <v>46092</v>
      </c>
      <c r="X108" s="96">
        <f ca="1">W108-TODAY()</f>
        <v>7</v>
      </c>
      <c r="Y108" s="96" t="str">
        <f ca="1">IF(X108&gt;=60,"Vigente",IF(AND(X108&gt;=1,X108&lt;=59),"Por Vencer","Vencido"))</f>
        <v>Por Vencer</v>
      </c>
      <c r="Z108" s="96"/>
    </row>
    <row r="109" spans="1:26" hidden="1">
      <c r="A109" s="92">
        <v>111</v>
      </c>
      <c r="B109" s="96" t="s">
        <v>18</v>
      </c>
      <c r="C109" s="3" t="s">
        <v>680</v>
      </c>
      <c r="D109" s="3">
        <v>8094767</v>
      </c>
      <c r="E109" s="3">
        <v>4</v>
      </c>
      <c r="F109" s="3">
        <v>69</v>
      </c>
      <c r="G109" s="97" t="s">
        <v>20</v>
      </c>
      <c r="H109" s="96" t="s">
        <v>50</v>
      </c>
      <c r="I109" s="3">
        <v>2025</v>
      </c>
      <c r="J109" s="3">
        <v>2025</v>
      </c>
      <c r="K109" s="3" t="s">
        <v>83</v>
      </c>
      <c r="L109" s="3" t="s">
        <v>84</v>
      </c>
      <c r="M109" s="109">
        <v>45911</v>
      </c>
      <c r="N109" s="3" t="s">
        <v>483</v>
      </c>
      <c r="O109" s="96" t="s">
        <v>42</v>
      </c>
      <c r="P109" s="96" t="s">
        <v>526</v>
      </c>
      <c r="Q109" s="2"/>
      <c r="R109" s="96" t="s">
        <v>517</v>
      </c>
      <c r="S109" s="96" t="s">
        <v>33</v>
      </c>
      <c r="T109" s="96" t="s">
        <v>518</v>
      </c>
      <c r="U109" s="95" t="s">
        <v>519</v>
      </c>
      <c r="V109" s="109">
        <v>45916</v>
      </c>
      <c r="W109" s="109">
        <v>46007</v>
      </c>
      <c r="X109" s="3">
        <f ca="1">W109-TODAY()</f>
        <v>-78</v>
      </c>
      <c r="Y109" s="96" t="str">
        <f ca="1">IF(X109&gt;=60,"Vigente",IF(AND(X109&gt;=1,X109&lt;=59),"Por Vencer","Vencido"))</f>
        <v>Vencido</v>
      </c>
      <c r="Z109" s="96"/>
    </row>
    <row r="110" spans="1:26" ht="20.25" hidden="1" customHeight="1">
      <c r="A110" s="92">
        <v>112</v>
      </c>
      <c r="B110" s="96" t="s">
        <v>28</v>
      </c>
      <c r="C110" s="95" t="s">
        <v>681</v>
      </c>
      <c r="D110" s="95">
        <v>9315208</v>
      </c>
      <c r="E110" s="95">
        <v>5</v>
      </c>
      <c r="F110" s="95">
        <v>59</v>
      </c>
      <c r="G110" s="3" t="s">
        <v>30</v>
      </c>
      <c r="H110" s="95" t="s">
        <v>682</v>
      </c>
      <c r="I110" s="95">
        <v>2023</v>
      </c>
      <c r="J110" s="95">
        <v>2023</v>
      </c>
      <c r="K110" s="96" t="s">
        <v>18</v>
      </c>
      <c r="L110" s="95" t="s">
        <v>23</v>
      </c>
      <c r="M110" s="108">
        <v>45239</v>
      </c>
      <c r="N110" s="96" t="s">
        <v>539</v>
      </c>
      <c r="O110" s="96" t="s">
        <v>42</v>
      </c>
      <c r="P110" s="96" t="s">
        <v>526</v>
      </c>
      <c r="Q110" s="84"/>
      <c r="R110" s="96" t="s">
        <v>517</v>
      </c>
      <c r="S110" s="96" t="s">
        <v>33</v>
      </c>
      <c r="T110" s="96" t="s">
        <v>518</v>
      </c>
      <c r="U110" s="95" t="s">
        <v>519</v>
      </c>
      <c r="V110" s="108">
        <v>45839</v>
      </c>
      <c r="W110" s="108">
        <v>45931</v>
      </c>
      <c r="X110" s="96">
        <f ca="1">W110-TODAY()</f>
        <v>-154</v>
      </c>
      <c r="Y110" s="96" t="str">
        <f ca="1">IF(X110&gt;=60,"Vigente",IF(AND(X110&gt;=1,X110&lt;=59),"Por Vencer","Vencido"))</f>
        <v>Vencido</v>
      </c>
      <c r="Z110" s="96"/>
    </row>
    <row r="111" spans="1:26" ht="35.25" hidden="1" customHeight="1">
      <c r="A111" s="92">
        <v>113</v>
      </c>
      <c r="B111" s="96" t="s">
        <v>28</v>
      </c>
      <c r="C111" s="95" t="s">
        <v>683</v>
      </c>
      <c r="D111" s="95">
        <v>6639884</v>
      </c>
      <c r="E111" s="95">
        <v>6</v>
      </c>
      <c r="F111" s="95">
        <v>69</v>
      </c>
      <c r="G111" s="3" t="s">
        <v>30</v>
      </c>
      <c r="H111" s="95" t="s">
        <v>300</v>
      </c>
      <c r="I111" s="95">
        <v>2021</v>
      </c>
      <c r="J111" s="108">
        <v>44426</v>
      </c>
      <c r="K111" s="96" t="s">
        <v>83</v>
      </c>
      <c r="L111" s="97" t="s">
        <v>84</v>
      </c>
      <c r="M111" s="97" t="s">
        <v>33</v>
      </c>
      <c r="N111" s="97" t="s">
        <v>33</v>
      </c>
      <c r="O111" s="95" t="s">
        <v>25</v>
      </c>
      <c r="P111" s="96" t="s">
        <v>434</v>
      </c>
      <c r="Q111" s="84"/>
      <c r="R111" s="95" t="s">
        <v>570</v>
      </c>
      <c r="S111" s="96" t="s">
        <v>535</v>
      </c>
      <c r="T111" s="96" t="s">
        <v>571</v>
      </c>
      <c r="U111" s="108" t="s">
        <v>524</v>
      </c>
      <c r="V111" s="108">
        <v>45981</v>
      </c>
      <c r="W111" s="108">
        <v>46101</v>
      </c>
      <c r="X111" s="96">
        <f ca="1">W111-TODAY()</f>
        <v>16</v>
      </c>
      <c r="Y111" s="96" t="str">
        <f ca="1">IF(X111&gt;=60,"Vigente",IF(AND(X111&gt;=1,X111&lt;=59),"Por Vencer","Vencido"))</f>
        <v>Por Vencer</v>
      </c>
      <c r="Z111" s="96"/>
    </row>
    <row r="112" spans="1:26" ht="39" hidden="1" customHeight="1">
      <c r="A112" s="92">
        <v>114</v>
      </c>
      <c r="B112" s="96" t="s">
        <v>18</v>
      </c>
      <c r="C112" s="96" t="s">
        <v>684</v>
      </c>
      <c r="D112" s="96">
        <v>19771863</v>
      </c>
      <c r="E112" s="96">
        <v>3</v>
      </c>
      <c r="F112" s="96">
        <v>26</v>
      </c>
      <c r="G112" s="97" t="s">
        <v>20</v>
      </c>
      <c r="H112" s="96" t="s">
        <v>418</v>
      </c>
      <c r="I112" s="96">
        <v>2001</v>
      </c>
      <c r="J112" s="96">
        <v>2001</v>
      </c>
      <c r="K112" s="96" t="s">
        <v>28</v>
      </c>
      <c r="L112" s="3" t="s">
        <v>23</v>
      </c>
      <c r="M112" s="96" t="s">
        <v>533</v>
      </c>
      <c r="N112" s="96" t="s">
        <v>533</v>
      </c>
      <c r="O112" s="95" t="s">
        <v>25</v>
      </c>
      <c r="P112" s="96" t="s">
        <v>434</v>
      </c>
      <c r="Q112" s="82"/>
      <c r="R112" s="96" t="s">
        <v>545</v>
      </c>
      <c r="S112" s="96" t="s">
        <v>33</v>
      </c>
      <c r="T112" s="108" t="s">
        <v>546</v>
      </c>
      <c r="U112" s="96" t="s">
        <v>524</v>
      </c>
      <c r="V112" s="107">
        <v>46009</v>
      </c>
      <c r="W112" s="107">
        <v>46374</v>
      </c>
      <c r="X112" s="96">
        <f ca="1">W112-TODAY()</f>
        <v>289</v>
      </c>
      <c r="Y112" s="96" t="str">
        <f ca="1">IF(X112&gt;=60,"Vigente",IF(AND(X112&gt;=1,X112&lt;=59),"Por Vencer","Vencido"))</f>
        <v>Vigente</v>
      </c>
      <c r="Z112" s="96"/>
    </row>
    <row r="113" spans="1:61" ht="20.25" hidden="1" customHeight="1">
      <c r="A113" s="92">
        <v>115</v>
      </c>
      <c r="B113" s="96" t="s">
        <v>18</v>
      </c>
      <c r="C113" s="3" t="s">
        <v>685</v>
      </c>
      <c r="D113" s="3">
        <v>13177065</v>
      </c>
      <c r="E113" s="3">
        <v>0</v>
      </c>
      <c r="F113" s="3">
        <v>47</v>
      </c>
      <c r="G113" s="97" t="s">
        <v>20</v>
      </c>
      <c r="H113" s="96" t="s">
        <v>46</v>
      </c>
      <c r="I113" s="3" t="s">
        <v>33</v>
      </c>
      <c r="J113" s="3" t="s">
        <v>33</v>
      </c>
      <c r="K113" s="3" t="s">
        <v>33</v>
      </c>
      <c r="L113" s="3" t="s">
        <v>84</v>
      </c>
      <c r="M113" s="109">
        <v>45750</v>
      </c>
      <c r="N113" s="3" t="s">
        <v>539</v>
      </c>
      <c r="O113" s="96" t="s">
        <v>42</v>
      </c>
      <c r="P113" s="96" t="s">
        <v>526</v>
      </c>
      <c r="Q113" s="2"/>
      <c r="R113" s="96" t="s">
        <v>517</v>
      </c>
      <c r="S113" s="96" t="s">
        <v>33</v>
      </c>
      <c r="T113" s="96" t="s">
        <v>518</v>
      </c>
      <c r="U113" s="95" t="s">
        <v>519</v>
      </c>
      <c r="V113" s="109">
        <v>45750</v>
      </c>
      <c r="W113" s="109">
        <v>45841</v>
      </c>
      <c r="X113" s="3">
        <f ca="1">W113-TODAY()</f>
        <v>-244</v>
      </c>
      <c r="Y113" s="96" t="str">
        <f ca="1">IF(X113&gt;=60,"Vigente",IF(AND(X113&gt;=1,X113&lt;=59),"Por Vencer","Vencido"))</f>
        <v>Vencido</v>
      </c>
      <c r="Z113" s="96"/>
    </row>
    <row r="114" spans="1:61" ht="20.25" hidden="1" customHeight="1">
      <c r="A114" s="92">
        <v>116</v>
      </c>
      <c r="B114" s="96" t="s">
        <v>18</v>
      </c>
      <c r="C114" s="96" t="s">
        <v>686</v>
      </c>
      <c r="D114" s="96">
        <v>5365926</v>
      </c>
      <c r="E114" s="96">
        <v>8</v>
      </c>
      <c r="F114" s="96">
        <v>77</v>
      </c>
      <c r="G114" s="3" t="s">
        <v>30</v>
      </c>
      <c r="H114" s="96" t="s">
        <v>50</v>
      </c>
      <c r="I114" s="95">
        <v>2023</v>
      </c>
      <c r="J114" s="107">
        <v>45009</v>
      </c>
      <c r="K114" s="96" t="s">
        <v>18</v>
      </c>
      <c r="L114" s="95" t="s">
        <v>23</v>
      </c>
      <c r="M114" s="107">
        <v>45071</v>
      </c>
      <c r="N114" s="96" t="s">
        <v>539</v>
      </c>
      <c r="O114" s="96" t="s">
        <v>42</v>
      </c>
      <c r="P114" s="96" t="s">
        <v>526</v>
      </c>
      <c r="Q114" s="82"/>
      <c r="R114" s="96" t="s">
        <v>517</v>
      </c>
      <c r="S114" s="96" t="s">
        <v>33</v>
      </c>
      <c r="T114" s="96" t="s">
        <v>518</v>
      </c>
      <c r="U114" s="95" t="s">
        <v>519</v>
      </c>
      <c r="V114" s="95"/>
      <c r="W114" s="107">
        <v>45731</v>
      </c>
      <c r="X114" s="96">
        <f ca="1">W114-TODAY()</f>
        <v>-354</v>
      </c>
      <c r="Y114" s="96" t="str">
        <f ca="1">IF(X114&gt;=60,"Vigente",IF(AND(X114&gt;=1,X114&lt;=59),"Por Vencer","Vencido"))</f>
        <v>Vencido</v>
      </c>
      <c r="Z114" s="96"/>
    </row>
    <row r="115" spans="1:61" ht="39" hidden="1" customHeight="1">
      <c r="A115" s="92">
        <v>117</v>
      </c>
      <c r="B115" s="96" t="s">
        <v>18</v>
      </c>
      <c r="C115" s="98" t="s">
        <v>687</v>
      </c>
      <c r="D115" s="98">
        <v>8801640</v>
      </c>
      <c r="E115" s="98">
        <v>8</v>
      </c>
      <c r="F115" s="98">
        <v>66</v>
      </c>
      <c r="G115" s="97" t="s">
        <v>30</v>
      </c>
      <c r="H115" s="97" t="s">
        <v>206</v>
      </c>
      <c r="I115" s="98">
        <v>2025</v>
      </c>
      <c r="J115" s="98" t="s">
        <v>33</v>
      </c>
      <c r="K115" s="98" t="s">
        <v>33</v>
      </c>
      <c r="L115" s="98" t="s">
        <v>51</v>
      </c>
      <c r="M115" s="114">
        <v>46030</v>
      </c>
      <c r="N115" s="98" t="s">
        <v>33</v>
      </c>
      <c r="O115" s="95" t="s">
        <v>25</v>
      </c>
      <c r="P115" s="98" t="s">
        <v>434</v>
      </c>
      <c r="Q115" s="86"/>
      <c r="R115" s="96" t="s">
        <v>527</v>
      </c>
      <c r="S115" s="98" t="s">
        <v>33</v>
      </c>
      <c r="T115" s="96" t="s">
        <v>528</v>
      </c>
      <c r="U115" s="3" t="s">
        <v>536</v>
      </c>
      <c r="V115" s="114">
        <v>46035</v>
      </c>
      <c r="W115" s="114">
        <v>46066</v>
      </c>
      <c r="X115" s="3">
        <f ca="1">W115-TODAY()</f>
        <v>-19</v>
      </c>
      <c r="Y115" s="96" t="str">
        <f ca="1">IF(X115&gt;=60,"Vigente",IF(AND(X115&gt;=1,X115&lt;=59),"Por Vencer","Vencido"))</f>
        <v>Vencido</v>
      </c>
      <c r="Z115" s="96"/>
    </row>
    <row r="116" spans="1:61" ht="39" hidden="1" customHeight="1">
      <c r="A116" s="92">
        <v>118</v>
      </c>
      <c r="B116" s="96" t="s">
        <v>28</v>
      </c>
      <c r="C116" s="95" t="s">
        <v>688</v>
      </c>
      <c r="D116" s="95">
        <v>4581468</v>
      </c>
      <c r="E116" s="95">
        <v>8</v>
      </c>
      <c r="F116" s="95">
        <v>81</v>
      </c>
      <c r="G116" s="97" t="s">
        <v>20</v>
      </c>
      <c r="H116" s="96" t="s">
        <v>431</v>
      </c>
      <c r="I116" s="96">
        <v>2023</v>
      </c>
      <c r="J116" s="107">
        <v>44946</v>
      </c>
      <c r="K116" s="96" t="s">
        <v>33</v>
      </c>
      <c r="L116" s="3" t="s">
        <v>23</v>
      </c>
      <c r="M116" s="97" t="s">
        <v>33</v>
      </c>
      <c r="N116" s="97" t="s">
        <v>33</v>
      </c>
      <c r="O116" s="95" t="s">
        <v>25</v>
      </c>
      <c r="P116" s="96" t="s">
        <v>434</v>
      </c>
      <c r="Q116" s="84"/>
      <c r="R116" s="96" t="s">
        <v>531</v>
      </c>
      <c r="S116" s="96" t="s">
        <v>33</v>
      </c>
      <c r="T116" s="96" t="s">
        <v>518</v>
      </c>
      <c r="U116" s="108" t="s">
        <v>524</v>
      </c>
      <c r="V116" s="108">
        <v>46028</v>
      </c>
      <c r="W116" s="108">
        <v>46118</v>
      </c>
      <c r="X116" s="96">
        <f ca="1">W116-TODAY()</f>
        <v>33</v>
      </c>
      <c r="Y116" s="96" t="str">
        <f ca="1">IF(X116&gt;=60,"Vigente",IF(AND(X116&gt;=1,X116&lt;=59),"Por Vencer","Vencido"))</f>
        <v>Por Vencer</v>
      </c>
      <c r="Z116" s="96"/>
    </row>
    <row r="117" spans="1:61" ht="39" hidden="1" customHeight="1">
      <c r="A117" s="92">
        <v>119</v>
      </c>
      <c r="B117" s="96" t="s">
        <v>28</v>
      </c>
      <c r="C117" s="97" t="s">
        <v>689</v>
      </c>
      <c r="D117" s="97">
        <v>14100634</v>
      </c>
      <c r="E117" s="97">
        <v>7</v>
      </c>
      <c r="F117" s="97">
        <v>42</v>
      </c>
      <c r="G117" s="3" t="s">
        <v>30</v>
      </c>
      <c r="H117" s="95" t="s">
        <v>300</v>
      </c>
      <c r="I117" s="95">
        <v>2023</v>
      </c>
      <c r="J117" s="111">
        <v>45047</v>
      </c>
      <c r="K117" s="96" t="s">
        <v>18</v>
      </c>
      <c r="L117" s="97" t="s">
        <v>84</v>
      </c>
      <c r="M117" s="97" t="s">
        <v>33</v>
      </c>
      <c r="N117" s="97" t="s">
        <v>33</v>
      </c>
      <c r="O117" s="95" t="s">
        <v>25</v>
      </c>
      <c r="P117" s="96" t="s">
        <v>526</v>
      </c>
      <c r="Q117" s="83"/>
      <c r="R117" s="96" t="s">
        <v>527</v>
      </c>
      <c r="S117" s="96" t="s">
        <v>535</v>
      </c>
      <c r="T117" s="96" t="s">
        <v>528</v>
      </c>
      <c r="U117" s="97" t="s">
        <v>536</v>
      </c>
      <c r="V117" s="110">
        <v>45944</v>
      </c>
      <c r="W117" s="110">
        <v>45975</v>
      </c>
      <c r="X117" s="96">
        <f ca="1">W117-TODAY()</f>
        <v>-110</v>
      </c>
      <c r="Y117" s="96" t="str">
        <f ca="1">IF(X117&gt;=60,"Vigente",IF(AND(X117&gt;=1,X117&lt;=59),"Por Vencer","Vencido"))</f>
        <v>Vencido</v>
      </c>
      <c r="Z117" s="107"/>
    </row>
    <row r="118" spans="1:61" ht="39" hidden="1" customHeight="1">
      <c r="A118" s="92">
        <v>120</v>
      </c>
      <c r="B118" s="96" t="s">
        <v>28</v>
      </c>
      <c r="C118" s="96" t="s">
        <v>690</v>
      </c>
      <c r="D118" s="96">
        <v>10834534</v>
      </c>
      <c r="E118" s="96">
        <v>9</v>
      </c>
      <c r="F118" s="96">
        <v>57</v>
      </c>
      <c r="G118" s="97" t="s">
        <v>20</v>
      </c>
      <c r="H118" s="95" t="s">
        <v>300</v>
      </c>
      <c r="I118" s="95">
        <v>2022</v>
      </c>
      <c r="J118" s="107">
        <v>44741</v>
      </c>
      <c r="K118" s="96" t="s">
        <v>83</v>
      </c>
      <c r="L118" s="97" t="s">
        <v>84</v>
      </c>
      <c r="M118" s="97" t="s">
        <v>33</v>
      </c>
      <c r="N118" s="97" t="s">
        <v>33</v>
      </c>
      <c r="O118" s="95" t="s">
        <v>25</v>
      </c>
      <c r="P118" s="96" t="s">
        <v>434</v>
      </c>
      <c r="Q118" s="82"/>
      <c r="R118" s="96" t="s">
        <v>531</v>
      </c>
      <c r="S118" s="96" t="s">
        <v>535</v>
      </c>
      <c r="T118" s="96" t="s">
        <v>571</v>
      </c>
      <c r="U118" s="96" t="s">
        <v>524</v>
      </c>
      <c r="V118" s="107">
        <v>45951</v>
      </c>
      <c r="W118" s="107">
        <v>46074</v>
      </c>
      <c r="X118" s="96">
        <f ca="1">W118-TODAY()</f>
        <v>-11</v>
      </c>
      <c r="Y118" s="96" t="str">
        <f ca="1">IF(X118&gt;=60,"Vigente",IF(AND(X118&gt;=1,X118&lt;=59),"Por Vencer","Vencido"))</f>
        <v>Vencido</v>
      </c>
      <c r="Z118" s="96"/>
    </row>
    <row r="119" spans="1:61" ht="39" hidden="1" customHeight="1">
      <c r="A119" s="92">
        <v>121</v>
      </c>
      <c r="B119" s="96" t="s">
        <v>18</v>
      </c>
      <c r="C119" s="96" t="s">
        <v>691</v>
      </c>
      <c r="D119" s="96">
        <v>11183382</v>
      </c>
      <c r="E119" s="96">
        <v>6</v>
      </c>
      <c r="F119" s="96">
        <v>57</v>
      </c>
      <c r="G119" s="97" t="s">
        <v>20</v>
      </c>
      <c r="H119" s="96" t="s">
        <v>50</v>
      </c>
      <c r="I119" s="95">
        <v>2019</v>
      </c>
      <c r="J119" s="96">
        <v>2019</v>
      </c>
      <c r="K119" s="96" t="s">
        <v>83</v>
      </c>
      <c r="L119" s="95" t="s">
        <v>23</v>
      </c>
      <c r="M119" s="107">
        <v>43622</v>
      </c>
      <c r="N119" s="96" t="s">
        <v>539</v>
      </c>
      <c r="O119" s="96" t="s">
        <v>42</v>
      </c>
      <c r="P119" s="96" t="s">
        <v>526</v>
      </c>
      <c r="Q119" s="82"/>
      <c r="R119" s="96" t="s">
        <v>517</v>
      </c>
      <c r="S119" s="96" t="s">
        <v>33</v>
      </c>
      <c r="T119" s="96" t="s">
        <v>518</v>
      </c>
      <c r="U119" s="95" t="s">
        <v>519</v>
      </c>
      <c r="V119" s="107">
        <v>45460</v>
      </c>
      <c r="W119" s="107">
        <v>45736</v>
      </c>
      <c r="X119" s="96">
        <f ca="1">W119-TODAY()</f>
        <v>-349</v>
      </c>
      <c r="Y119" s="96" t="str">
        <f ca="1">IF(X119&gt;=60,"Vigente",IF(AND(X119&gt;=1,X119&lt;=59),"Por Vencer","Vencido"))</f>
        <v>Vencido</v>
      </c>
      <c r="Z119" s="96"/>
    </row>
    <row r="120" spans="1:61" ht="57" hidden="1" customHeight="1">
      <c r="A120" s="92">
        <v>122</v>
      </c>
      <c r="B120" s="96" t="s">
        <v>28</v>
      </c>
      <c r="C120" s="96" t="s">
        <v>692</v>
      </c>
      <c r="D120" s="96">
        <v>10420007</v>
      </c>
      <c r="E120" s="96">
        <v>9</v>
      </c>
      <c r="F120" s="96">
        <v>59</v>
      </c>
      <c r="G120" s="97" t="s">
        <v>20</v>
      </c>
      <c r="H120" s="96" t="s">
        <v>50</v>
      </c>
      <c r="I120" s="95">
        <v>2023</v>
      </c>
      <c r="J120" s="107">
        <v>45110</v>
      </c>
      <c r="K120" s="96" t="s">
        <v>83</v>
      </c>
      <c r="L120" s="3" t="s">
        <v>84</v>
      </c>
      <c r="M120" s="107">
        <v>45211</v>
      </c>
      <c r="N120" s="96" t="s">
        <v>539</v>
      </c>
      <c r="O120" s="96" t="s">
        <v>42</v>
      </c>
      <c r="P120" s="96" t="s">
        <v>526</v>
      </c>
      <c r="Q120" s="82"/>
      <c r="R120" s="96" t="s">
        <v>517</v>
      </c>
      <c r="S120" s="96" t="s">
        <v>33</v>
      </c>
      <c r="T120" s="96" t="s">
        <v>518</v>
      </c>
      <c r="U120" s="95" t="s">
        <v>519</v>
      </c>
      <c r="V120" s="95"/>
      <c r="W120" s="107">
        <v>45731</v>
      </c>
      <c r="X120" s="96">
        <f ca="1">W120-TODAY()</f>
        <v>-354</v>
      </c>
      <c r="Y120" s="96" t="str">
        <f ca="1">IF(X120&gt;=60,"Vigente",IF(AND(X120&gt;=1,X120&lt;=59),"Por Vencer","Vencido"))</f>
        <v>Vencido</v>
      </c>
      <c r="Z120" s="96"/>
    </row>
    <row r="121" spans="1:61" ht="20.25" hidden="1" customHeight="1">
      <c r="A121" s="92">
        <v>123</v>
      </c>
      <c r="B121" s="96" t="s">
        <v>18</v>
      </c>
      <c r="C121" s="96" t="s">
        <v>693</v>
      </c>
      <c r="D121" s="96">
        <v>6260120</v>
      </c>
      <c r="E121" s="96">
        <v>5</v>
      </c>
      <c r="F121" s="100">
        <v>74</v>
      </c>
      <c r="G121" s="97" t="s">
        <v>20</v>
      </c>
      <c r="H121" s="96" t="s">
        <v>50</v>
      </c>
      <c r="I121" s="95">
        <v>2022</v>
      </c>
      <c r="J121" s="107">
        <v>44811</v>
      </c>
      <c r="K121" s="96" t="s">
        <v>18</v>
      </c>
      <c r="L121" s="3" t="s">
        <v>84</v>
      </c>
      <c r="M121" s="107">
        <v>44833</v>
      </c>
      <c r="N121" s="96" t="s">
        <v>483</v>
      </c>
      <c r="O121" s="96" t="s">
        <v>42</v>
      </c>
      <c r="P121" s="96" t="s">
        <v>526</v>
      </c>
      <c r="Q121" s="82"/>
      <c r="R121" s="96" t="s">
        <v>517</v>
      </c>
      <c r="S121" s="96" t="s">
        <v>33</v>
      </c>
      <c r="T121" s="96" t="s">
        <v>518</v>
      </c>
      <c r="U121" s="95" t="s">
        <v>519</v>
      </c>
      <c r="V121" s="108"/>
      <c r="W121" s="107">
        <v>45731</v>
      </c>
      <c r="X121" s="96">
        <f ca="1">W121-TODAY()</f>
        <v>-354</v>
      </c>
      <c r="Y121" s="96" t="str">
        <f ca="1">IF(X121&gt;=60,"Vigente",IF(AND(X121&gt;=1,X121&lt;=59),"Por Vencer","Vencido"))</f>
        <v>Vencido</v>
      </c>
      <c r="Z121" s="96"/>
    </row>
    <row r="122" spans="1:61" ht="39" hidden="1" customHeight="1">
      <c r="A122" s="92">
        <v>124</v>
      </c>
      <c r="B122" s="96" t="s">
        <v>28</v>
      </c>
      <c r="C122" s="96" t="s">
        <v>694</v>
      </c>
      <c r="D122" s="96">
        <v>7035691</v>
      </c>
      <c r="E122" s="96">
        <v>0</v>
      </c>
      <c r="F122" s="96">
        <v>64</v>
      </c>
      <c r="G122" s="97" t="s">
        <v>20</v>
      </c>
      <c r="H122" s="96" t="s">
        <v>378</v>
      </c>
      <c r="I122" s="95">
        <v>2023</v>
      </c>
      <c r="J122" s="107">
        <v>45203</v>
      </c>
      <c r="K122" s="96" t="s">
        <v>18</v>
      </c>
      <c r="L122" s="3" t="s">
        <v>23</v>
      </c>
      <c r="M122" s="97" t="s">
        <v>33</v>
      </c>
      <c r="N122" s="97" t="s">
        <v>33</v>
      </c>
      <c r="O122" s="95" t="s">
        <v>25</v>
      </c>
      <c r="P122" s="96" t="s">
        <v>526</v>
      </c>
      <c r="Q122" s="82"/>
      <c r="R122" s="96" t="s">
        <v>527</v>
      </c>
      <c r="S122" s="96" t="s">
        <v>33</v>
      </c>
      <c r="T122" s="96" t="s">
        <v>528</v>
      </c>
      <c r="U122" s="108" t="s">
        <v>524</v>
      </c>
      <c r="V122" s="108">
        <v>45866</v>
      </c>
      <c r="W122" s="107">
        <v>45897</v>
      </c>
      <c r="X122" s="96">
        <f ca="1">W122-TODAY()</f>
        <v>-188</v>
      </c>
      <c r="Y122" s="96" t="str">
        <f ca="1">IF(X122&gt;=60,"Vigente",IF(AND(X122&gt;=1,X122&lt;=59),"Por Vencer","Vencido"))</f>
        <v>Vencido</v>
      </c>
      <c r="Z122" s="96" t="s">
        <v>695</v>
      </c>
    </row>
    <row r="123" spans="1:61" ht="36.75" hidden="1" customHeight="1">
      <c r="A123" s="92">
        <v>125</v>
      </c>
      <c r="B123" s="96" t="s">
        <v>18</v>
      </c>
      <c r="C123" s="96" t="s">
        <v>696</v>
      </c>
      <c r="D123" s="96">
        <v>6454800</v>
      </c>
      <c r="E123" s="96" t="s">
        <v>45</v>
      </c>
      <c r="F123" s="96">
        <v>72</v>
      </c>
      <c r="G123" s="97" t="s">
        <v>20</v>
      </c>
      <c r="H123" s="96" t="s">
        <v>418</v>
      </c>
      <c r="I123" s="96">
        <v>2024</v>
      </c>
      <c r="J123" s="107">
        <v>45989</v>
      </c>
      <c r="K123" s="96" t="s">
        <v>83</v>
      </c>
      <c r="L123" s="3" t="s">
        <v>23</v>
      </c>
      <c r="M123" s="110">
        <v>45624</v>
      </c>
      <c r="N123" s="97" t="s">
        <v>585</v>
      </c>
      <c r="O123" s="95" t="s">
        <v>25</v>
      </c>
      <c r="P123" s="96" t="s">
        <v>434</v>
      </c>
      <c r="Q123" s="82"/>
      <c r="R123" s="95" t="s">
        <v>570</v>
      </c>
      <c r="S123" s="96" t="s">
        <v>33</v>
      </c>
      <c r="T123" s="96" t="s">
        <v>571</v>
      </c>
      <c r="U123" s="96" t="s">
        <v>524</v>
      </c>
      <c r="V123" s="107">
        <v>46014</v>
      </c>
      <c r="W123" s="107">
        <v>46135</v>
      </c>
      <c r="X123" s="96">
        <f ca="1">W123-TODAY()</f>
        <v>50</v>
      </c>
      <c r="Y123" s="96" t="str">
        <f ca="1">IF(X123&gt;=60,"Vigente",IF(AND(X123&gt;=1,X123&lt;=59),"Por Vencer","Vencido"))</f>
        <v>Por Vencer</v>
      </c>
      <c r="Z123" s="96"/>
    </row>
    <row r="124" spans="1:61" s="5" customFormat="1" hidden="1">
      <c r="A124" s="92">
        <v>126</v>
      </c>
      <c r="B124" s="96" t="s">
        <v>18</v>
      </c>
      <c r="C124" s="95" t="s">
        <v>697</v>
      </c>
      <c r="D124" s="95" t="s">
        <v>698</v>
      </c>
      <c r="E124" s="95">
        <v>9</v>
      </c>
      <c r="F124" s="95">
        <v>22</v>
      </c>
      <c r="G124" s="97" t="s">
        <v>20</v>
      </c>
      <c r="H124" s="96" t="s">
        <v>206</v>
      </c>
      <c r="I124" s="96" t="s">
        <v>33</v>
      </c>
      <c r="J124" s="95" t="s">
        <v>33</v>
      </c>
      <c r="K124" s="96" t="s">
        <v>83</v>
      </c>
      <c r="L124" s="3" t="s">
        <v>51</v>
      </c>
      <c r="M124" s="97" t="s">
        <v>33</v>
      </c>
      <c r="N124" s="97" t="s">
        <v>33</v>
      </c>
      <c r="O124" s="95" t="s">
        <v>25</v>
      </c>
      <c r="P124" s="96" t="s">
        <v>526</v>
      </c>
      <c r="Q124" s="84"/>
      <c r="R124" s="96" t="s">
        <v>527</v>
      </c>
      <c r="S124" s="96" t="s">
        <v>33</v>
      </c>
      <c r="T124" s="96" t="s">
        <v>528</v>
      </c>
      <c r="U124" s="108" t="s">
        <v>524</v>
      </c>
      <c r="V124" s="108">
        <v>45244</v>
      </c>
      <c r="W124" s="108">
        <v>45503</v>
      </c>
      <c r="X124" s="96">
        <f ca="1">W124-TODAY()</f>
        <v>-582</v>
      </c>
      <c r="Y124" s="96" t="str">
        <f ca="1">IF(X124&gt;=60,"Vigente",IF(AND(X124&gt;=1,X124&lt;=59),"Por Vencer","Vencido"))</f>
        <v>Vencido</v>
      </c>
      <c r="Z124" s="96" t="s">
        <v>699</v>
      </c>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row>
    <row r="125" spans="1:61" s="4" customFormat="1" ht="37.5" hidden="1" customHeight="1">
      <c r="A125" s="92">
        <v>127</v>
      </c>
      <c r="B125" s="96" t="s">
        <v>18</v>
      </c>
      <c r="C125" s="95" t="s">
        <v>700</v>
      </c>
      <c r="D125" s="95">
        <v>7214361</v>
      </c>
      <c r="E125" s="95">
        <v>2</v>
      </c>
      <c r="F125" s="95">
        <v>69</v>
      </c>
      <c r="G125" s="97" t="s">
        <v>20</v>
      </c>
      <c r="H125" s="96" t="s">
        <v>418</v>
      </c>
      <c r="I125" s="95">
        <v>2017</v>
      </c>
      <c r="J125" s="108">
        <v>42807</v>
      </c>
      <c r="K125" s="96" t="s">
        <v>83</v>
      </c>
      <c r="L125" s="95" t="s">
        <v>23</v>
      </c>
      <c r="M125" s="110">
        <v>45547</v>
      </c>
      <c r="N125" s="96" t="s">
        <v>701</v>
      </c>
      <c r="O125" s="96" t="s">
        <v>42</v>
      </c>
      <c r="P125" s="96" t="s">
        <v>526</v>
      </c>
      <c r="Q125" s="84"/>
      <c r="R125" s="96" t="s">
        <v>517</v>
      </c>
      <c r="S125" s="96" t="s">
        <v>33</v>
      </c>
      <c r="T125" s="96" t="s">
        <v>518</v>
      </c>
      <c r="U125" s="95" t="s">
        <v>519</v>
      </c>
      <c r="V125" s="108">
        <v>45820</v>
      </c>
      <c r="W125" s="108">
        <v>45919</v>
      </c>
      <c r="X125" s="96">
        <f ca="1">W125-TODAY()</f>
        <v>-166</v>
      </c>
      <c r="Y125" s="96" t="str">
        <f ca="1">IF(X125&gt;=60,"Vigente",IF(AND(X125&gt;=1,X125&lt;=59),"Por Vencer","Vencido"))</f>
        <v>Vencido</v>
      </c>
      <c r="Z125" s="96"/>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row>
    <row r="126" spans="1:61" ht="20.25" hidden="1" customHeight="1">
      <c r="A126" s="92">
        <v>128</v>
      </c>
      <c r="B126" s="96" t="s">
        <v>18</v>
      </c>
      <c r="C126" s="3" t="s">
        <v>702</v>
      </c>
      <c r="D126" s="3">
        <v>8486351</v>
      </c>
      <c r="E126" s="3">
        <v>3</v>
      </c>
      <c r="F126" s="3">
        <v>67</v>
      </c>
      <c r="G126" s="97" t="s">
        <v>20</v>
      </c>
      <c r="H126" s="96" t="s">
        <v>431</v>
      </c>
      <c r="I126" s="3" t="s">
        <v>33</v>
      </c>
      <c r="J126" s="3" t="s">
        <v>33</v>
      </c>
      <c r="K126" s="3" t="s">
        <v>33</v>
      </c>
      <c r="L126" s="3" t="s">
        <v>51</v>
      </c>
      <c r="M126" s="3" t="s">
        <v>33</v>
      </c>
      <c r="N126" s="3" t="s">
        <v>33</v>
      </c>
      <c r="O126" s="95" t="s">
        <v>25</v>
      </c>
      <c r="P126" s="96" t="s">
        <v>526</v>
      </c>
      <c r="Q126" s="2"/>
      <c r="R126" s="96" t="s">
        <v>527</v>
      </c>
      <c r="S126" s="96" t="s">
        <v>33</v>
      </c>
      <c r="T126" s="96" t="s">
        <v>528</v>
      </c>
      <c r="U126" s="3" t="s">
        <v>524</v>
      </c>
      <c r="V126" s="109">
        <v>45988</v>
      </c>
      <c r="W126" s="109">
        <v>46018</v>
      </c>
      <c r="X126" s="3">
        <f ca="1">W126-TODAY()</f>
        <v>-67</v>
      </c>
      <c r="Y126" s="96" t="str">
        <f ca="1">IF(X126&gt;=60,"Vigente",IF(AND(X126&gt;=1,X126&lt;=59),"Por Vencer","Vencido"))</f>
        <v>Vencido</v>
      </c>
      <c r="Z126" s="96"/>
    </row>
    <row r="127" spans="1:61" hidden="1">
      <c r="A127" s="92">
        <v>129</v>
      </c>
      <c r="B127" s="96" t="s">
        <v>18</v>
      </c>
      <c r="C127" s="3" t="s">
        <v>703</v>
      </c>
      <c r="D127" s="3">
        <v>4166719</v>
      </c>
      <c r="E127" s="3">
        <v>2</v>
      </c>
      <c r="F127" s="3">
        <v>85</v>
      </c>
      <c r="G127" s="97" t="s">
        <v>20</v>
      </c>
      <c r="H127" s="96" t="s">
        <v>50</v>
      </c>
      <c r="I127" s="3">
        <v>2024</v>
      </c>
      <c r="J127" s="109">
        <v>45579</v>
      </c>
      <c r="K127" s="96" t="s">
        <v>83</v>
      </c>
      <c r="L127" s="3" t="s">
        <v>84</v>
      </c>
      <c r="M127" s="3" t="s">
        <v>33</v>
      </c>
      <c r="N127" s="3" t="s">
        <v>33</v>
      </c>
      <c r="O127" s="96" t="s">
        <v>42</v>
      </c>
      <c r="P127" s="96" t="s">
        <v>526</v>
      </c>
      <c r="Q127" s="2"/>
      <c r="R127" s="96" t="s">
        <v>517</v>
      </c>
      <c r="S127" s="96" t="s">
        <v>33</v>
      </c>
      <c r="T127" s="96" t="s">
        <v>518</v>
      </c>
      <c r="U127" s="95" t="s">
        <v>519</v>
      </c>
      <c r="V127" s="109">
        <v>45593</v>
      </c>
      <c r="W127" s="107">
        <v>45736</v>
      </c>
      <c r="X127" s="3">
        <f ca="1">W127-TODAY()</f>
        <v>-349</v>
      </c>
      <c r="Y127" s="96" t="str">
        <f ca="1">IF(X127&gt;=60,"Vigente",IF(AND(X127&gt;=1,X127&lt;=59),"Por Vencer","Vencido"))</f>
        <v>Vencido</v>
      </c>
      <c r="Z127" s="96"/>
    </row>
    <row r="128" spans="1:61" ht="37.5" hidden="1">
      <c r="A128" s="92">
        <v>130</v>
      </c>
      <c r="B128" s="96" t="s">
        <v>28</v>
      </c>
      <c r="C128" s="98" t="s">
        <v>704</v>
      </c>
      <c r="D128" s="98">
        <v>14314286</v>
      </c>
      <c r="E128" s="98">
        <v>8</v>
      </c>
      <c r="F128" s="98">
        <v>49</v>
      </c>
      <c r="G128" s="98" t="s">
        <v>20</v>
      </c>
      <c r="H128" s="97" t="s">
        <v>431</v>
      </c>
      <c r="I128" s="98"/>
      <c r="J128" s="98"/>
      <c r="K128" s="98"/>
      <c r="L128" s="98"/>
      <c r="M128" s="98"/>
      <c r="N128" s="98"/>
      <c r="O128" s="95" t="s">
        <v>25</v>
      </c>
      <c r="P128" s="98"/>
      <c r="Q128" s="86"/>
      <c r="R128" s="98"/>
      <c r="S128" s="98"/>
      <c r="T128" s="98"/>
      <c r="U128" s="98"/>
      <c r="V128" s="98"/>
      <c r="W128" s="98"/>
      <c r="X128" s="3">
        <f ca="1">W128-TODAY()</f>
        <v>-46085</v>
      </c>
      <c r="Y128" s="96" t="str">
        <f ca="1">IF(X128&gt;=60,"Vigente",IF(AND(X128&gt;=1,X128&lt;=59),"Por Vencer","Vencido"))</f>
        <v>Vencido</v>
      </c>
      <c r="Z128" s="96"/>
    </row>
    <row r="129" spans="1:61" ht="37.5" hidden="1">
      <c r="A129" s="92">
        <v>131</v>
      </c>
      <c r="B129" s="96" t="s">
        <v>18</v>
      </c>
      <c r="C129" s="3" t="s">
        <v>705</v>
      </c>
      <c r="D129" s="3">
        <v>10963249</v>
      </c>
      <c r="E129" s="3" t="s">
        <v>45</v>
      </c>
      <c r="F129" s="3">
        <v>57</v>
      </c>
      <c r="G129" s="97" t="s">
        <v>20</v>
      </c>
      <c r="H129" s="96" t="s">
        <v>251</v>
      </c>
      <c r="I129" s="3" t="s">
        <v>33</v>
      </c>
      <c r="J129" s="3" t="s">
        <v>33</v>
      </c>
      <c r="K129" s="3" t="s">
        <v>33</v>
      </c>
      <c r="L129" s="3" t="s">
        <v>51</v>
      </c>
      <c r="M129" s="3" t="s">
        <v>33</v>
      </c>
      <c r="N129" s="3" t="s">
        <v>33</v>
      </c>
      <c r="O129" s="95" t="s">
        <v>25</v>
      </c>
      <c r="P129" s="96" t="s">
        <v>526</v>
      </c>
      <c r="Q129" s="2"/>
      <c r="R129" s="96" t="s">
        <v>527</v>
      </c>
      <c r="S129" s="96" t="s">
        <v>33</v>
      </c>
      <c r="T129" s="96" t="s">
        <v>528</v>
      </c>
      <c r="U129" s="3" t="s">
        <v>524</v>
      </c>
      <c r="V129" s="109">
        <v>45853</v>
      </c>
      <c r="W129" s="109">
        <v>45884</v>
      </c>
      <c r="X129" s="3">
        <f ca="1">W129-TODAY()</f>
        <v>-201</v>
      </c>
      <c r="Y129" s="96" t="str">
        <f ca="1">IF(X129&gt;=60,"Vigente",IF(AND(X129&gt;=1,X129&lt;=59),"Por Vencer","Vencido"))</f>
        <v>Vencido</v>
      </c>
      <c r="Z129" s="96" t="s">
        <v>706</v>
      </c>
    </row>
    <row r="130" spans="1:61" ht="20.25" hidden="1" customHeight="1">
      <c r="A130" s="92">
        <v>132</v>
      </c>
      <c r="B130" s="96" t="s">
        <v>18</v>
      </c>
      <c r="C130" s="96" t="s">
        <v>707</v>
      </c>
      <c r="D130" s="96">
        <v>9469010</v>
      </c>
      <c r="E130" s="96">
        <v>2</v>
      </c>
      <c r="F130" s="100">
        <v>61</v>
      </c>
      <c r="G130" s="97" t="s">
        <v>20</v>
      </c>
      <c r="H130" s="96" t="s">
        <v>50</v>
      </c>
      <c r="I130" s="100">
        <v>2021</v>
      </c>
      <c r="J130" s="107">
        <v>44561</v>
      </c>
      <c r="K130" s="96" t="s">
        <v>18</v>
      </c>
      <c r="L130" s="95" t="s">
        <v>84</v>
      </c>
      <c r="M130" s="107">
        <v>45736</v>
      </c>
      <c r="N130" s="3" t="s">
        <v>708</v>
      </c>
      <c r="O130" s="96" t="s">
        <v>42</v>
      </c>
      <c r="P130" s="96" t="s">
        <v>526</v>
      </c>
      <c r="Q130" s="82"/>
      <c r="R130" s="96" t="s">
        <v>517</v>
      </c>
      <c r="S130" s="96" t="s">
        <v>33</v>
      </c>
      <c r="T130" s="96" t="s">
        <v>518</v>
      </c>
      <c r="U130" s="95" t="s">
        <v>519</v>
      </c>
      <c r="V130" s="108"/>
      <c r="W130" s="107">
        <v>45731</v>
      </c>
      <c r="X130" s="96">
        <f ca="1">W130-TODAY()</f>
        <v>-354</v>
      </c>
      <c r="Y130" s="96" t="str">
        <f ca="1">IF(X130&gt;=60,"Vigente",IF(AND(X130&gt;=1,X130&lt;=59),"Por Vencer","Vencido"))</f>
        <v>Vencido</v>
      </c>
      <c r="Z130" s="96" t="s">
        <v>709</v>
      </c>
    </row>
    <row r="131" spans="1:61" hidden="1">
      <c r="A131" s="92">
        <v>133</v>
      </c>
      <c r="B131" s="96" t="s">
        <v>18</v>
      </c>
      <c r="C131" s="96" t="s">
        <v>710</v>
      </c>
      <c r="D131" s="96">
        <v>8012433</v>
      </c>
      <c r="E131" s="95">
        <v>3</v>
      </c>
      <c r="F131" s="96">
        <v>66</v>
      </c>
      <c r="G131" s="97" t="s">
        <v>20</v>
      </c>
      <c r="H131" s="96" t="s">
        <v>418</v>
      </c>
      <c r="I131" s="95">
        <v>2023</v>
      </c>
      <c r="J131" s="107">
        <v>45218</v>
      </c>
      <c r="K131" s="96" t="s">
        <v>40</v>
      </c>
      <c r="L131" s="97" t="s">
        <v>84</v>
      </c>
      <c r="M131" s="97" t="s">
        <v>33</v>
      </c>
      <c r="N131" s="97" t="s">
        <v>33</v>
      </c>
      <c r="O131" s="95" t="s">
        <v>25</v>
      </c>
      <c r="P131" s="96" t="s">
        <v>434</v>
      </c>
      <c r="Q131" s="82"/>
      <c r="R131" s="96" t="s">
        <v>527</v>
      </c>
      <c r="S131" s="96" t="s">
        <v>659</v>
      </c>
      <c r="T131" s="96" t="s">
        <v>528</v>
      </c>
      <c r="U131" s="96" t="s">
        <v>536</v>
      </c>
      <c r="V131" s="107">
        <v>46002</v>
      </c>
      <c r="W131" s="107">
        <v>46054</v>
      </c>
      <c r="X131" s="96">
        <f ca="1">W131-TODAY()</f>
        <v>-31</v>
      </c>
      <c r="Y131" s="96" t="str">
        <f ca="1">IF(X131&gt;=60,"Vigente",IF(AND(X131&gt;=1,X131&lt;=59),"Por Vencer","Vencido"))</f>
        <v>Vencido</v>
      </c>
      <c r="Z131" s="96"/>
    </row>
    <row r="132" spans="1:61" ht="39" hidden="1" customHeight="1">
      <c r="A132" s="92">
        <v>134</v>
      </c>
      <c r="B132" s="96" t="s">
        <v>18</v>
      </c>
      <c r="C132" s="3" t="s">
        <v>711</v>
      </c>
      <c r="D132" s="3">
        <v>12770956</v>
      </c>
      <c r="E132" s="3">
        <v>4</v>
      </c>
      <c r="F132" s="3">
        <v>49</v>
      </c>
      <c r="G132" s="97" t="s">
        <v>20</v>
      </c>
      <c r="H132" s="95" t="s">
        <v>59</v>
      </c>
      <c r="I132" s="3">
        <v>2024</v>
      </c>
      <c r="J132" s="109">
        <v>45642</v>
      </c>
      <c r="K132" s="96" t="s">
        <v>18</v>
      </c>
      <c r="L132" s="3" t="s">
        <v>84</v>
      </c>
      <c r="M132" s="109">
        <v>45638</v>
      </c>
      <c r="N132" s="3" t="s">
        <v>563</v>
      </c>
      <c r="O132" s="96" t="s">
        <v>42</v>
      </c>
      <c r="P132" s="96" t="s">
        <v>526</v>
      </c>
      <c r="Q132" s="2"/>
      <c r="R132" s="96" t="s">
        <v>517</v>
      </c>
      <c r="S132" s="96" t="s">
        <v>33</v>
      </c>
      <c r="T132" s="96" t="s">
        <v>518</v>
      </c>
      <c r="U132" s="95" t="s">
        <v>519</v>
      </c>
      <c r="V132" s="109">
        <v>45642</v>
      </c>
      <c r="W132" s="109">
        <v>45732</v>
      </c>
      <c r="X132" s="3">
        <f ca="1">W132-TODAY()</f>
        <v>-353</v>
      </c>
      <c r="Y132" s="96" t="str">
        <f ca="1">IF(X132&gt;=60,"Vigente",IF(AND(X132&gt;=1,X132&lt;=59),"Por Vencer","Vencido"))</f>
        <v>Vencido</v>
      </c>
      <c r="Z132" s="96"/>
    </row>
    <row r="133" spans="1:61" ht="20.25" hidden="1" customHeight="1">
      <c r="A133" s="92">
        <v>135</v>
      </c>
      <c r="B133" s="96" t="s">
        <v>18</v>
      </c>
      <c r="C133" s="3" t="s">
        <v>712</v>
      </c>
      <c r="D133" s="3">
        <v>4543167</v>
      </c>
      <c r="E133" s="3">
        <v>3</v>
      </c>
      <c r="F133" s="3">
        <v>83</v>
      </c>
      <c r="G133" s="3" t="s">
        <v>30</v>
      </c>
      <c r="H133" s="95" t="s">
        <v>59</v>
      </c>
      <c r="I133" s="3">
        <v>2024</v>
      </c>
      <c r="J133" s="109">
        <v>45572</v>
      </c>
      <c r="K133" s="96" t="s">
        <v>18</v>
      </c>
      <c r="L133" s="3" t="s">
        <v>84</v>
      </c>
      <c r="M133" s="109">
        <v>45602</v>
      </c>
      <c r="N133" s="3" t="s">
        <v>326</v>
      </c>
      <c r="O133" s="96" t="s">
        <v>42</v>
      </c>
      <c r="P133" s="96" t="s">
        <v>526</v>
      </c>
      <c r="Q133" s="2"/>
      <c r="R133" s="96" t="s">
        <v>517</v>
      </c>
      <c r="S133" s="96" t="s">
        <v>33</v>
      </c>
      <c r="T133" s="96" t="s">
        <v>518</v>
      </c>
      <c r="U133" s="95" t="s">
        <v>519</v>
      </c>
      <c r="V133" s="109">
        <v>45903</v>
      </c>
      <c r="W133" s="109">
        <v>45994</v>
      </c>
      <c r="X133" s="3">
        <f ca="1">W133-TODAY()</f>
        <v>-91</v>
      </c>
      <c r="Y133" s="96" t="str">
        <f ca="1">IF(X133&gt;=60,"Vigente",IF(AND(X133&gt;=1,X133&lt;=59),"Por Vencer","Vencido"))</f>
        <v>Vencido</v>
      </c>
      <c r="Z133" s="96" t="s">
        <v>713</v>
      </c>
    </row>
    <row r="134" spans="1:61" ht="39" hidden="1" customHeight="1">
      <c r="A134" s="92">
        <v>136</v>
      </c>
      <c r="B134" s="96" t="s">
        <v>18</v>
      </c>
      <c r="C134" s="96" t="s">
        <v>714</v>
      </c>
      <c r="D134" s="96">
        <v>5234828</v>
      </c>
      <c r="E134" s="96">
        <v>5</v>
      </c>
      <c r="F134" s="100">
        <v>80</v>
      </c>
      <c r="G134" s="97" t="s">
        <v>20</v>
      </c>
      <c r="H134" s="96" t="s">
        <v>50</v>
      </c>
      <c r="I134" s="100">
        <v>2021</v>
      </c>
      <c r="J134" s="107">
        <v>44440</v>
      </c>
      <c r="K134" s="96" t="s">
        <v>18</v>
      </c>
      <c r="L134" s="3" t="s">
        <v>23</v>
      </c>
      <c r="M134" s="107">
        <v>44441</v>
      </c>
      <c r="N134" s="96" t="s">
        <v>585</v>
      </c>
      <c r="O134" s="95" t="s">
        <v>25</v>
      </c>
      <c r="P134" s="96" t="s">
        <v>434</v>
      </c>
      <c r="Q134" s="82"/>
      <c r="R134" s="97" t="s">
        <v>578</v>
      </c>
      <c r="S134" s="96" t="s">
        <v>33</v>
      </c>
      <c r="T134" s="95" t="s">
        <v>571</v>
      </c>
      <c r="U134" s="108" t="s">
        <v>536</v>
      </c>
      <c r="V134" s="108">
        <v>46000</v>
      </c>
      <c r="W134" s="107">
        <v>46121</v>
      </c>
      <c r="X134" s="96">
        <f ca="1">W134-TODAY()</f>
        <v>36</v>
      </c>
      <c r="Y134" s="96" t="str">
        <f ca="1">IF(X134&gt;=60,"Vigente",IF(AND(X134&gt;=1,X134&lt;=59),"Por Vencer","Vencido"))</f>
        <v>Por Vencer</v>
      </c>
      <c r="Z134" s="96"/>
    </row>
    <row r="135" spans="1:61" hidden="1">
      <c r="A135" s="92">
        <v>137</v>
      </c>
      <c r="B135" s="96" t="s">
        <v>18</v>
      </c>
      <c r="C135" s="96" t="s">
        <v>715</v>
      </c>
      <c r="D135" s="96">
        <v>8636302</v>
      </c>
      <c r="E135" s="96" t="s">
        <v>45</v>
      </c>
      <c r="F135" s="100">
        <v>64</v>
      </c>
      <c r="G135" s="97" t="s">
        <v>20</v>
      </c>
      <c r="H135" s="96" t="s">
        <v>50</v>
      </c>
      <c r="I135" s="95">
        <v>2022</v>
      </c>
      <c r="J135" s="107">
        <v>44851</v>
      </c>
      <c r="K135" s="96" t="s">
        <v>18</v>
      </c>
      <c r="L135" s="3" t="s">
        <v>84</v>
      </c>
      <c r="M135" s="107">
        <v>44861</v>
      </c>
      <c r="N135" s="96" t="s">
        <v>539</v>
      </c>
      <c r="O135" s="96" t="s">
        <v>42</v>
      </c>
      <c r="P135" s="96" t="s">
        <v>526</v>
      </c>
      <c r="Q135" s="82"/>
      <c r="R135" s="96" t="s">
        <v>517</v>
      </c>
      <c r="S135" s="96" t="s">
        <v>33</v>
      </c>
      <c r="T135" s="96" t="s">
        <v>518</v>
      </c>
      <c r="U135" s="95" t="s">
        <v>519</v>
      </c>
      <c r="V135" s="108">
        <v>45707</v>
      </c>
      <c r="W135" s="107">
        <v>45796</v>
      </c>
      <c r="X135" s="96">
        <f ca="1">W135-TODAY()</f>
        <v>-289</v>
      </c>
      <c r="Y135" s="96" t="str">
        <f ca="1">IF(X135&gt;=60,"Vigente",IF(AND(X135&gt;=1,X135&lt;=59),"Por Vencer","Vencido"))</f>
        <v>Vencido</v>
      </c>
      <c r="Z135" s="96"/>
    </row>
    <row r="136" spans="1:61" ht="20.25" hidden="1" customHeight="1">
      <c r="A136" s="92">
        <v>138</v>
      </c>
      <c r="B136" s="96" t="s">
        <v>18</v>
      </c>
      <c r="C136" s="3" t="s">
        <v>716</v>
      </c>
      <c r="D136" s="3">
        <v>7459487</v>
      </c>
      <c r="E136" s="3">
        <v>5</v>
      </c>
      <c r="F136" s="3">
        <v>73</v>
      </c>
      <c r="G136" s="97" t="s">
        <v>20</v>
      </c>
      <c r="H136" s="96" t="s">
        <v>431</v>
      </c>
      <c r="I136" s="3" t="s">
        <v>33</v>
      </c>
      <c r="J136" s="3" t="s">
        <v>33</v>
      </c>
      <c r="K136" s="3" t="s">
        <v>33</v>
      </c>
      <c r="L136" s="3" t="s">
        <v>51</v>
      </c>
      <c r="M136" s="3" t="s">
        <v>33</v>
      </c>
      <c r="N136" s="3" t="s">
        <v>33</v>
      </c>
      <c r="O136" s="95" t="s">
        <v>25</v>
      </c>
      <c r="P136" s="96" t="s">
        <v>434</v>
      </c>
      <c r="Q136" s="2"/>
      <c r="R136" s="96" t="s">
        <v>527</v>
      </c>
      <c r="S136" s="3" t="s">
        <v>33</v>
      </c>
      <c r="T136" s="96" t="s">
        <v>528</v>
      </c>
      <c r="U136" s="3" t="s">
        <v>524</v>
      </c>
      <c r="V136" s="109">
        <v>45883</v>
      </c>
      <c r="W136" s="109">
        <v>46067</v>
      </c>
      <c r="X136" s="3">
        <f ca="1">W136-TODAY()</f>
        <v>-18</v>
      </c>
      <c r="Y136" s="96" t="str">
        <f ca="1">IF(X136&gt;=60,"Vigente",IF(AND(X136&gt;=1,X136&lt;=59),"Por Vencer","Vencido"))</f>
        <v>Vencido</v>
      </c>
      <c r="Z136" s="96"/>
    </row>
    <row r="137" spans="1:61" ht="37.5" hidden="1">
      <c r="A137" s="92">
        <v>139</v>
      </c>
      <c r="B137" s="96" t="s">
        <v>28</v>
      </c>
      <c r="C137" s="96" t="s">
        <v>717</v>
      </c>
      <c r="D137" s="96">
        <v>4823436</v>
      </c>
      <c r="E137" s="96">
        <v>4</v>
      </c>
      <c r="F137" s="96">
        <v>82</v>
      </c>
      <c r="G137" s="97" t="s">
        <v>20</v>
      </c>
      <c r="H137" s="95" t="s">
        <v>300</v>
      </c>
      <c r="I137" s="96">
        <v>2021</v>
      </c>
      <c r="J137" s="107">
        <v>44260</v>
      </c>
      <c r="K137" s="96" t="s">
        <v>83</v>
      </c>
      <c r="L137" s="3" t="s">
        <v>23</v>
      </c>
      <c r="M137" s="97" t="s">
        <v>33</v>
      </c>
      <c r="N137" s="97" t="s">
        <v>33</v>
      </c>
      <c r="O137" s="95" t="s">
        <v>25</v>
      </c>
      <c r="P137" s="96" t="s">
        <v>434</v>
      </c>
      <c r="Q137" s="82"/>
      <c r="R137" s="96" t="s">
        <v>527</v>
      </c>
      <c r="S137" s="96" t="s">
        <v>33</v>
      </c>
      <c r="T137" s="96" t="s">
        <v>528</v>
      </c>
      <c r="U137" s="96" t="s">
        <v>536</v>
      </c>
      <c r="V137" s="107">
        <v>46002</v>
      </c>
      <c r="W137" s="107">
        <v>46033</v>
      </c>
      <c r="X137" s="96">
        <f ca="1">W137-TODAY()</f>
        <v>-52</v>
      </c>
      <c r="Y137" s="96" t="str">
        <f ca="1">IF(X137&gt;=60,"Vigente",IF(AND(X137&gt;=1,X137&lt;=59),"Por Vencer","Vencido"))</f>
        <v>Vencido</v>
      </c>
      <c r="Z137" s="96"/>
    </row>
    <row r="138" spans="1:61" ht="39" hidden="1" customHeight="1">
      <c r="A138" s="92">
        <v>140</v>
      </c>
      <c r="B138" s="96" t="s">
        <v>18</v>
      </c>
      <c r="C138" s="95" t="s">
        <v>718</v>
      </c>
      <c r="D138" s="95">
        <v>6505127</v>
      </c>
      <c r="E138" s="95">
        <v>3</v>
      </c>
      <c r="F138" s="95">
        <v>76</v>
      </c>
      <c r="G138" s="97" t="s">
        <v>20</v>
      </c>
      <c r="H138" s="95" t="s">
        <v>59</v>
      </c>
      <c r="I138" s="95">
        <v>2021</v>
      </c>
      <c r="J138" s="95">
        <v>2021</v>
      </c>
      <c r="K138" s="96" t="s">
        <v>18</v>
      </c>
      <c r="L138" s="95" t="s">
        <v>23</v>
      </c>
      <c r="M138" s="110">
        <v>45876</v>
      </c>
      <c r="N138" s="97" t="s">
        <v>719</v>
      </c>
      <c r="O138" s="96" t="s">
        <v>42</v>
      </c>
      <c r="P138" s="96" t="s">
        <v>526</v>
      </c>
      <c r="Q138" s="84"/>
      <c r="R138" s="96" t="s">
        <v>517</v>
      </c>
      <c r="S138" s="96" t="s">
        <v>33</v>
      </c>
      <c r="T138" s="96" t="s">
        <v>518</v>
      </c>
      <c r="U138" s="95" t="s">
        <v>519</v>
      </c>
      <c r="V138" s="108">
        <v>45882</v>
      </c>
      <c r="W138" s="108">
        <v>45974</v>
      </c>
      <c r="X138" s="96">
        <f ca="1">W138-TODAY()</f>
        <v>-111</v>
      </c>
      <c r="Y138" s="96" t="str">
        <f ca="1">IF(X138&gt;=60,"Vigente",IF(AND(X138&gt;=1,X138&lt;=59),"Por Vencer","Vencido"))</f>
        <v>Vencido</v>
      </c>
      <c r="Z138" s="96"/>
    </row>
    <row r="139" spans="1:61" ht="32.25" hidden="1" customHeight="1">
      <c r="A139" s="92">
        <v>141</v>
      </c>
      <c r="B139" s="96" t="s">
        <v>28</v>
      </c>
      <c r="C139" s="95" t="s">
        <v>720</v>
      </c>
      <c r="D139" s="95">
        <v>7790941</v>
      </c>
      <c r="E139" s="95">
        <v>9</v>
      </c>
      <c r="F139" s="101">
        <v>68</v>
      </c>
      <c r="G139" s="97" t="s">
        <v>20</v>
      </c>
      <c r="H139" s="95" t="s">
        <v>300</v>
      </c>
      <c r="I139" s="95">
        <v>2022</v>
      </c>
      <c r="J139" s="108">
        <v>44592</v>
      </c>
      <c r="K139" s="96" t="s">
        <v>83</v>
      </c>
      <c r="L139" s="97" t="s">
        <v>84</v>
      </c>
      <c r="M139" s="97" t="s">
        <v>33</v>
      </c>
      <c r="N139" s="97" t="s">
        <v>33</v>
      </c>
      <c r="O139" s="95" t="s">
        <v>25</v>
      </c>
      <c r="P139" s="96" t="s">
        <v>434</v>
      </c>
      <c r="Q139" s="84"/>
      <c r="R139" s="96" t="s">
        <v>531</v>
      </c>
      <c r="S139" s="96" t="s">
        <v>535</v>
      </c>
      <c r="T139" s="96" t="s">
        <v>518</v>
      </c>
      <c r="U139" s="108" t="s">
        <v>524</v>
      </c>
      <c r="V139" s="108">
        <v>45988</v>
      </c>
      <c r="W139" s="108">
        <v>46080</v>
      </c>
      <c r="X139" s="96">
        <f ca="1">W139-TODAY()</f>
        <v>-5</v>
      </c>
      <c r="Y139" s="96" t="str">
        <f ca="1">IF(X139&gt;=60,"Vigente",IF(AND(X139&gt;=1,X139&lt;=59),"Por Vencer","Vencido"))</f>
        <v>Vencido</v>
      </c>
      <c r="Z139" s="96"/>
    </row>
    <row r="140" spans="1:61" ht="37.5" hidden="1">
      <c r="A140" s="92">
        <v>142</v>
      </c>
      <c r="B140" s="96" t="s">
        <v>28</v>
      </c>
      <c r="C140" s="95" t="s">
        <v>721</v>
      </c>
      <c r="D140" s="95">
        <v>13976258</v>
      </c>
      <c r="E140" s="95">
        <v>4</v>
      </c>
      <c r="F140" s="101">
        <v>42</v>
      </c>
      <c r="G140" s="97" t="s">
        <v>20</v>
      </c>
      <c r="H140" s="96" t="s">
        <v>431</v>
      </c>
      <c r="I140" s="95" t="s">
        <v>33</v>
      </c>
      <c r="J140" s="108" t="s">
        <v>33</v>
      </c>
      <c r="K140" s="96" t="s">
        <v>83</v>
      </c>
      <c r="L140" s="3" t="s">
        <v>23</v>
      </c>
      <c r="M140" s="97" t="s">
        <v>33</v>
      </c>
      <c r="N140" s="97" t="s">
        <v>33</v>
      </c>
      <c r="O140" s="95" t="s">
        <v>25</v>
      </c>
      <c r="P140" s="96" t="s">
        <v>434</v>
      </c>
      <c r="Q140" s="84"/>
      <c r="R140" s="96" t="s">
        <v>531</v>
      </c>
      <c r="S140" s="96" t="s">
        <v>33</v>
      </c>
      <c r="T140" s="96" t="s">
        <v>518</v>
      </c>
      <c r="U140" s="108" t="s">
        <v>536</v>
      </c>
      <c r="V140" s="108">
        <v>45981</v>
      </c>
      <c r="W140" s="108">
        <v>46073</v>
      </c>
      <c r="X140" s="96">
        <f ca="1">W140-TODAY()</f>
        <v>-12</v>
      </c>
      <c r="Y140" s="96" t="str">
        <f ca="1">IF(X140&gt;=60,"Vigente",IF(AND(X140&gt;=1,X140&lt;=59),"Por Vencer","Vencido"))</f>
        <v>Vencido</v>
      </c>
      <c r="Z140" s="96"/>
    </row>
    <row r="141" spans="1:61" ht="39" hidden="1" customHeight="1">
      <c r="A141" s="92">
        <v>143</v>
      </c>
      <c r="B141" s="96" t="s">
        <v>18</v>
      </c>
      <c r="C141" s="96" t="s">
        <v>722</v>
      </c>
      <c r="D141" s="96">
        <v>8787383</v>
      </c>
      <c r="E141" s="96">
        <v>8</v>
      </c>
      <c r="F141" s="96">
        <v>63</v>
      </c>
      <c r="G141" s="97" t="s">
        <v>20</v>
      </c>
      <c r="H141" s="96" t="s">
        <v>50</v>
      </c>
      <c r="I141" s="96">
        <v>2024</v>
      </c>
      <c r="J141" s="108">
        <v>45558</v>
      </c>
      <c r="K141" s="96" t="s">
        <v>83</v>
      </c>
      <c r="L141" s="95" t="s">
        <v>23</v>
      </c>
      <c r="M141" s="110">
        <v>45582</v>
      </c>
      <c r="N141" s="96" t="s">
        <v>539</v>
      </c>
      <c r="O141" s="96" t="s">
        <v>42</v>
      </c>
      <c r="P141" s="96" t="s">
        <v>434</v>
      </c>
      <c r="Q141" s="82"/>
      <c r="R141" s="96" t="s">
        <v>517</v>
      </c>
      <c r="S141" s="96" t="s">
        <v>33</v>
      </c>
      <c r="T141" s="96" t="s">
        <v>518</v>
      </c>
      <c r="U141" s="95" t="s">
        <v>519</v>
      </c>
      <c r="V141" s="107">
        <v>46080</v>
      </c>
      <c r="W141" s="107">
        <v>46169</v>
      </c>
      <c r="X141" s="96">
        <f ca="1">W141-TODAY()</f>
        <v>84</v>
      </c>
      <c r="Y141" s="96" t="str">
        <f ca="1">IF(X141&gt;=60,"Vigente",IF(AND(X141&gt;=1,X141&lt;=59),"Por Vencer","Vencido"))</f>
        <v>Vigente</v>
      </c>
      <c r="Z141" s="96"/>
    </row>
    <row r="142" spans="1:61" ht="36.75" hidden="1" customHeight="1">
      <c r="A142" s="92">
        <v>144</v>
      </c>
      <c r="B142" s="96" t="s">
        <v>28</v>
      </c>
      <c r="C142" s="95" t="s">
        <v>723</v>
      </c>
      <c r="D142" s="95">
        <v>7488080</v>
      </c>
      <c r="E142" s="95">
        <v>0</v>
      </c>
      <c r="F142" s="95">
        <v>67</v>
      </c>
      <c r="G142" s="97" t="s">
        <v>20</v>
      </c>
      <c r="H142" s="95" t="s">
        <v>300</v>
      </c>
      <c r="I142" s="95">
        <v>2023</v>
      </c>
      <c r="J142" s="108">
        <v>45013</v>
      </c>
      <c r="K142" s="96" t="s">
        <v>33</v>
      </c>
      <c r="L142" s="97" t="s">
        <v>84</v>
      </c>
      <c r="M142" s="97" t="s">
        <v>33</v>
      </c>
      <c r="N142" s="97" t="s">
        <v>33</v>
      </c>
      <c r="O142" s="95" t="s">
        <v>25</v>
      </c>
      <c r="P142" s="96" t="s">
        <v>434</v>
      </c>
      <c r="Q142" s="84"/>
      <c r="R142" s="95" t="s">
        <v>570</v>
      </c>
      <c r="S142" s="96" t="s">
        <v>535</v>
      </c>
      <c r="T142" s="96" t="s">
        <v>571</v>
      </c>
      <c r="U142" s="95" t="s">
        <v>524</v>
      </c>
      <c r="V142" s="108">
        <v>45967</v>
      </c>
      <c r="W142" s="108">
        <v>46087</v>
      </c>
      <c r="X142" s="96">
        <f ca="1">W142-TODAY()</f>
        <v>2</v>
      </c>
      <c r="Y142" s="96" t="str">
        <f ca="1">IF(X142&gt;=60,"Vigente",IF(AND(X142&gt;=1,X142&lt;=59),"Por Vencer","Vencido"))</f>
        <v>Por Vencer</v>
      </c>
      <c r="Z142" s="107"/>
    </row>
    <row r="143" spans="1:61" s="5" customFormat="1" ht="37.5" hidden="1">
      <c r="A143" s="92">
        <v>145</v>
      </c>
      <c r="B143" s="96" t="s">
        <v>28</v>
      </c>
      <c r="C143" s="3" t="s">
        <v>724</v>
      </c>
      <c r="D143" s="3">
        <v>21012147</v>
      </c>
      <c r="E143" s="3">
        <v>1</v>
      </c>
      <c r="F143" s="3">
        <v>22</v>
      </c>
      <c r="G143" s="97" t="s">
        <v>20</v>
      </c>
      <c r="H143" s="96" t="s">
        <v>431</v>
      </c>
      <c r="I143" s="3" t="s">
        <v>33</v>
      </c>
      <c r="J143" s="3" t="s">
        <v>33</v>
      </c>
      <c r="K143" s="3" t="s">
        <v>33</v>
      </c>
      <c r="L143" s="3" t="s">
        <v>51</v>
      </c>
      <c r="M143" s="3" t="s">
        <v>33</v>
      </c>
      <c r="N143" s="3" t="s">
        <v>33</v>
      </c>
      <c r="O143" s="95" t="s">
        <v>25</v>
      </c>
      <c r="P143" s="96" t="s">
        <v>434</v>
      </c>
      <c r="Q143" s="2"/>
      <c r="R143" s="96" t="s">
        <v>570</v>
      </c>
      <c r="S143" s="96" t="s">
        <v>33</v>
      </c>
      <c r="T143" s="96" t="s">
        <v>571</v>
      </c>
      <c r="U143" s="3" t="s">
        <v>524</v>
      </c>
      <c r="V143" s="109">
        <v>45972</v>
      </c>
      <c r="W143" s="109">
        <v>46092</v>
      </c>
      <c r="X143" s="3">
        <f ca="1">W143-TODAY()</f>
        <v>7</v>
      </c>
      <c r="Y143" s="96" t="str">
        <f ca="1">IF(X143&gt;=60,"Vigente",IF(AND(X143&gt;=1,X143&lt;=59),"Por Vencer","Vencido"))</f>
        <v>Por Vencer</v>
      </c>
      <c r="Z143" s="96"/>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row>
    <row r="144" spans="1:61" hidden="1">
      <c r="A144" s="92">
        <v>146</v>
      </c>
      <c r="B144" s="96" t="s">
        <v>18</v>
      </c>
      <c r="C144" s="96" t="s">
        <v>725</v>
      </c>
      <c r="D144" s="96">
        <v>13746265</v>
      </c>
      <c r="E144" s="96">
        <v>6</v>
      </c>
      <c r="F144" s="100">
        <v>43</v>
      </c>
      <c r="G144" s="3" t="s">
        <v>30</v>
      </c>
      <c r="H144" s="96" t="s">
        <v>50</v>
      </c>
      <c r="I144" s="100">
        <v>2021</v>
      </c>
      <c r="J144" s="107">
        <v>44403</v>
      </c>
      <c r="K144" s="96" t="s">
        <v>18</v>
      </c>
      <c r="L144" s="96" t="s">
        <v>23</v>
      </c>
      <c r="M144" s="107">
        <v>44399</v>
      </c>
      <c r="N144" s="95" t="s">
        <v>726</v>
      </c>
      <c r="O144" s="96" t="s">
        <v>42</v>
      </c>
      <c r="P144" s="96" t="s">
        <v>526</v>
      </c>
      <c r="Q144" s="82"/>
      <c r="R144" s="96" t="s">
        <v>517</v>
      </c>
      <c r="S144" s="96" t="s">
        <v>33</v>
      </c>
      <c r="T144" s="96" t="s">
        <v>518</v>
      </c>
      <c r="U144" s="95" t="s">
        <v>519</v>
      </c>
      <c r="V144" s="108">
        <v>45707</v>
      </c>
      <c r="W144" s="107">
        <v>45796</v>
      </c>
      <c r="X144" s="96">
        <f ca="1">W144-TODAY()</f>
        <v>-289</v>
      </c>
      <c r="Y144" s="96" t="str">
        <f ca="1">IF(X144&gt;=60,"Vigente",IF(AND(X144&gt;=1,X144&lt;=59),"Por Vencer","Vencido"))</f>
        <v>Vencido</v>
      </c>
      <c r="Z144" s="96"/>
    </row>
    <row r="145" spans="1:61" hidden="1">
      <c r="A145" s="92">
        <v>147</v>
      </c>
      <c r="B145" s="96" t="s">
        <v>18</v>
      </c>
      <c r="C145" s="96" t="s">
        <v>727</v>
      </c>
      <c r="D145" s="96">
        <v>7247587</v>
      </c>
      <c r="E145" s="96">
        <v>9</v>
      </c>
      <c r="F145" s="100">
        <v>67</v>
      </c>
      <c r="G145" s="97" t="s">
        <v>20</v>
      </c>
      <c r="H145" s="96" t="s">
        <v>50</v>
      </c>
      <c r="I145" s="100">
        <v>2021</v>
      </c>
      <c r="J145" s="107">
        <v>44419</v>
      </c>
      <c r="K145" s="96" t="s">
        <v>18</v>
      </c>
      <c r="L145" s="3" t="s">
        <v>23</v>
      </c>
      <c r="M145" s="107">
        <v>44623</v>
      </c>
      <c r="N145" s="95" t="s">
        <v>585</v>
      </c>
      <c r="O145" s="95" t="s">
        <v>25</v>
      </c>
      <c r="P145" s="96" t="s">
        <v>434</v>
      </c>
      <c r="Q145" s="82"/>
      <c r="R145" s="95" t="s">
        <v>570</v>
      </c>
      <c r="S145" s="96" t="s">
        <v>33</v>
      </c>
      <c r="T145" s="96" t="s">
        <v>571</v>
      </c>
      <c r="U145" s="108" t="s">
        <v>524</v>
      </c>
      <c r="V145" s="108">
        <v>45943</v>
      </c>
      <c r="W145" s="107">
        <v>46066</v>
      </c>
      <c r="X145" s="96">
        <f ca="1">W145-TODAY()</f>
        <v>-19</v>
      </c>
      <c r="Y145" s="96" t="str">
        <f ca="1">IF(X145&gt;=60,"Vigente",IF(AND(X145&gt;=1,X145&lt;=59),"Por Vencer","Vencido"))</f>
        <v>Vencido</v>
      </c>
      <c r="Z145" s="96"/>
    </row>
    <row r="146" spans="1:61" ht="20.25" hidden="1" customHeight="1">
      <c r="A146" s="92">
        <v>148</v>
      </c>
      <c r="B146" s="96" t="s">
        <v>28</v>
      </c>
      <c r="C146" s="96" t="s">
        <v>728</v>
      </c>
      <c r="D146" s="96">
        <v>4976478</v>
      </c>
      <c r="E146" s="96">
        <v>2</v>
      </c>
      <c r="F146" s="96">
        <v>76</v>
      </c>
      <c r="G146" s="3" t="s">
        <v>30</v>
      </c>
      <c r="H146" s="95" t="s">
        <v>300</v>
      </c>
      <c r="I146" s="96" t="s">
        <v>33</v>
      </c>
      <c r="J146" s="96" t="s">
        <v>33</v>
      </c>
      <c r="K146" s="96" t="s">
        <v>33</v>
      </c>
      <c r="L146" s="3" t="s">
        <v>23</v>
      </c>
      <c r="M146" s="96" t="s">
        <v>33</v>
      </c>
      <c r="N146" s="96" t="s">
        <v>729</v>
      </c>
      <c r="O146" s="95" t="s">
        <v>25</v>
      </c>
      <c r="P146" s="96" t="s">
        <v>434</v>
      </c>
      <c r="Q146" s="82"/>
      <c r="R146" s="96" t="s">
        <v>527</v>
      </c>
      <c r="S146" s="96" t="s">
        <v>33</v>
      </c>
      <c r="T146" s="96" t="s">
        <v>528</v>
      </c>
      <c r="U146" s="96" t="s">
        <v>524</v>
      </c>
      <c r="V146" s="107">
        <v>46014</v>
      </c>
      <c r="W146" s="107">
        <v>46045</v>
      </c>
      <c r="X146" s="96">
        <f ca="1">W146-TODAY()</f>
        <v>-40</v>
      </c>
      <c r="Y146" s="96" t="str">
        <f ca="1">IF(X146&gt;=60,"Vigente",IF(AND(X146&gt;=1,X146&lt;=59),"Por Vencer","Vencido"))</f>
        <v>Vencido</v>
      </c>
      <c r="Z146" s="96"/>
    </row>
    <row r="147" spans="1:61" ht="37.5" hidden="1" customHeight="1">
      <c r="A147" s="92">
        <v>149</v>
      </c>
      <c r="B147" s="96" t="s">
        <v>28</v>
      </c>
      <c r="C147" s="169" t="s">
        <v>730</v>
      </c>
      <c r="D147" s="3">
        <v>7563362</v>
      </c>
      <c r="E147" s="3">
        <v>9</v>
      </c>
      <c r="F147" s="3">
        <v>67</v>
      </c>
      <c r="G147" s="97" t="s">
        <v>20</v>
      </c>
      <c r="H147" s="96" t="s">
        <v>431</v>
      </c>
      <c r="I147" s="97" t="s">
        <v>33</v>
      </c>
      <c r="J147" s="97" t="s">
        <v>33</v>
      </c>
      <c r="K147" s="96" t="s">
        <v>33</v>
      </c>
      <c r="L147" s="3" t="s">
        <v>51</v>
      </c>
      <c r="M147" s="97" t="s">
        <v>33</v>
      </c>
      <c r="N147" s="97" t="s">
        <v>33</v>
      </c>
      <c r="O147" s="95" t="s">
        <v>25</v>
      </c>
      <c r="P147" s="96" t="s">
        <v>526</v>
      </c>
      <c r="Q147" s="2"/>
      <c r="R147" s="96" t="s">
        <v>527</v>
      </c>
      <c r="S147" s="96" t="s">
        <v>33</v>
      </c>
      <c r="T147" s="96" t="s">
        <v>528</v>
      </c>
      <c r="U147" s="95" t="s">
        <v>536</v>
      </c>
      <c r="V147" s="109">
        <v>45860</v>
      </c>
      <c r="W147" s="109">
        <v>45952</v>
      </c>
      <c r="X147" s="3">
        <f ca="1">W147-TODAY()</f>
        <v>-133</v>
      </c>
      <c r="Y147" s="96" t="str">
        <f ca="1">IF(X147&gt;=60,"Vigente",IF(AND(X147&gt;=1,X147&lt;=59),"Por Vencer","Vencido"))</f>
        <v>Vencido</v>
      </c>
      <c r="Z147" s="96"/>
    </row>
    <row r="148" spans="1:61" ht="39" hidden="1" customHeight="1">
      <c r="A148" s="92">
        <v>150</v>
      </c>
      <c r="B148" s="96" t="s">
        <v>18</v>
      </c>
      <c r="C148" s="98" t="s">
        <v>731</v>
      </c>
      <c r="D148" s="98">
        <v>8192478</v>
      </c>
      <c r="E148" s="98">
        <v>3</v>
      </c>
      <c r="F148" s="98">
        <v>65</v>
      </c>
      <c r="G148" s="97" t="s">
        <v>20</v>
      </c>
      <c r="H148" s="97" t="s">
        <v>418</v>
      </c>
      <c r="I148" s="98">
        <v>2025</v>
      </c>
      <c r="J148" s="114">
        <v>46014</v>
      </c>
      <c r="K148" s="98" t="s">
        <v>28</v>
      </c>
      <c r="L148" s="98" t="s">
        <v>23</v>
      </c>
      <c r="M148" s="114">
        <v>46030</v>
      </c>
      <c r="N148" s="98" t="s">
        <v>585</v>
      </c>
      <c r="O148" s="95" t="s">
        <v>25</v>
      </c>
      <c r="P148" s="96" t="s">
        <v>434</v>
      </c>
      <c r="Q148" s="86"/>
      <c r="R148" s="96" t="s">
        <v>531</v>
      </c>
      <c r="S148" s="98" t="s">
        <v>33</v>
      </c>
      <c r="T148" s="96" t="s">
        <v>518</v>
      </c>
      <c r="U148" s="3" t="s">
        <v>524</v>
      </c>
      <c r="V148" s="114">
        <v>46031</v>
      </c>
      <c r="W148" s="114">
        <v>46121</v>
      </c>
      <c r="X148" s="3">
        <f ca="1">W148-TODAY()</f>
        <v>36</v>
      </c>
      <c r="Y148" s="96" t="str">
        <f ca="1">IF(X148&gt;=60,"Vigente",IF(AND(X148&gt;=1,X148&lt;=59),"Por Vencer","Vencido"))</f>
        <v>Por Vencer</v>
      </c>
      <c r="Z148" s="96"/>
    </row>
    <row r="149" spans="1:61" hidden="1">
      <c r="A149" s="92">
        <v>151</v>
      </c>
      <c r="B149" s="96" t="s">
        <v>18</v>
      </c>
      <c r="C149" s="96" t="s">
        <v>732</v>
      </c>
      <c r="D149" s="96">
        <v>15768783</v>
      </c>
      <c r="E149" s="96">
        <v>2</v>
      </c>
      <c r="F149" s="96">
        <v>40</v>
      </c>
      <c r="G149" s="97" t="s">
        <v>20</v>
      </c>
      <c r="H149" s="96" t="s">
        <v>50</v>
      </c>
      <c r="I149" s="96">
        <v>2024</v>
      </c>
      <c r="J149" s="107">
        <v>45293</v>
      </c>
      <c r="K149" s="96" t="s">
        <v>18</v>
      </c>
      <c r="L149" s="97" t="s">
        <v>84</v>
      </c>
      <c r="M149" s="107">
        <v>45316</v>
      </c>
      <c r="N149" s="96" t="s">
        <v>483</v>
      </c>
      <c r="O149" s="96" t="s">
        <v>42</v>
      </c>
      <c r="P149" s="96" t="s">
        <v>526</v>
      </c>
      <c r="Q149" s="82"/>
      <c r="R149" s="96" t="s">
        <v>517</v>
      </c>
      <c r="S149" s="96" t="s">
        <v>33</v>
      </c>
      <c r="T149" s="96" t="s">
        <v>518</v>
      </c>
      <c r="U149" s="95" t="s">
        <v>519</v>
      </c>
      <c r="V149" s="107">
        <v>45644</v>
      </c>
      <c r="W149" s="110">
        <v>45734</v>
      </c>
      <c r="X149" s="96">
        <f ca="1">W149-TODAY()</f>
        <v>-351</v>
      </c>
      <c r="Y149" s="96" t="str">
        <f ca="1">IF(X149&gt;=60,"Vigente",IF(AND(X149&gt;=1,X149&lt;=59),"Por Vencer","Vencido"))</f>
        <v>Vencido</v>
      </c>
      <c r="Z149" s="96"/>
    </row>
    <row r="150" spans="1:61" ht="39" hidden="1" customHeight="1">
      <c r="A150" s="92">
        <v>152</v>
      </c>
      <c r="B150" s="96" t="s">
        <v>18</v>
      </c>
      <c r="C150" s="3" t="s">
        <v>733</v>
      </c>
      <c r="D150" s="3">
        <v>7066462</v>
      </c>
      <c r="E150" s="3">
        <v>3</v>
      </c>
      <c r="F150" s="3">
        <v>60</v>
      </c>
      <c r="G150" s="3" t="s">
        <v>63</v>
      </c>
      <c r="H150" s="96" t="s">
        <v>206</v>
      </c>
      <c r="I150" s="3" t="s">
        <v>33</v>
      </c>
      <c r="J150" s="3" t="s">
        <v>33</v>
      </c>
      <c r="K150" s="3" t="s">
        <v>33</v>
      </c>
      <c r="L150" s="3" t="s">
        <v>51</v>
      </c>
      <c r="M150" s="3" t="s">
        <v>33</v>
      </c>
      <c r="N150" s="3" t="s">
        <v>33</v>
      </c>
      <c r="O150" s="95" t="s">
        <v>25</v>
      </c>
      <c r="P150" s="96" t="s">
        <v>526</v>
      </c>
      <c r="Q150" s="2"/>
      <c r="R150" s="96" t="s">
        <v>527</v>
      </c>
      <c r="S150" s="96" t="s">
        <v>33</v>
      </c>
      <c r="T150" s="96" t="s">
        <v>528</v>
      </c>
      <c r="U150" s="95" t="s">
        <v>536</v>
      </c>
      <c r="V150" s="109">
        <v>46031</v>
      </c>
      <c r="W150" s="109">
        <v>46062</v>
      </c>
      <c r="X150" s="3">
        <f ca="1">W150-TODAY()</f>
        <v>-23</v>
      </c>
      <c r="Y150" s="96" t="str">
        <f ca="1">IF(X150&gt;=60,"Vigente",IF(AND(X150&gt;=1,X150&lt;=59),"Por Vencer","Vencido"))</f>
        <v>Vencido</v>
      </c>
      <c r="Z150" s="3"/>
    </row>
    <row r="151" spans="1:61" ht="39" hidden="1" customHeight="1">
      <c r="A151" s="92">
        <v>153</v>
      </c>
      <c r="B151" s="96" t="s">
        <v>18</v>
      </c>
      <c r="C151" s="97" t="s">
        <v>734</v>
      </c>
      <c r="D151" s="97">
        <v>10039534</v>
      </c>
      <c r="E151" s="97">
        <v>7</v>
      </c>
      <c r="F151" s="102">
        <v>59</v>
      </c>
      <c r="G151" s="3" t="s">
        <v>30</v>
      </c>
      <c r="H151" s="96" t="s">
        <v>50</v>
      </c>
      <c r="I151" s="95">
        <v>2023</v>
      </c>
      <c r="J151" s="110">
        <v>44949</v>
      </c>
      <c r="K151" s="96" t="s">
        <v>18</v>
      </c>
      <c r="L151" s="95" t="s">
        <v>23</v>
      </c>
      <c r="M151" s="107">
        <v>44973</v>
      </c>
      <c r="N151" s="96" t="s">
        <v>539</v>
      </c>
      <c r="O151" s="96" t="s">
        <v>42</v>
      </c>
      <c r="P151" s="96" t="s">
        <v>526</v>
      </c>
      <c r="Q151" s="82"/>
      <c r="R151" s="96" t="s">
        <v>517</v>
      </c>
      <c r="S151" s="96" t="s">
        <v>33</v>
      </c>
      <c r="T151" s="96" t="s">
        <v>518</v>
      </c>
      <c r="U151" s="95" t="s">
        <v>519</v>
      </c>
      <c r="V151" s="108">
        <v>45707</v>
      </c>
      <c r="W151" s="110">
        <v>45796</v>
      </c>
      <c r="X151" s="96">
        <f ca="1">W151-TODAY()</f>
        <v>-289</v>
      </c>
      <c r="Y151" s="96" t="str">
        <f ca="1">IF(X151&gt;=60,"Vigente",IF(AND(X151&gt;=1,X151&lt;=59),"Por Vencer","Vencido"))</f>
        <v>Vencido</v>
      </c>
      <c r="Z151" s="96"/>
    </row>
    <row r="152" spans="1:61" hidden="1">
      <c r="A152" s="92">
        <v>154</v>
      </c>
      <c r="B152" s="96" t="s">
        <v>18</v>
      </c>
      <c r="C152" s="3" t="s">
        <v>735</v>
      </c>
      <c r="D152" s="3">
        <v>7719438</v>
      </c>
      <c r="E152" s="3" t="s">
        <v>45</v>
      </c>
      <c r="F152" s="3">
        <v>69</v>
      </c>
      <c r="G152" s="97" t="s">
        <v>20</v>
      </c>
      <c r="H152" s="96" t="s">
        <v>418</v>
      </c>
      <c r="I152" s="3">
        <v>2025</v>
      </c>
      <c r="J152" s="109">
        <v>45932</v>
      </c>
      <c r="K152" s="3" t="s">
        <v>83</v>
      </c>
      <c r="L152" s="3" t="s">
        <v>23</v>
      </c>
      <c r="M152" s="109">
        <v>45974</v>
      </c>
      <c r="N152" s="3" t="s">
        <v>585</v>
      </c>
      <c r="O152" s="95" t="s">
        <v>25</v>
      </c>
      <c r="P152" s="96" t="s">
        <v>434</v>
      </c>
      <c r="Q152" s="2"/>
      <c r="R152" s="96" t="s">
        <v>531</v>
      </c>
      <c r="S152" s="3" t="s">
        <v>33</v>
      </c>
      <c r="T152" s="96" t="s">
        <v>518</v>
      </c>
      <c r="U152" s="3" t="s">
        <v>524</v>
      </c>
      <c r="V152" s="109">
        <v>45974</v>
      </c>
      <c r="W152" s="109">
        <v>46066</v>
      </c>
      <c r="X152" s="3">
        <f ca="1">W152-TODAY()</f>
        <v>-19</v>
      </c>
      <c r="Y152" s="96" t="str">
        <f ca="1">IF(X152&gt;=60,"Vigente",IF(AND(X152&gt;=1,X152&lt;=59),"Por Vencer","Vencido"))</f>
        <v>Vencido</v>
      </c>
      <c r="Z152" s="96"/>
    </row>
    <row r="153" spans="1:61" s="5" customFormat="1" ht="39" customHeight="1">
      <c r="A153" s="92">
        <v>155</v>
      </c>
      <c r="B153" s="96" t="s">
        <v>28</v>
      </c>
      <c r="C153" s="95" t="s">
        <v>736</v>
      </c>
      <c r="D153" s="95">
        <v>4518370</v>
      </c>
      <c r="E153" s="95" t="s">
        <v>45</v>
      </c>
      <c r="F153" s="95">
        <v>78</v>
      </c>
      <c r="G153" s="3" t="s">
        <v>30</v>
      </c>
      <c r="H153" s="95" t="s">
        <v>300</v>
      </c>
      <c r="I153" s="95">
        <v>2015</v>
      </c>
      <c r="J153" s="112">
        <v>42186</v>
      </c>
      <c r="K153" s="96" t="s">
        <v>83</v>
      </c>
      <c r="L153" s="97" t="s">
        <v>84</v>
      </c>
      <c r="M153" s="97" t="s">
        <v>33</v>
      </c>
      <c r="N153" s="97" t="s">
        <v>33</v>
      </c>
      <c r="O153" s="95" t="s">
        <v>25</v>
      </c>
      <c r="P153" s="96" t="s">
        <v>434</v>
      </c>
      <c r="Q153" s="84"/>
      <c r="R153" s="96" t="s">
        <v>527</v>
      </c>
      <c r="S153" s="96" t="s">
        <v>535</v>
      </c>
      <c r="T153" s="96" t="s">
        <v>528</v>
      </c>
      <c r="U153" s="95" t="s">
        <v>536</v>
      </c>
      <c r="V153" s="108">
        <v>46042</v>
      </c>
      <c r="W153" s="108">
        <v>46084</v>
      </c>
      <c r="X153" s="96">
        <f ca="1">W153-TODAY()</f>
        <v>-1</v>
      </c>
      <c r="Y153" s="96" t="str">
        <f ca="1">IF(X153&gt;=60,"Vigente",IF(AND(X153&gt;=1,X153&lt;=59),"Por Vencer","Vencido"))</f>
        <v>Vencido</v>
      </c>
      <c r="Z153" s="96"/>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row>
    <row r="154" spans="1:61" hidden="1">
      <c r="A154" s="92">
        <v>156</v>
      </c>
      <c r="B154" s="96" t="s">
        <v>18</v>
      </c>
      <c r="C154" s="96" t="s">
        <v>737</v>
      </c>
      <c r="D154" s="96">
        <v>6291623</v>
      </c>
      <c r="E154" s="96">
        <v>0</v>
      </c>
      <c r="F154" s="100">
        <v>82</v>
      </c>
      <c r="G154" s="97" t="s">
        <v>20</v>
      </c>
      <c r="H154" s="96" t="s">
        <v>50</v>
      </c>
      <c r="I154" s="95">
        <v>2022</v>
      </c>
      <c r="J154" s="107">
        <v>44875</v>
      </c>
      <c r="K154" s="96" t="s">
        <v>18</v>
      </c>
      <c r="L154" s="3" t="s">
        <v>84</v>
      </c>
      <c r="M154" s="107">
        <v>44875</v>
      </c>
      <c r="N154" s="96" t="s">
        <v>574</v>
      </c>
      <c r="O154" s="96" t="s">
        <v>42</v>
      </c>
      <c r="P154" s="96" t="s">
        <v>526</v>
      </c>
      <c r="Q154" s="82"/>
      <c r="R154" s="96" t="s">
        <v>517</v>
      </c>
      <c r="S154" s="96" t="s">
        <v>33</v>
      </c>
      <c r="T154" s="96" t="s">
        <v>518</v>
      </c>
      <c r="U154" s="95" t="s">
        <v>519</v>
      </c>
      <c r="V154" s="108">
        <v>45707</v>
      </c>
      <c r="W154" s="107">
        <v>45796</v>
      </c>
      <c r="X154" s="96">
        <f ca="1">W154-TODAY()</f>
        <v>-289</v>
      </c>
      <c r="Y154" s="96" t="str">
        <f ca="1">IF(X154&gt;=60,"Vigente",IF(AND(X154&gt;=1,X154&lt;=59),"Por Vencer","Vencido"))</f>
        <v>Vencido</v>
      </c>
      <c r="Z154" s="96"/>
    </row>
    <row r="155" spans="1:61" ht="30" hidden="1" customHeight="1">
      <c r="A155" s="92">
        <v>157</v>
      </c>
      <c r="B155" s="96" t="s">
        <v>18</v>
      </c>
      <c r="C155" s="96" t="s">
        <v>738</v>
      </c>
      <c r="D155" s="96">
        <v>4214462</v>
      </c>
      <c r="E155" s="96">
        <v>2</v>
      </c>
      <c r="F155" s="96">
        <v>83</v>
      </c>
      <c r="G155" s="3" t="s">
        <v>63</v>
      </c>
      <c r="H155" s="96" t="s">
        <v>46</v>
      </c>
      <c r="I155" s="96">
        <v>2019</v>
      </c>
      <c r="J155" s="96">
        <v>2019</v>
      </c>
      <c r="K155" s="96" t="s">
        <v>18</v>
      </c>
      <c r="L155" s="3" t="s">
        <v>23</v>
      </c>
      <c r="M155" s="96" t="s">
        <v>580</v>
      </c>
      <c r="N155" s="96" t="s">
        <v>483</v>
      </c>
      <c r="O155" s="95" t="s">
        <v>25</v>
      </c>
      <c r="P155" s="96" t="s">
        <v>434</v>
      </c>
      <c r="Q155" s="82"/>
      <c r="R155" s="96" t="s">
        <v>545</v>
      </c>
      <c r="S155" s="96" t="s">
        <v>33</v>
      </c>
      <c r="T155" s="108" t="s">
        <v>546</v>
      </c>
      <c r="U155" s="96" t="s">
        <v>524</v>
      </c>
      <c r="V155" s="107">
        <v>45797</v>
      </c>
      <c r="W155" s="107">
        <v>46162</v>
      </c>
      <c r="X155" s="96">
        <f ca="1">W155-TODAY()</f>
        <v>77</v>
      </c>
      <c r="Y155" s="96" t="str">
        <f ca="1">IF(X155&gt;=60,"Vigente",IF(AND(X155&gt;=1,X155&lt;=59),"Por Vencer","Vencido"))</f>
        <v>Vigente</v>
      </c>
      <c r="Z155" s="96"/>
    </row>
    <row r="156" spans="1:61" hidden="1">
      <c r="A156" s="92">
        <v>158</v>
      </c>
      <c r="B156" s="96" t="s">
        <v>28</v>
      </c>
      <c r="C156" s="95" t="s">
        <v>739</v>
      </c>
      <c r="D156" s="95">
        <v>21213600</v>
      </c>
      <c r="E156" s="95" t="s">
        <v>128</v>
      </c>
      <c r="F156" s="95">
        <v>20</v>
      </c>
      <c r="G156" s="97" t="s">
        <v>20</v>
      </c>
      <c r="H156" s="95" t="s">
        <v>740</v>
      </c>
      <c r="I156" s="95">
        <v>2012</v>
      </c>
      <c r="J156" s="95">
        <v>2012</v>
      </c>
      <c r="K156" s="96" t="s">
        <v>18</v>
      </c>
      <c r="L156" s="3" t="s">
        <v>23</v>
      </c>
      <c r="M156" s="97" t="s">
        <v>33</v>
      </c>
      <c r="N156" s="97" t="s">
        <v>33</v>
      </c>
      <c r="O156" s="95" t="s">
        <v>25</v>
      </c>
      <c r="P156" s="96" t="s">
        <v>434</v>
      </c>
      <c r="Q156" s="84"/>
      <c r="R156" s="96" t="s">
        <v>531</v>
      </c>
      <c r="S156" s="96" t="s">
        <v>33</v>
      </c>
      <c r="T156" s="108" t="s">
        <v>518</v>
      </c>
      <c r="U156" s="108" t="s">
        <v>524</v>
      </c>
      <c r="V156" s="108">
        <v>46020</v>
      </c>
      <c r="W156" s="108">
        <v>46093</v>
      </c>
      <c r="X156" s="96">
        <f ca="1">W156-TODAY()</f>
        <v>8</v>
      </c>
      <c r="Y156" s="96" t="str">
        <f ca="1">IF(X156&gt;=60,"Vigente",IF(AND(X156&gt;=1,X156&lt;=59),"Por Vencer","Vencido"))</f>
        <v>Por Vencer</v>
      </c>
      <c r="Z156" s="96"/>
    </row>
    <row r="157" spans="1:61" hidden="1">
      <c r="A157" s="92">
        <v>159</v>
      </c>
      <c r="B157" s="96" t="s">
        <v>18</v>
      </c>
      <c r="C157" s="3" t="s">
        <v>741</v>
      </c>
      <c r="D157" s="3">
        <v>5775083</v>
      </c>
      <c r="E157" s="3">
        <v>9</v>
      </c>
      <c r="F157" s="3">
        <v>80</v>
      </c>
      <c r="G157" s="97" t="s">
        <v>20</v>
      </c>
      <c r="H157" s="96" t="s">
        <v>418</v>
      </c>
      <c r="I157" s="3">
        <v>2025</v>
      </c>
      <c r="J157" s="109">
        <v>45883</v>
      </c>
      <c r="K157" s="3" t="s">
        <v>83</v>
      </c>
      <c r="L157" s="3" t="s">
        <v>23</v>
      </c>
      <c r="M157" s="109">
        <v>45890</v>
      </c>
      <c r="N157" s="3" t="s">
        <v>585</v>
      </c>
      <c r="O157" s="95" t="s">
        <v>25</v>
      </c>
      <c r="P157" s="96" t="s">
        <v>434</v>
      </c>
      <c r="Q157" s="2"/>
      <c r="R157" s="96" t="s">
        <v>531</v>
      </c>
      <c r="S157" s="96" t="s">
        <v>33</v>
      </c>
      <c r="T157" s="96" t="s">
        <v>518</v>
      </c>
      <c r="U157" s="3" t="s">
        <v>524</v>
      </c>
      <c r="V157" s="109">
        <v>45986</v>
      </c>
      <c r="W157" s="109">
        <v>46106</v>
      </c>
      <c r="X157" s="3">
        <f ca="1">W157-TODAY()</f>
        <v>21</v>
      </c>
      <c r="Y157" s="96" t="str">
        <f ca="1">IF(X157&gt;=60,"Vigente",IF(AND(X157&gt;=1,X157&lt;=59),"Por Vencer","Vencido"))</f>
        <v>Por Vencer</v>
      </c>
      <c r="Z157" s="96"/>
    </row>
    <row r="158" spans="1:61" hidden="1">
      <c r="A158" s="92">
        <v>160</v>
      </c>
      <c r="B158" s="96" t="s">
        <v>18</v>
      </c>
      <c r="C158" s="121" t="s">
        <v>742</v>
      </c>
      <c r="D158" s="3">
        <v>5459950</v>
      </c>
      <c r="E158" s="3">
        <v>1</v>
      </c>
      <c r="F158" s="3">
        <v>82</v>
      </c>
      <c r="G158" s="97" t="s">
        <v>20</v>
      </c>
      <c r="H158" s="95" t="s">
        <v>59</v>
      </c>
      <c r="I158" s="3">
        <v>2025</v>
      </c>
      <c r="J158" s="109">
        <v>45777</v>
      </c>
      <c r="K158" s="3" t="s">
        <v>40</v>
      </c>
      <c r="L158" s="3" t="s">
        <v>23</v>
      </c>
      <c r="M158" s="109">
        <v>45827</v>
      </c>
      <c r="N158" s="113" t="s">
        <v>585</v>
      </c>
      <c r="O158" s="95" t="s">
        <v>25</v>
      </c>
      <c r="P158" s="96" t="s">
        <v>434</v>
      </c>
      <c r="Q158" s="2"/>
      <c r="R158" s="96" t="s">
        <v>531</v>
      </c>
      <c r="S158" s="96" t="s">
        <v>33</v>
      </c>
      <c r="T158" s="96" t="s">
        <v>518</v>
      </c>
      <c r="U158" s="3" t="s">
        <v>524</v>
      </c>
      <c r="V158" s="109">
        <v>45951</v>
      </c>
      <c r="W158" s="109">
        <v>46043</v>
      </c>
      <c r="X158" s="3">
        <f ca="1">W158-TODAY()</f>
        <v>-42</v>
      </c>
      <c r="Y158" s="96" t="str">
        <f ca="1">IF(X158&gt;=60,"Vigente",IF(AND(X158&gt;=1,X158&lt;=59),"Por Vencer","Vencido"))</f>
        <v>Vencido</v>
      </c>
      <c r="Z158" s="96"/>
    </row>
    <row r="159" spans="1:61" ht="37.5" hidden="1">
      <c r="A159" s="92">
        <v>161</v>
      </c>
      <c r="B159" s="96" t="s">
        <v>28</v>
      </c>
      <c r="C159" s="3" t="s">
        <v>743</v>
      </c>
      <c r="D159" s="3">
        <v>5583876</v>
      </c>
      <c r="E159" s="3">
        <v>3</v>
      </c>
      <c r="F159" s="3">
        <v>77</v>
      </c>
      <c r="G159" s="3" t="s">
        <v>30</v>
      </c>
      <c r="H159" s="96" t="s">
        <v>431</v>
      </c>
      <c r="I159" s="3" t="s">
        <v>33</v>
      </c>
      <c r="J159" s="3" t="s">
        <v>33</v>
      </c>
      <c r="K159" s="3" t="s">
        <v>33</v>
      </c>
      <c r="L159" s="3" t="s">
        <v>51</v>
      </c>
      <c r="M159" s="3" t="s">
        <v>33</v>
      </c>
      <c r="N159" s="3" t="s">
        <v>33</v>
      </c>
      <c r="O159" s="95" t="s">
        <v>25</v>
      </c>
      <c r="P159" s="96" t="s">
        <v>526</v>
      </c>
      <c r="Q159" s="2"/>
      <c r="R159" s="96" t="s">
        <v>527</v>
      </c>
      <c r="S159" s="96" t="s">
        <v>33</v>
      </c>
      <c r="T159" s="96" t="s">
        <v>528</v>
      </c>
      <c r="U159" s="3" t="s">
        <v>524</v>
      </c>
      <c r="V159" s="109">
        <v>45944</v>
      </c>
      <c r="W159" s="109">
        <v>46005</v>
      </c>
      <c r="X159" s="3">
        <f ca="1">W159-TODAY()</f>
        <v>-80</v>
      </c>
      <c r="Y159" s="96" t="str">
        <f ca="1">IF(X159&gt;=60,"Vigente",IF(AND(X159&gt;=1,X159&lt;=59),"Por Vencer","Vencido"))</f>
        <v>Vencido</v>
      </c>
      <c r="Z159" s="96"/>
    </row>
    <row r="160" spans="1:61" hidden="1">
      <c r="A160" s="92">
        <v>162</v>
      </c>
      <c r="B160" s="96" t="s">
        <v>18</v>
      </c>
      <c r="C160" s="96" t="s">
        <v>744</v>
      </c>
      <c r="D160" s="96">
        <v>8676519</v>
      </c>
      <c r="E160" s="96">
        <v>5</v>
      </c>
      <c r="F160" s="95">
        <v>63</v>
      </c>
      <c r="G160" s="97" t="s">
        <v>20</v>
      </c>
      <c r="H160" s="96" t="s">
        <v>50</v>
      </c>
      <c r="I160" s="95">
        <v>2022</v>
      </c>
      <c r="J160" s="107">
        <v>44916</v>
      </c>
      <c r="K160" s="96" t="s">
        <v>18</v>
      </c>
      <c r="L160" s="97" t="s">
        <v>84</v>
      </c>
      <c r="M160" s="107">
        <v>44942</v>
      </c>
      <c r="N160" s="96" t="s">
        <v>539</v>
      </c>
      <c r="O160" s="96" t="s">
        <v>42</v>
      </c>
      <c r="P160" s="96" t="s">
        <v>526</v>
      </c>
      <c r="Q160" s="82"/>
      <c r="R160" s="96" t="s">
        <v>517</v>
      </c>
      <c r="S160" s="96" t="s">
        <v>33</v>
      </c>
      <c r="T160" s="96" t="s">
        <v>518</v>
      </c>
      <c r="U160" s="95" t="s">
        <v>519</v>
      </c>
      <c r="V160" s="108">
        <v>45652</v>
      </c>
      <c r="W160" s="107">
        <v>45742</v>
      </c>
      <c r="X160" s="96">
        <f ca="1">W160-TODAY()</f>
        <v>-343</v>
      </c>
      <c r="Y160" s="96" t="str">
        <f ca="1">IF(X160&gt;=60,"Vigente",IF(AND(X160&gt;=1,X160&lt;=59),"Por Vencer","Vencido"))</f>
        <v>Vencido</v>
      </c>
      <c r="Z160" s="96"/>
    </row>
    <row r="161" spans="1:26" hidden="1">
      <c r="A161" s="92">
        <v>163</v>
      </c>
      <c r="B161" s="96" t="s">
        <v>28</v>
      </c>
      <c r="C161" s="95" t="s">
        <v>745</v>
      </c>
      <c r="D161" s="95">
        <v>3883927</v>
      </c>
      <c r="E161" s="95">
        <v>6</v>
      </c>
      <c r="F161" s="95">
        <v>86</v>
      </c>
      <c r="G161" s="3" t="s">
        <v>63</v>
      </c>
      <c r="H161" s="95" t="s">
        <v>59</v>
      </c>
      <c r="I161" s="96" t="s">
        <v>33</v>
      </c>
      <c r="J161" s="95" t="s">
        <v>35</v>
      </c>
      <c r="K161" s="96" t="s">
        <v>33</v>
      </c>
      <c r="L161" s="3" t="s">
        <v>23</v>
      </c>
      <c r="M161" s="97" t="s">
        <v>33</v>
      </c>
      <c r="N161" s="97" t="s">
        <v>33</v>
      </c>
      <c r="O161" s="95" t="s">
        <v>25</v>
      </c>
      <c r="P161" s="96" t="s">
        <v>434</v>
      </c>
      <c r="Q161" s="84" t="s">
        <v>746</v>
      </c>
      <c r="R161" s="96" t="s">
        <v>747</v>
      </c>
      <c r="S161" s="96" t="s">
        <v>33</v>
      </c>
      <c r="T161" s="96" t="s">
        <v>523</v>
      </c>
      <c r="U161" s="95" t="s">
        <v>524</v>
      </c>
      <c r="V161" s="108">
        <v>46007</v>
      </c>
      <c r="W161" s="108">
        <v>46189</v>
      </c>
      <c r="X161" s="96">
        <f ca="1">W161-TODAY()</f>
        <v>104</v>
      </c>
      <c r="Y161" s="96" t="str">
        <f ca="1">IF(X161&gt;=60,"Vigente",IF(AND(X161&gt;=1,X161&lt;=59),"Por Vencer","Vencido"))</f>
        <v>Vigente</v>
      </c>
      <c r="Z161" s="96"/>
    </row>
    <row r="162" spans="1:26" ht="37.5" hidden="1" customHeight="1">
      <c r="A162" s="92">
        <v>164</v>
      </c>
      <c r="B162" s="96" t="s">
        <v>28</v>
      </c>
      <c r="C162" s="97" t="s">
        <v>748</v>
      </c>
      <c r="D162" s="96">
        <v>7234645</v>
      </c>
      <c r="E162" s="96">
        <v>9</v>
      </c>
      <c r="F162" s="96">
        <v>70</v>
      </c>
      <c r="G162" s="97" t="s">
        <v>20</v>
      </c>
      <c r="H162" s="95" t="s">
        <v>300</v>
      </c>
      <c r="I162" s="95">
        <v>2023</v>
      </c>
      <c r="J162" s="107">
        <v>45197</v>
      </c>
      <c r="K162" s="96" t="s">
        <v>33</v>
      </c>
      <c r="L162" s="97" t="s">
        <v>84</v>
      </c>
      <c r="M162" s="97" t="s">
        <v>33</v>
      </c>
      <c r="N162" s="97" t="s">
        <v>33</v>
      </c>
      <c r="O162" s="95" t="s">
        <v>25</v>
      </c>
      <c r="P162" s="96" t="s">
        <v>526</v>
      </c>
      <c r="Q162" s="82"/>
      <c r="R162" s="96" t="s">
        <v>531</v>
      </c>
      <c r="S162" s="96" t="s">
        <v>535</v>
      </c>
      <c r="T162" s="96" t="s">
        <v>518</v>
      </c>
      <c r="U162" s="96" t="s">
        <v>536</v>
      </c>
      <c r="V162" s="107">
        <v>46044</v>
      </c>
      <c r="W162" s="107">
        <v>46134</v>
      </c>
      <c r="X162" s="96">
        <f ca="1">W162-TODAY()</f>
        <v>49</v>
      </c>
      <c r="Y162" s="96" t="str">
        <f ca="1">IF(X162&gt;=60,"Vigente",IF(AND(X162&gt;=1,X162&lt;=59),"Por Vencer","Vencido"))</f>
        <v>Por Vencer</v>
      </c>
      <c r="Z162" s="96"/>
    </row>
    <row r="163" spans="1:26" ht="37.5" hidden="1">
      <c r="A163" s="92">
        <v>165</v>
      </c>
      <c r="B163" s="96" t="s">
        <v>28</v>
      </c>
      <c r="C163" s="3" t="s">
        <v>749</v>
      </c>
      <c r="D163" s="3">
        <v>9784908</v>
      </c>
      <c r="E163" s="3">
        <v>0</v>
      </c>
      <c r="F163" s="3">
        <v>61</v>
      </c>
      <c r="G163" s="97" t="s">
        <v>20</v>
      </c>
      <c r="H163" s="96" t="s">
        <v>431</v>
      </c>
      <c r="I163" s="3" t="s">
        <v>33</v>
      </c>
      <c r="J163" s="3" t="s">
        <v>33</v>
      </c>
      <c r="K163" s="3" t="s">
        <v>33</v>
      </c>
      <c r="L163" s="3" t="s">
        <v>51</v>
      </c>
      <c r="M163" s="3" t="s">
        <v>33</v>
      </c>
      <c r="N163" s="3" t="s">
        <v>33</v>
      </c>
      <c r="O163" s="95" t="s">
        <v>25</v>
      </c>
      <c r="P163" s="96" t="s">
        <v>526</v>
      </c>
      <c r="Q163" s="2"/>
      <c r="R163" s="96" t="s">
        <v>527</v>
      </c>
      <c r="S163" s="96" t="s">
        <v>33</v>
      </c>
      <c r="T163" s="96" t="s">
        <v>528</v>
      </c>
      <c r="U163" s="3" t="s">
        <v>524</v>
      </c>
      <c r="V163" s="109">
        <v>45785</v>
      </c>
      <c r="W163" s="109">
        <v>45816</v>
      </c>
      <c r="X163" s="3">
        <f ca="1">W163-TODAY()</f>
        <v>-269</v>
      </c>
      <c r="Y163" s="96" t="str">
        <f ca="1">IF(X163&gt;=60,"Vigente",IF(AND(X163&gt;=1,X163&lt;=59),"Por Vencer","Vencido"))</f>
        <v>Vencido</v>
      </c>
      <c r="Z163" s="96" t="s">
        <v>750</v>
      </c>
    </row>
    <row r="164" spans="1:26" ht="37.5" hidden="1">
      <c r="A164" s="92">
        <v>166</v>
      </c>
      <c r="B164" s="96" t="s">
        <v>28</v>
      </c>
      <c r="C164" s="95" t="s">
        <v>751</v>
      </c>
      <c r="D164" s="95">
        <v>7097121</v>
      </c>
      <c r="E164" s="95">
        <v>6</v>
      </c>
      <c r="F164" s="95">
        <v>70</v>
      </c>
      <c r="G164" s="97" t="s">
        <v>20</v>
      </c>
      <c r="H164" s="96" t="s">
        <v>378</v>
      </c>
      <c r="I164" s="96">
        <v>2023</v>
      </c>
      <c r="J164" s="95">
        <v>2023</v>
      </c>
      <c r="K164" s="96" t="s">
        <v>33</v>
      </c>
      <c r="L164" s="3" t="s">
        <v>23</v>
      </c>
      <c r="M164" s="108">
        <v>44973</v>
      </c>
      <c r="N164" s="96" t="s">
        <v>752</v>
      </c>
      <c r="O164" s="95" t="s">
        <v>25</v>
      </c>
      <c r="P164" s="96" t="s">
        <v>434</v>
      </c>
      <c r="Q164" s="84"/>
      <c r="R164" s="96" t="s">
        <v>531</v>
      </c>
      <c r="S164" s="96" t="s">
        <v>33</v>
      </c>
      <c r="T164" s="96" t="s">
        <v>518</v>
      </c>
      <c r="U164" s="96" t="s">
        <v>524</v>
      </c>
      <c r="V164" s="107">
        <v>46000</v>
      </c>
      <c r="W164" s="108">
        <v>46090</v>
      </c>
      <c r="X164" s="96">
        <f ca="1">W164-TODAY()</f>
        <v>5</v>
      </c>
      <c r="Y164" s="96" t="str">
        <f ca="1">IF(X164&gt;=60,"Vigente",IF(AND(X164&gt;=1,X164&lt;=59),"Por Vencer","Vencido"))</f>
        <v>Por Vencer</v>
      </c>
      <c r="Z164" s="96"/>
    </row>
    <row r="165" spans="1:26" hidden="1">
      <c r="A165" s="92">
        <v>167</v>
      </c>
      <c r="B165" s="96" t="s">
        <v>18</v>
      </c>
      <c r="C165" s="95" t="s">
        <v>753</v>
      </c>
      <c r="D165" s="95">
        <v>11219581</v>
      </c>
      <c r="E165" s="95">
        <v>5</v>
      </c>
      <c r="F165" s="95">
        <v>55</v>
      </c>
      <c r="G165" s="3" t="s">
        <v>63</v>
      </c>
      <c r="H165" s="96" t="s">
        <v>418</v>
      </c>
      <c r="I165" s="95">
        <v>2023</v>
      </c>
      <c r="J165" s="108">
        <v>45106</v>
      </c>
      <c r="K165" s="96" t="s">
        <v>83</v>
      </c>
      <c r="L165" s="3" t="s">
        <v>23</v>
      </c>
      <c r="M165" s="108">
        <v>45225</v>
      </c>
      <c r="N165" s="95" t="s">
        <v>585</v>
      </c>
      <c r="O165" s="95" t="s">
        <v>25</v>
      </c>
      <c r="P165" s="96" t="s">
        <v>434</v>
      </c>
      <c r="Q165" s="84"/>
      <c r="R165" s="96" t="s">
        <v>531</v>
      </c>
      <c r="S165" s="96" t="s">
        <v>33</v>
      </c>
      <c r="T165" s="96" t="s">
        <v>518</v>
      </c>
      <c r="U165" s="108" t="s">
        <v>524</v>
      </c>
      <c r="V165" s="110">
        <v>45988</v>
      </c>
      <c r="W165" s="110">
        <v>46080</v>
      </c>
      <c r="X165" s="96">
        <f ca="1">W165-TODAY()</f>
        <v>-5</v>
      </c>
      <c r="Y165" s="96" t="str">
        <f ca="1">IF(X165&gt;=60,"Vigente",IF(AND(X165&gt;=1,X165&lt;=59),"Por Vencer","Vencido"))</f>
        <v>Vencido</v>
      </c>
      <c r="Z165" s="96"/>
    </row>
    <row r="166" spans="1:26" ht="37.5" hidden="1">
      <c r="A166" s="92">
        <v>168</v>
      </c>
      <c r="B166" s="96" t="s">
        <v>28</v>
      </c>
      <c r="C166" s="96" t="s">
        <v>754</v>
      </c>
      <c r="D166" s="96">
        <v>12090757</v>
      </c>
      <c r="E166" s="96">
        <v>3</v>
      </c>
      <c r="F166" s="96">
        <v>74</v>
      </c>
      <c r="G166" s="97" t="s">
        <v>20</v>
      </c>
      <c r="H166" s="96" t="s">
        <v>431</v>
      </c>
      <c r="I166" s="96" t="s">
        <v>33</v>
      </c>
      <c r="J166" s="101" t="s">
        <v>33</v>
      </c>
      <c r="K166" s="96" t="s">
        <v>33</v>
      </c>
      <c r="L166" s="3" t="s">
        <v>23</v>
      </c>
      <c r="M166" s="97" t="s">
        <v>33</v>
      </c>
      <c r="N166" s="97" t="s">
        <v>33</v>
      </c>
      <c r="O166" s="95" t="s">
        <v>25</v>
      </c>
      <c r="P166" s="96" t="s">
        <v>526</v>
      </c>
      <c r="Q166" s="84"/>
      <c r="R166" s="96" t="s">
        <v>527</v>
      </c>
      <c r="S166" s="96" t="s">
        <v>33</v>
      </c>
      <c r="T166" s="96" t="s">
        <v>528</v>
      </c>
      <c r="U166" s="95" t="s">
        <v>536</v>
      </c>
      <c r="V166" s="107">
        <v>45877</v>
      </c>
      <c r="W166" s="107">
        <v>45908</v>
      </c>
      <c r="X166" s="96">
        <f ca="1">W166-TODAY()</f>
        <v>-177</v>
      </c>
      <c r="Y166" s="96" t="str">
        <f ca="1">IF(X166&gt;=60,"Vigente",IF(AND(X166&gt;=1,X166&lt;=59),"Por Vencer","Vencido"))</f>
        <v>Vencido</v>
      </c>
      <c r="Z166" s="96"/>
    </row>
    <row r="167" spans="1:26" ht="37.5" hidden="1">
      <c r="A167" s="92">
        <v>169</v>
      </c>
      <c r="B167" s="96" t="s">
        <v>28</v>
      </c>
      <c r="C167" s="95" t="s">
        <v>755</v>
      </c>
      <c r="D167" s="95">
        <v>5793299</v>
      </c>
      <c r="E167" s="95">
        <v>6</v>
      </c>
      <c r="F167" s="95">
        <v>72</v>
      </c>
      <c r="G167" s="97" t="s">
        <v>20</v>
      </c>
      <c r="H167" s="95" t="s">
        <v>300</v>
      </c>
      <c r="I167" s="95">
        <v>2020</v>
      </c>
      <c r="J167" s="112">
        <v>43831</v>
      </c>
      <c r="K167" s="96" t="s">
        <v>83</v>
      </c>
      <c r="L167" s="97" t="s">
        <v>84</v>
      </c>
      <c r="M167" s="97" t="s">
        <v>33</v>
      </c>
      <c r="N167" s="97" t="s">
        <v>33</v>
      </c>
      <c r="O167" s="95" t="s">
        <v>25</v>
      </c>
      <c r="P167" s="96" t="s">
        <v>434</v>
      </c>
      <c r="Q167" s="84"/>
      <c r="R167" s="96" t="s">
        <v>527</v>
      </c>
      <c r="S167" s="96" t="s">
        <v>535</v>
      </c>
      <c r="T167" s="96" t="s">
        <v>528</v>
      </c>
      <c r="U167" s="95" t="s">
        <v>524</v>
      </c>
      <c r="V167" s="108">
        <v>46007</v>
      </c>
      <c r="W167" s="108">
        <v>46049</v>
      </c>
      <c r="X167" s="96">
        <f ca="1">W167-TODAY()</f>
        <v>-36</v>
      </c>
      <c r="Y167" s="96" t="str">
        <f ca="1">IF(X167&gt;=60,"Vigente",IF(AND(X167&gt;=1,X167&lt;=59),"Por Vencer","Vencido"))</f>
        <v>Vencido</v>
      </c>
      <c r="Z167" s="96"/>
    </row>
    <row r="168" spans="1:26" ht="37.5" hidden="1">
      <c r="A168" s="92">
        <v>170</v>
      </c>
      <c r="B168" s="96" t="s">
        <v>18</v>
      </c>
      <c r="C168" s="121" t="s">
        <v>756</v>
      </c>
      <c r="D168" s="3">
        <v>6426811</v>
      </c>
      <c r="E168" s="3">
        <v>2</v>
      </c>
      <c r="F168" s="3">
        <v>75</v>
      </c>
      <c r="G168" s="97" t="s">
        <v>20</v>
      </c>
      <c r="H168" s="96" t="s">
        <v>431</v>
      </c>
      <c r="I168" s="3" t="s">
        <v>33</v>
      </c>
      <c r="J168" s="3" t="s">
        <v>33</v>
      </c>
      <c r="K168" s="3" t="s">
        <v>33</v>
      </c>
      <c r="L168" s="3" t="s">
        <v>23</v>
      </c>
      <c r="M168" s="3" t="s">
        <v>33</v>
      </c>
      <c r="N168" s="3" t="s">
        <v>33</v>
      </c>
      <c r="O168" s="95" t="s">
        <v>25</v>
      </c>
      <c r="P168" s="96" t="s">
        <v>526</v>
      </c>
      <c r="Q168" s="2"/>
      <c r="R168" s="96" t="s">
        <v>527</v>
      </c>
      <c r="S168" s="96" t="s">
        <v>33</v>
      </c>
      <c r="T168" s="96" t="s">
        <v>528</v>
      </c>
      <c r="U168" s="3" t="s">
        <v>524</v>
      </c>
      <c r="V168" s="109">
        <v>45965</v>
      </c>
      <c r="W168" s="109">
        <v>46014</v>
      </c>
      <c r="X168" s="3">
        <f ca="1">W168-TODAY()</f>
        <v>-71</v>
      </c>
      <c r="Y168" s="96" t="str">
        <f ca="1">IF(X168&gt;=60,"Vigente",IF(AND(X168&gt;=1,X168&lt;=59),"Por Vencer","Vencido"))</f>
        <v>Vencido</v>
      </c>
      <c r="Z168" s="96"/>
    </row>
    <row r="169" spans="1:26" hidden="1">
      <c r="A169" s="92">
        <v>171</v>
      </c>
      <c r="B169" s="96" t="s">
        <v>18</v>
      </c>
      <c r="C169" s="3" t="s">
        <v>757</v>
      </c>
      <c r="D169" s="3">
        <v>6152589</v>
      </c>
      <c r="E169" s="3">
        <v>0</v>
      </c>
      <c r="F169" s="3">
        <v>78</v>
      </c>
      <c r="G169" s="97" t="s">
        <v>20</v>
      </c>
      <c r="H169" s="96" t="s">
        <v>50</v>
      </c>
      <c r="I169" s="3">
        <v>2025</v>
      </c>
      <c r="J169" s="109">
        <v>45929</v>
      </c>
      <c r="K169" s="3" t="s">
        <v>33</v>
      </c>
      <c r="L169" s="3" t="s">
        <v>23</v>
      </c>
      <c r="M169" s="109">
        <v>45967</v>
      </c>
      <c r="N169" s="3" t="s">
        <v>226</v>
      </c>
      <c r="O169" s="95" t="s">
        <v>25</v>
      </c>
      <c r="P169" s="96" t="s">
        <v>434</v>
      </c>
      <c r="Q169" s="2"/>
      <c r="R169" s="96" t="s">
        <v>531</v>
      </c>
      <c r="S169" s="96" t="s">
        <v>33</v>
      </c>
      <c r="T169" s="96" t="s">
        <v>518</v>
      </c>
      <c r="U169" s="3" t="s">
        <v>524</v>
      </c>
      <c r="V169" s="109">
        <v>45974</v>
      </c>
      <c r="W169" s="109">
        <v>46066</v>
      </c>
      <c r="X169" s="3">
        <f ca="1">W169-TODAY()</f>
        <v>-19</v>
      </c>
      <c r="Y169" s="96" t="str">
        <f ca="1">IF(X169&gt;=60,"Vigente",IF(AND(X169&gt;=1,X169&lt;=59),"Por Vencer","Vencido"))</f>
        <v>Vencido</v>
      </c>
      <c r="Z169" s="96"/>
    </row>
    <row r="170" spans="1:26" ht="39" hidden="1" customHeight="1">
      <c r="A170" s="92">
        <v>172</v>
      </c>
      <c r="B170" s="96" t="s">
        <v>18</v>
      </c>
      <c r="C170" s="122" t="s">
        <v>758</v>
      </c>
      <c r="D170" s="96">
        <v>6410572</v>
      </c>
      <c r="E170" s="96">
        <v>8</v>
      </c>
      <c r="F170" s="96">
        <v>80</v>
      </c>
      <c r="G170" s="97" t="s">
        <v>20</v>
      </c>
      <c r="H170" s="95" t="s">
        <v>59</v>
      </c>
      <c r="I170" s="95">
        <v>2022</v>
      </c>
      <c r="J170" s="107">
        <v>44861</v>
      </c>
      <c r="K170" s="96" t="s">
        <v>33</v>
      </c>
      <c r="L170" s="97" t="s">
        <v>84</v>
      </c>
      <c r="M170" s="110">
        <v>45365</v>
      </c>
      <c r="N170" s="3" t="s">
        <v>326</v>
      </c>
      <c r="O170" s="95" t="s">
        <v>25</v>
      </c>
      <c r="P170" s="96" t="s">
        <v>434</v>
      </c>
      <c r="Q170" s="82"/>
      <c r="R170" s="96" t="s">
        <v>527</v>
      </c>
      <c r="S170" s="96" t="s">
        <v>759</v>
      </c>
      <c r="T170" s="96" t="s">
        <v>528</v>
      </c>
      <c r="U170" s="96" t="s">
        <v>524</v>
      </c>
      <c r="V170" s="107">
        <v>46020</v>
      </c>
      <c r="W170" s="107">
        <v>46041</v>
      </c>
      <c r="X170" s="96">
        <f ca="1">W170-TODAY()</f>
        <v>-44</v>
      </c>
      <c r="Y170" s="96" t="str">
        <f ca="1">IF(X170&gt;=60,"Vigente",IF(AND(X170&gt;=1,X170&lt;=59),"Por Vencer","Vencido"))</f>
        <v>Vencido</v>
      </c>
      <c r="Z170" s="96"/>
    </row>
    <row r="171" spans="1:26" hidden="1">
      <c r="A171" s="92">
        <v>173</v>
      </c>
      <c r="B171" s="96" t="s">
        <v>18</v>
      </c>
      <c r="C171" s="3" t="s">
        <v>760</v>
      </c>
      <c r="D171" s="3">
        <v>7824355</v>
      </c>
      <c r="E171" s="3">
        <v>4</v>
      </c>
      <c r="F171" s="3">
        <v>66</v>
      </c>
      <c r="G171" s="97" t="s">
        <v>20</v>
      </c>
      <c r="H171" s="96" t="s">
        <v>46</v>
      </c>
      <c r="I171" s="3">
        <v>2025</v>
      </c>
      <c r="J171" s="109">
        <v>45719</v>
      </c>
      <c r="K171" s="3" t="s">
        <v>18</v>
      </c>
      <c r="L171" s="3" t="s">
        <v>84</v>
      </c>
      <c r="M171" s="109">
        <v>45750</v>
      </c>
      <c r="N171" s="3" t="s">
        <v>654</v>
      </c>
      <c r="O171" s="96" t="s">
        <v>42</v>
      </c>
      <c r="P171" s="96" t="s">
        <v>526</v>
      </c>
      <c r="Q171" s="2"/>
      <c r="R171" s="96" t="s">
        <v>517</v>
      </c>
      <c r="S171" s="96" t="s">
        <v>33</v>
      </c>
      <c r="T171" s="96" t="s">
        <v>518</v>
      </c>
      <c r="U171" s="95" t="s">
        <v>519</v>
      </c>
      <c r="V171" s="109">
        <v>45750</v>
      </c>
      <c r="W171" s="109">
        <v>45841</v>
      </c>
      <c r="X171" s="3">
        <f ca="1">W171-TODAY()</f>
        <v>-244</v>
      </c>
      <c r="Y171" s="96" t="str">
        <f ca="1">IF(X171&gt;=60,"Vigente",IF(AND(X171&gt;=1,X171&lt;=59),"Por Vencer","Vencido"))</f>
        <v>Vencido</v>
      </c>
      <c r="Z171" s="96"/>
    </row>
    <row r="172" spans="1:26" hidden="1">
      <c r="A172" s="92">
        <v>174</v>
      </c>
      <c r="B172" s="96" t="s">
        <v>18</v>
      </c>
      <c r="C172" s="95" t="s">
        <v>761</v>
      </c>
      <c r="D172" s="95">
        <v>6145687</v>
      </c>
      <c r="E172" s="95">
        <v>2</v>
      </c>
      <c r="F172" s="95">
        <v>72</v>
      </c>
      <c r="G172" s="3" t="s">
        <v>30</v>
      </c>
      <c r="H172" s="95" t="s">
        <v>59</v>
      </c>
      <c r="I172" s="95">
        <v>2022</v>
      </c>
      <c r="J172" s="108">
        <v>44816</v>
      </c>
      <c r="K172" s="96" t="s">
        <v>18</v>
      </c>
      <c r="L172" s="97" t="s">
        <v>84</v>
      </c>
      <c r="M172" s="108">
        <v>44791</v>
      </c>
      <c r="N172" s="96" t="s">
        <v>611</v>
      </c>
      <c r="O172" s="95" t="s">
        <v>25</v>
      </c>
      <c r="P172" s="96" t="s">
        <v>434</v>
      </c>
      <c r="Q172" s="84"/>
      <c r="R172" s="96" t="s">
        <v>531</v>
      </c>
      <c r="S172" s="96" t="s">
        <v>612</v>
      </c>
      <c r="T172" s="96" t="s">
        <v>528</v>
      </c>
      <c r="U172" s="95" t="s">
        <v>524</v>
      </c>
      <c r="V172" s="108">
        <v>45979</v>
      </c>
      <c r="W172" s="108">
        <v>46071</v>
      </c>
      <c r="X172" s="96">
        <f ca="1">W172-TODAY()</f>
        <v>-14</v>
      </c>
      <c r="Y172" s="96" t="str">
        <f ca="1">IF(X172&gt;=60,"Vigente",IF(AND(X172&gt;=1,X172&lt;=59),"Por Vencer","Vencido"))</f>
        <v>Vencido</v>
      </c>
      <c r="Z172" s="96"/>
    </row>
    <row r="173" spans="1:26" hidden="1">
      <c r="A173" s="92">
        <v>175</v>
      </c>
      <c r="B173" s="96" t="s">
        <v>18</v>
      </c>
      <c r="C173" s="96" t="s">
        <v>762</v>
      </c>
      <c r="D173" s="97">
        <v>9513508</v>
      </c>
      <c r="E173" s="96">
        <v>0</v>
      </c>
      <c r="F173" s="96">
        <v>63</v>
      </c>
      <c r="G173" s="97" t="s">
        <v>20</v>
      </c>
      <c r="H173" s="96" t="s">
        <v>418</v>
      </c>
      <c r="I173" s="96">
        <v>2010</v>
      </c>
      <c r="J173" s="96">
        <v>2010</v>
      </c>
      <c r="K173" s="96" t="s">
        <v>83</v>
      </c>
      <c r="L173" s="3" t="s">
        <v>23</v>
      </c>
      <c r="M173" s="110">
        <v>45694</v>
      </c>
      <c r="N173" s="97" t="s">
        <v>585</v>
      </c>
      <c r="O173" s="95" t="s">
        <v>25</v>
      </c>
      <c r="P173" s="96" t="s">
        <v>434</v>
      </c>
      <c r="Q173" s="82"/>
      <c r="R173" s="96" t="s">
        <v>531</v>
      </c>
      <c r="S173" s="96" t="s">
        <v>33</v>
      </c>
      <c r="T173" s="96" t="s">
        <v>518</v>
      </c>
      <c r="U173" s="96" t="s">
        <v>524</v>
      </c>
      <c r="V173" s="107">
        <v>45974</v>
      </c>
      <c r="W173" s="107">
        <v>46066</v>
      </c>
      <c r="X173" s="96">
        <f ca="1">W173-TODAY()</f>
        <v>-19</v>
      </c>
      <c r="Y173" s="96" t="str">
        <f ca="1">IF(X173&gt;=60,"Vigente",IF(AND(X173&gt;=1,X173&lt;=59),"Por Vencer","Vencido"))</f>
        <v>Vencido</v>
      </c>
      <c r="Z173" s="96"/>
    </row>
    <row r="174" spans="1:26" hidden="1">
      <c r="A174" s="92">
        <v>176</v>
      </c>
      <c r="B174" s="96" t="s">
        <v>18</v>
      </c>
      <c r="C174" s="98" t="s">
        <v>763</v>
      </c>
      <c r="D174" s="98">
        <v>9694451</v>
      </c>
      <c r="E174" s="98">
        <v>9</v>
      </c>
      <c r="F174" s="98">
        <v>64</v>
      </c>
      <c r="G174" s="97" t="s">
        <v>30</v>
      </c>
      <c r="H174" s="97" t="s">
        <v>143</v>
      </c>
      <c r="I174" s="98" t="s">
        <v>33</v>
      </c>
      <c r="J174" s="98" t="s">
        <v>541</v>
      </c>
      <c r="K174" s="98" t="s">
        <v>33</v>
      </c>
      <c r="L174" s="98" t="s">
        <v>51</v>
      </c>
      <c r="M174" s="98" t="s">
        <v>33</v>
      </c>
      <c r="N174" s="98" t="s">
        <v>33</v>
      </c>
      <c r="O174" s="95" t="s">
        <v>25</v>
      </c>
      <c r="P174" s="98" t="s">
        <v>434</v>
      </c>
      <c r="Q174" s="86"/>
      <c r="R174" s="98" t="s">
        <v>527</v>
      </c>
      <c r="S174" s="98" t="s">
        <v>33</v>
      </c>
      <c r="T174" s="98" t="s">
        <v>528</v>
      </c>
      <c r="U174" s="3" t="s">
        <v>536</v>
      </c>
      <c r="V174" s="114">
        <v>46035</v>
      </c>
      <c r="W174" s="114">
        <v>46066</v>
      </c>
      <c r="X174" s="3">
        <f ca="1">W174-TODAY()</f>
        <v>-19</v>
      </c>
      <c r="Y174" s="96" t="str">
        <f ca="1">IF(X174&gt;=60,"Vigente",IF(AND(X174&gt;=1,X174&lt;=59),"Por Vencer","Vencido"))</f>
        <v>Vencido</v>
      </c>
      <c r="Z174" s="96"/>
    </row>
    <row r="175" spans="1:26" ht="37.5" hidden="1">
      <c r="A175" s="92">
        <v>177</v>
      </c>
      <c r="B175" s="96" t="s">
        <v>28</v>
      </c>
      <c r="C175" s="96" t="s">
        <v>764</v>
      </c>
      <c r="D175" s="96">
        <v>8632763</v>
      </c>
      <c r="E175" s="96">
        <v>5</v>
      </c>
      <c r="F175" s="96">
        <v>65</v>
      </c>
      <c r="G175" s="97" t="s">
        <v>20</v>
      </c>
      <c r="H175" s="95" t="s">
        <v>300</v>
      </c>
      <c r="I175" s="95">
        <v>2022</v>
      </c>
      <c r="J175" s="107">
        <v>44909</v>
      </c>
      <c r="K175" s="96" t="s">
        <v>83</v>
      </c>
      <c r="L175" s="97" t="s">
        <v>84</v>
      </c>
      <c r="M175" s="97" t="s">
        <v>33</v>
      </c>
      <c r="N175" s="97" t="s">
        <v>33</v>
      </c>
      <c r="O175" s="95" t="s">
        <v>25</v>
      </c>
      <c r="P175" s="96" t="s">
        <v>434</v>
      </c>
      <c r="Q175" s="82"/>
      <c r="R175" s="96" t="s">
        <v>531</v>
      </c>
      <c r="S175" s="96" t="s">
        <v>535</v>
      </c>
      <c r="T175" s="96" t="s">
        <v>518</v>
      </c>
      <c r="U175" s="96" t="s">
        <v>524</v>
      </c>
      <c r="V175" s="107">
        <v>46009</v>
      </c>
      <c r="W175" s="107">
        <v>46099</v>
      </c>
      <c r="X175" s="96">
        <f ca="1">W175-TODAY()</f>
        <v>14</v>
      </c>
      <c r="Y175" s="96" t="str">
        <f ca="1">IF(X175&gt;=60,"Vigente",IF(AND(X175&gt;=1,X175&lt;=59),"Por Vencer","Vencido"))</f>
        <v>Por Vencer</v>
      </c>
      <c r="Z175" s="96"/>
    </row>
    <row r="176" spans="1:26" hidden="1">
      <c r="A176" s="92">
        <v>178</v>
      </c>
      <c r="B176" s="96" t="s">
        <v>18</v>
      </c>
      <c r="C176" s="98" t="s">
        <v>765</v>
      </c>
      <c r="D176" s="98">
        <v>8520549</v>
      </c>
      <c r="E176" s="98">
        <v>8</v>
      </c>
      <c r="F176" s="98">
        <v>67</v>
      </c>
      <c r="G176" s="97" t="s">
        <v>20</v>
      </c>
      <c r="H176" s="97" t="s">
        <v>143</v>
      </c>
      <c r="I176" s="98" t="s">
        <v>33</v>
      </c>
      <c r="J176" s="98" t="s">
        <v>541</v>
      </c>
      <c r="K176" s="98" t="s">
        <v>33</v>
      </c>
      <c r="L176" s="98" t="s">
        <v>51</v>
      </c>
      <c r="M176" s="98" t="s">
        <v>33</v>
      </c>
      <c r="N176" s="98" t="s">
        <v>33</v>
      </c>
      <c r="O176" s="95" t="s">
        <v>25</v>
      </c>
      <c r="P176" s="98" t="s">
        <v>434</v>
      </c>
      <c r="Q176" s="86"/>
      <c r="R176" s="98" t="s">
        <v>527</v>
      </c>
      <c r="S176" s="98" t="s">
        <v>33</v>
      </c>
      <c r="T176" s="98" t="s">
        <v>528</v>
      </c>
      <c r="U176" s="3" t="s">
        <v>536</v>
      </c>
      <c r="V176" s="114"/>
      <c r="W176" s="114"/>
      <c r="X176" s="109">
        <f ca="1">W176-TODAY()</f>
        <v>-46085</v>
      </c>
      <c r="Y176" s="96" t="str">
        <f ca="1">IF(X176&gt;=60,"Vigente",IF(AND(X176&gt;=1,X176&lt;=59),"Por Vencer","Vencido"))</f>
        <v>Vencido</v>
      </c>
      <c r="Z176" s="96"/>
    </row>
    <row r="177" spans="1:26" ht="37.5" hidden="1">
      <c r="A177" s="92">
        <v>179</v>
      </c>
      <c r="B177" s="96" t="s">
        <v>28</v>
      </c>
      <c r="C177" s="96" t="s">
        <v>766</v>
      </c>
      <c r="D177" s="96">
        <v>9844443</v>
      </c>
      <c r="E177" s="95">
        <v>2</v>
      </c>
      <c r="F177" s="96">
        <v>59</v>
      </c>
      <c r="G177" s="97" t="s">
        <v>20</v>
      </c>
      <c r="H177" s="96" t="s">
        <v>378</v>
      </c>
      <c r="I177" s="95">
        <v>2022</v>
      </c>
      <c r="J177" s="107">
        <v>44796</v>
      </c>
      <c r="K177" s="96" t="s">
        <v>83</v>
      </c>
      <c r="L177" s="3" t="s">
        <v>23</v>
      </c>
      <c r="M177" s="97" t="s">
        <v>33</v>
      </c>
      <c r="N177" s="97" t="s">
        <v>33</v>
      </c>
      <c r="O177" s="95" t="s">
        <v>25</v>
      </c>
      <c r="P177" s="96" t="s">
        <v>434</v>
      </c>
      <c r="Q177" s="82"/>
      <c r="R177" s="96" t="s">
        <v>531</v>
      </c>
      <c r="S177" s="96" t="s">
        <v>33</v>
      </c>
      <c r="T177" s="96" t="s">
        <v>518</v>
      </c>
      <c r="U177" s="96" t="s">
        <v>524</v>
      </c>
      <c r="V177" s="107">
        <v>45979</v>
      </c>
      <c r="W177" s="107">
        <v>46071</v>
      </c>
      <c r="X177" s="96">
        <f ca="1">W177-TODAY()</f>
        <v>-14</v>
      </c>
      <c r="Y177" s="96" t="str">
        <f ca="1">IF(X177&gt;=60,"Vigente",IF(AND(X177&gt;=1,X177&lt;=59),"Por Vencer","Vencido"))</f>
        <v>Vencido</v>
      </c>
      <c r="Z177" s="97"/>
    </row>
    <row r="178" spans="1:26" hidden="1">
      <c r="A178" s="92">
        <v>180</v>
      </c>
      <c r="B178" s="96" t="s">
        <v>18</v>
      </c>
      <c r="C178" s="3" t="s">
        <v>767</v>
      </c>
      <c r="D178" s="3">
        <v>8586366</v>
      </c>
      <c r="E178" s="3">
        <v>5</v>
      </c>
      <c r="F178" s="3">
        <v>66</v>
      </c>
      <c r="G178" s="97" t="s">
        <v>20</v>
      </c>
      <c r="H178" s="96" t="s">
        <v>50</v>
      </c>
      <c r="I178" s="3">
        <v>2025</v>
      </c>
      <c r="J178" s="3">
        <v>2025</v>
      </c>
      <c r="K178" s="3" t="s">
        <v>40</v>
      </c>
      <c r="L178" s="3" t="s">
        <v>84</v>
      </c>
      <c r="M178" s="3">
        <v>2025</v>
      </c>
      <c r="N178" s="3" t="s">
        <v>539</v>
      </c>
      <c r="O178" s="96" t="s">
        <v>42</v>
      </c>
      <c r="P178" s="96" t="s">
        <v>526</v>
      </c>
      <c r="Q178" s="2"/>
      <c r="R178" s="96" t="s">
        <v>517</v>
      </c>
      <c r="S178" s="96" t="s">
        <v>33</v>
      </c>
      <c r="T178" s="96" t="s">
        <v>518</v>
      </c>
      <c r="U178" s="95" t="s">
        <v>519</v>
      </c>
      <c r="V178" s="109">
        <v>45842</v>
      </c>
      <c r="W178" s="109">
        <v>45934</v>
      </c>
      <c r="X178" s="3">
        <f ca="1">W178-TODAY()</f>
        <v>-151</v>
      </c>
      <c r="Y178" s="96" t="str">
        <f ca="1">IF(X178&gt;=60,"Vigente",IF(AND(X178&gt;=1,X178&lt;=59),"Por Vencer","Vencido"))</f>
        <v>Vencido</v>
      </c>
      <c r="Z178" s="97"/>
    </row>
    <row r="179" spans="1:26" ht="37.5" hidden="1">
      <c r="A179" s="92">
        <v>181</v>
      </c>
      <c r="B179" s="96" t="s">
        <v>28</v>
      </c>
      <c r="C179" s="3" t="s">
        <v>768</v>
      </c>
      <c r="D179" s="3">
        <v>12771238</v>
      </c>
      <c r="E179" s="3">
        <v>7</v>
      </c>
      <c r="F179" s="3">
        <v>50</v>
      </c>
      <c r="G179" s="97" t="s">
        <v>20</v>
      </c>
      <c r="H179" s="96" t="s">
        <v>431</v>
      </c>
      <c r="I179" s="3" t="s">
        <v>33</v>
      </c>
      <c r="J179" s="3" t="s">
        <v>33</v>
      </c>
      <c r="K179" s="3" t="s">
        <v>83</v>
      </c>
      <c r="L179" s="3" t="s">
        <v>51</v>
      </c>
      <c r="M179" s="3" t="s">
        <v>33</v>
      </c>
      <c r="N179" s="3" t="s">
        <v>33</v>
      </c>
      <c r="O179" s="95" t="s">
        <v>25</v>
      </c>
      <c r="P179" s="96" t="s">
        <v>434</v>
      </c>
      <c r="Q179" s="2"/>
      <c r="R179" s="96" t="s">
        <v>522</v>
      </c>
      <c r="S179" s="3" t="s">
        <v>33</v>
      </c>
      <c r="T179" s="3" t="s">
        <v>523</v>
      </c>
      <c r="U179" s="3" t="s">
        <v>524</v>
      </c>
      <c r="V179" s="109">
        <v>45930</v>
      </c>
      <c r="W179" s="109">
        <v>46111</v>
      </c>
      <c r="X179" s="3">
        <f ca="1">W179-TODAY()</f>
        <v>26</v>
      </c>
      <c r="Y179" s="96" t="str">
        <f ca="1">IF(X179&gt;=60,"Vigente",IF(AND(X179&gt;=1,X179&lt;=59),"Por Vencer","Vencido"))</f>
        <v>Por Vencer</v>
      </c>
      <c r="Z179" s="96"/>
    </row>
    <row r="180" spans="1:26" hidden="1">
      <c r="A180" s="92">
        <v>182</v>
      </c>
      <c r="B180" s="96" t="s">
        <v>18</v>
      </c>
      <c r="C180" s="95" t="s">
        <v>769</v>
      </c>
      <c r="D180" s="95">
        <v>4897334</v>
      </c>
      <c r="E180" s="95">
        <v>5</v>
      </c>
      <c r="F180" s="101">
        <v>83</v>
      </c>
      <c r="G180" s="97" t="s">
        <v>20</v>
      </c>
      <c r="H180" s="96" t="s">
        <v>50</v>
      </c>
      <c r="I180" s="95">
        <v>2022</v>
      </c>
      <c r="J180" s="108">
        <v>44711</v>
      </c>
      <c r="K180" s="96" t="s">
        <v>18</v>
      </c>
      <c r="L180" s="3" t="s">
        <v>23</v>
      </c>
      <c r="M180" s="108">
        <v>44763</v>
      </c>
      <c r="N180" s="96" t="s">
        <v>539</v>
      </c>
      <c r="O180" s="95" t="s">
        <v>25</v>
      </c>
      <c r="P180" s="96" t="s">
        <v>434</v>
      </c>
      <c r="Q180" s="84"/>
      <c r="R180" s="97" t="s">
        <v>578</v>
      </c>
      <c r="S180" s="96" t="s">
        <v>33</v>
      </c>
      <c r="T180" s="95" t="s">
        <v>770</v>
      </c>
      <c r="U180" s="96" t="s">
        <v>524</v>
      </c>
      <c r="V180" s="107">
        <v>45972</v>
      </c>
      <c r="W180" s="108">
        <v>46092</v>
      </c>
      <c r="X180" s="96">
        <f ca="1">W180-TODAY()</f>
        <v>7</v>
      </c>
      <c r="Y180" s="96" t="str">
        <f ca="1">IF(X180&gt;=60,"Vigente",IF(AND(X180&gt;=1,X180&lt;=59),"Por Vencer","Vencido"))</f>
        <v>Por Vencer</v>
      </c>
      <c r="Z180" s="96"/>
    </row>
    <row r="181" spans="1:26" ht="20.25" hidden="1" customHeight="1">
      <c r="A181" s="92">
        <v>183</v>
      </c>
      <c r="B181" s="96" t="s">
        <v>28</v>
      </c>
      <c r="C181" s="168" t="s">
        <v>771</v>
      </c>
      <c r="D181" s="96">
        <v>5531640</v>
      </c>
      <c r="E181" s="96">
        <v>6</v>
      </c>
      <c r="F181" s="96">
        <v>78</v>
      </c>
      <c r="G181" s="97" t="s">
        <v>20</v>
      </c>
      <c r="H181" s="95" t="s">
        <v>59</v>
      </c>
      <c r="I181" s="96">
        <v>2021</v>
      </c>
      <c r="J181" s="96">
        <v>2021</v>
      </c>
      <c r="K181" s="96" t="s">
        <v>33</v>
      </c>
      <c r="L181" s="3" t="s">
        <v>23</v>
      </c>
      <c r="M181" s="96" t="s">
        <v>33</v>
      </c>
      <c r="N181" s="96" t="s">
        <v>33</v>
      </c>
      <c r="O181" s="95" t="s">
        <v>25</v>
      </c>
      <c r="P181" s="96" t="s">
        <v>434</v>
      </c>
      <c r="Q181" s="82"/>
      <c r="R181" s="96" t="s">
        <v>522</v>
      </c>
      <c r="S181" s="96" t="s">
        <v>33</v>
      </c>
      <c r="T181" s="96" t="s">
        <v>523</v>
      </c>
      <c r="U181" s="96" t="s">
        <v>524</v>
      </c>
      <c r="V181" s="107">
        <v>45852</v>
      </c>
      <c r="W181" s="107">
        <v>46036</v>
      </c>
      <c r="X181" s="96">
        <f ca="1">W181-TODAY()</f>
        <v>-49</v>
      </c>
      <c r="Y181" s="96" t="str">
        <f ca="1">IF(X181&gt;=60,"Vigente",IF(AND(X181&gt;=1,X181&lt;=59),"Por Vencer","Vencido"))</f>
        <v>Vencido</v>
      </c>
      <c r="Z181" s="96"/>
    </row>
    <row r="182" spans="1:26" hidden="1">
      <c r="A182" s="92">
        <v>184</v>
      </c>
      <c r="B182" s="96" t="s">
        <v>18</v>
      </c>
      <c r="C182" s="96" t="s">
        <v>772</v>
      </c>
      <c r="D182" s="96">
        <v>5009940</v>
      </c>
      <c r="E182" s="96">
        <v>7</v>
      </c>
      <c r="F182" s="96">
        <v>82</v>
      </c>
      <c r="G182" s="96" t="s">
        <v>58</v>
      </c>
      <c r="H182" s="96" t="s">
        <v>50</v>
      </c>
      <c r="I182" s="96">
        <v>2014</v>
      </c>
      <c r="J182" s="96">
        <v>2014</v>
      </c>
      <c r="K182" s="96" t="s">
        <v>83</v>
      </c>
      <c r="L182" s="3" t="s">
        <v>23</v>
      </c>
      <c r="M182" s="97" t="s">
        <v>33</v>
      </c>
      <c r="N182" s="96" t="s">
        <v>33</v>
      </c>
      <c r="O182" s="95" t="s">
        <v>25</v>
      </c>
      <c r="P182" s="96" t="s">
        <v>526</v>
      </c>
      <c r="Q182" s="82"/>
      <c r="R182" s="96" t="s">
        <v>522</v>
      </c>
      <c r="S182" s="96" t="s">
        <v>33</v>
      </c>
      <c r="T182" s="96" t="s">
        <v>523</v>
      </c>
      <c r="U182" s="96" t="s">
        <v>524</v>
      </c>
      <c r="V182" s="107">
        <v>46020</v>
      </c>
      <c r="W182" s="107">
        <v>46202</v>
      </c>
      <c r="X182" s="96">
        <f ca="1">W182-TODAY()</f>
        <v>117</v>
      </c>
      <c r="Y182" s="96" t="str">
        <f ca="1">IF(X182&gt;=60,"Vigente",IF(AND(X182&gt;=1,X182&lt;=59),"Por Vencer","Vencido"))</f>
        <v>Vigente</v>
      </c>
      <c r="Z182" s="96"/>
    </row>
    <row r="183" spans="1:26" ht="37.5" hidden="1">
      <c r="A183" s="92">
        <v>185</v>
      </c>
      <c r="B183" s="96" t="s">
        <v>28</v>
      </c>
      <c r="C183" s="3" t="s">
        <v>773</v>
      </c>
      <c r="D183" s="3">
        <v>7458853</v>
      </c>
      <c r="E183" s="3">
        <v>0</v>
      </c>
      <c r="F183" s="3">
        <v>71</v>
      </c>
      <c r="G183" s="3" t="s">
        <v>30</v>
      </c>
      <c r="H183" s="96" t="s">
        <v>431</v>
      </c>
      <c r="I183" s="3" t="s">
        <v>33</v>
      </c>
      <c r="J183" s="3" t="s">
        <v>33</v>
      </c>
      <c r="K183" s="3" t="s">
        <v>33</v>
      </c>
      <c r="L183" s="3" t="s">
        <v>51</v>
      </c>
      <c r="M183" s="3" t="s">
        <v>33</v>
      </c>
      <c r="N183" s="3" t="s">
        <v>33</v>
      </c>
      <c r="O183" s="95" t="s">
        <v>25</v>
      </c>
      <c r="P183" s="96" t="s">
        <v>526</v>
      </c>
      <c r="Q183" s="2"/>
      <c r="R183" s="96" t="s">
        <v>531</v>
      </c>
      <c r="S183" s="96" t="s">
        <v>33</v>
      </c>
      <c r="T183" s="96" t="s">
        <v>518</v>
      </c>
      <c r="U183" s="3" t="s">
        <v>524</v>
      </c>
      <c r="V183" s="109">
        <v>45853</v>
      </c>
      <c r="W183" s="109">
        <v>45884</v>
      </c>
      <c r="X183" s="3">
        <f ca="1">W183-TODAY()</f>
        <v>-201</v>
      </c>
      <c r="Y183" s="96" t="str">
        <f ca="1">IF(X183&gt;=60,"Vigente",IF(AND(X183&gt;=1,X183&lt;=59),"Por Vencer","Vencido"))</f>
        <v>Vencido</v>
      </c>
      <c r="Z183" s="96" t="s">
        <v>529</v>
      </c>
    </row>
    <row r="184" spans="1:26" ht="39" hidden="1" customHeight="1">
      <c r="A184" s="92">
        <v>186</v>
      </c>
      <c r="B184" s="96" t="s">
        <v>18</v>
      </c>
      <c r="C184" s="98" t="s">
        <v>774</v>
      </c>
      <c r="D184" s="98">
        <v>7758530</v>
      </c>
      <c r="E184" s="98">
        <v>3</v>
      </c>
      <c r="F184" s="98">
        <v>71</v>
      </c>
      <c r="G184" s="97" t="s">
        <v>20</v>
      </c>
      <c r="H184" s="96" t="s">
        <v>46</v>
      </c>
      <c r="I184" s="3">
        <v>2025</v>
      </c>
      <c r="J184" s="109">
        <v>46030</v>
      </c>
      <c r="K184" s="3" t="s">
        <v>33</v>
      </c>
      <c r="L184" s="3" t="s">
        <v>84</v>
      </c>
      <c r="M184" s="109">
        <v>46044</v>
      </c>
      <c r="N184" s="3" t="s">
        <v>654</v>
      </c>
      <c r="O184" s="95" t="s">
        <v>553</v>
      </c>
      <c r="P184" s="96" t="s">
        <v>434</v>
      </c>
      <c r="Q184" s="2"/>
      <c r="R184" s="96" t="s">
        <v>775</v>
      </c>
      <c r="S184" s="96" t="s">
        <v>33</v>
      </c>
      <c r="T184" s="96" t="s">
        <v>518</v>
      </c>
      <c r="U184" s="95" t="s">
        <v>519</v>
      </c>
      <c r="V184" s="114">
        <v>46049</v>
      </c>
      <c r="W184" s="114">
        <v>46139</v>
      </c>
      <c r="X184" s="3">
        <f ca="1">W184-TODAY()</f>
        <v>54</v>
      </c>
      <c r="Y184" s="96" t="str">
        <f ca="1">IF(X184&gt;=60,"Vigente",IF(AND(X184&gt;=1,X184&lt;=59),"Por Vencer","Vencido"))</f>
        <v>Por Vencer</v>
      </c>
      <c r="Z184" s="96"/>
    </row>
    <row r="185" spans="1:26" ht="20.25" hidden="1" customHeight="1">
      <c r="A185" s="92">
        <v>187</v>
      </c>
      <c r="B185" s="96" t="s">
        <v>18</v>
      </c>
      <c r="C185" s="96" t="s">
        <v>776</v>
      </c>
      <c r="D185" s="97">
        <v>6836476</v>
      </c>
      <c r="E185" s="96">
        <v>0</v>
      </c>
      <c r="F185" s="96">
        <v>74</v>
      </c>
      <c r="G185" s="3" t="s">
        <v>30</v>
      </c>
      <c r="H185" s="96" t="s">
        <v>46</v>
      </c>
      <c r="I185" s="96">
        <v>2024</v>
      </c>
      <c r="J185" s="107">
        <v>45516</v>
      </c>
      <c r="K185" s="96" t="s">
        <v>83</v>
      </c>
      <c r="L185" s="95" t="s">
        <v>84</v>
      </c>
      <c r="M185" s="110">
        <v>45568</v>
      </c>
      <c r="N185" s="97" t="s">
        <v>777</v>
      </c>
      <c r="O185" s="96" t="s">
        <v>42</v>
      </c>
      <c r="P185" s="96" t="s">
        <v>526</v>
      </c>
      <c r="Q185" s="82"/>
      <c r="R185" s="96" t="s">
        <v>517</v>
      </c>
      <c r="S185" s="96" t="s">
        <v>33</v>
      </c>
      <c r="T185" s="96" t="s">
        <v>518</v>
      </c>
      <c r="U185" s="95" t="s">
        <v>519</v>
      </c>
      <c r="V185" s="107">
        <v>45645</v>
      </c>
      <c r="W185" s="107">
        <v>45735</v>
      </c>
      <c r="X185" s="96">
        <f ca="1">W185-TODAY()</f>
        <v>-350</v>
      </c>
      <c r="Y185" s="96" t="str">
        <f ca="1">IF(X185&gt;=60,"Vigente",IF(AND(X185&gt;=1,X185&lt;=59),"Por Vencer","Vencido"))</f>
        <v>Vencido</v>
      </c>
      <c r="Z185" s="96"/>
    </row>
    <row r="186" spans="1:26" ht="20.25" hidden="1" customHeight="1">
      <c r="A186" s="92">
        <v>188</v>
      </c>
      <c r="B186" s="96" t="s">
        <v>18</v>
      </c>
      <c r="C186" s="96" t="s">
        <v>778</v>
      </c>
      <c r="D186" s="96" t="s">
        <v>779</v>
      </c>
      <c r="E186" s="96">
        <v>1</v>
      </c>
      <c r="F186" s="96">
        <v>71</v>
      </c>
      <c r="G186" s="3" t="s">
        <v>63</v>
      </c>
      <c r="H186" s="95" t="s">
        <v>59</v>
      </c>
      <c r="I186" s="96">
        <v>2021</v>
      </c>
      <c r="J186" s="107">
        <v>44524</v>
      </c>
      <c r="K186" s="96" t="s">
        <v>18</v>
      </c>
      <c r="L186" s="3" t="s">
        <v>84</v>
      </c>
      <c r="M186" s="96" t="s">
        <v>780</v>
      </c>
      <c r="N186" s="96" t="s">
        <v>607</v>
      </c>
      <c r="O186" s="96" t="s">
        <v>42</v>
      </c>
      <c r="P186" s="96" t="s">
        <v>526</v>
      </c>
      <c r="Q186" s="82"/>
      <c r="R186" s="96" t="s">
        <v>517</v>
      </c>
      <c r="S186" s="96" t="s">
        <v>33</v>
      </c>
      <c r="T186" s="96" t="s">
        <v>518</v>
      </c>
      <c r="U186" s="95" t="s">
        <v>519</v>
      </c>
      <c r="V186" s="107">
        <v>45707</v>
      </c>
      <c r="W186" s="107">
        <v>45796</v>
      </c>
      <c r="X186" s="96">
        <f ca="1">W186-TODAY()</f>
        <v>-289</v>
      </c>
      <c r="Y186" s="96" t="str">
        <f ca="1">IF(X186&gt;=60,"Vigente",IF(AND(X186&gt;=1,X186&lt;=59),"Por Vencer","Vencido"))</f>
        <v>Vencido</v>
      </c>
      <c r="Z186" s="96"/>
    </row>
    <row r="187" spans="1:26" hidden="1">
      <c r="A187" s="92">
        <v>189</v>
      </c>
      <c r="B187" s="96" t="s">
        <v>18</v>
      </c>
      <c r="C187" s="3" t="s">
        <v>781</v>
      </c>
      <c r="D187" s="3">
        <v>27064008</v>
      </c>
      <c r="E187" s="3">
        <v>7</v>
      </c>
      <c r="F187" s="3">
        <v>68</v>
      </c>
      <c r="G187" s="3" t="s">
        <v>20</v>
      </c>
      <c r="H187" s="96" t="s">
        <v>46</v>
      </c>
      <c r="I187" s="3">
        <v>2025</v>
      </c>
      <c r="J187" s="109">
        <v>45867</v>
      </c>
      <c r="K187" s="3" t="s">
        <v>40</v>
      </c>
      <c r="L187" s="3" t="s">
        <v>84</v>
      </c>
      <c r="M187" s="109">
        <v>45869</v>
      </c>
      <c r="N187" s="3" t="s">
        <v>782</v>
      </c>
      <c r="O187" s="96" t="s">
        <v>42</v>
      </c>
      <c r="P187" s="96" t="s">
        <v>526</v>
      </c>
      <c r="Q187" s="2"/>
      <c r="R187" s="96" t="s">
        <v>517</v>
      </c>
      <c r="S187" s="96" t="s">
        <v>33</v>
      </c>
      <c r="T187" s="96" t="s">
        <v>518</v>
      </c>
      <c r="U187" s="95" t="s">
        <v>519</v>
      </c>
      <c r="V187" s="109">
        <v>45874</v>
      </c>
      <c r="W187" s="109">
        <v>45966</v>
      </c>
      <c r="X187" s="3">
        <f ca="1">W187-TODAY()</f>
        <v>-119</v>
      </c>
      <c r="Y187" s="96" t="str">
        <f ca="1">IF(X187&gt;=60,"Vigente",IF(AND(X187&gt;=1,X187&lt;=59),"Por Vencer","Vencido"))</f>
        <v>Vencido</v>
      </c>
      <c r="Z187" s="3"/>
    </row>
    <row r="188" spans="1:26" hidden="1">
      <c r="A188" s="92">
        <v>190</v>
      </c>
      <c r="B188" s="96" t="s">
        <v>18</v>
      </c>
      <c r="C188" s="105" t="s">
        <v>783</v>
      </c>
      <c r="D188" s="97">
        <v>11421948</v>
      </c>
      <c r="E188" s="96">
        <v>7</v>
      </c>
      <c r="F188" s="96">
        <v>54</v>
      </c>
      <c r="G188" s="97" t="s">
        <v>20</v>
      </c>
      <c r="H188" s="96" t="s">
        <v>50</v>
      </c>
      <c r="I188" s="96">
        <v>2021</v>
      </c>
      <c r="J188" s="96">
        <v>2021</v>
      </c>
      <c r="K188" s="96" t="s">
        <v>83</v>
      </c>
      <c r="L188" s="3" t="s">
        <v>23</v>
      </c>
      <c r="M188" s="96">
        <v>2021</v>
      </c>
      <c r="N188" s="96" t="s">
        <v>483</v>
      </c>
      <c r="O188" s="95" t="s">
        <v>25</v>
      </c>
      <c r="P188" s="96" t="s">
        <v>434</v>
      </c>
      <c r="Q188" s="82"/>
      <c r="R188" s="96" t="s">
        <v>527</v>
      </c>
      <c r="S188" s="96" t="s">
        <v>33</v>
      </c>
      <c r="T188" s="96" t="s">
        <v>528</v>
      </c>
      <c r="U188" s="96" t="s">
        <v>524</v>
      </c>
      <c r="V188" s="107">
        <v>46042</v>
      </c>
      <c r="W188" s="107">
        <v>46073</v>
      </c>
      <c r="X188" s="96">
        <f ca="1">W188-TODAY()</f>
        <v>-12</v>
      </c>
      <c r="Y188" s="96" t="str">
        <f ca="1">IF(X188&gt;=60,"Vigente",IF(AND(X188&gt;=1,X188&lt;=59),"Por Vencer","Vencido"))</f>
        <v>Vencido</v>
      </c>
      <c r="Z188" s="96" t="s">
        <v>784</v>
      </c>
    </row>
    <row r="189" spans="1:26" ht="20.25" hidden="1" customHeight="1">
      <c r="A189" s="92">
        <v>191</v>
      </c>
      <c r="B189" s="96" t="s">
        <v>18</v>
      </c>
      <c r="C189" s="96" t="s">
        <v>785</v>
      </c>
      <c r="D189" s="96">
        <v>4747110</v>
      </c>
      <c r="E189" s="96">
        <v>9</v>
      </c>
      <c r="F189" s="96">
        <v>83</v>
      </c>
      <c r="G189" s="97" t="s">
        <v>20</v>
      </c>
      <c r="H189" s="96" t="s">
        <v>50</v>
      </c>
      <c r="I189" s="96">
        <v>2024</v>
      </c>
      <c r="J189" s="107">
        <v>45608</v>
      </c>
      <c r="K189" s="96" t="s">
        <v>18</v>
      </c>
      <c r="L189" s="3" t="s">
        <v>23</v>
      </c>
      <c r="M189" s="107">
        <v>45631</v>
      </c>
      <c r="N189" s="96" t="s">
        <v>539</v>
      </c>
      <c r="O189" s="95" t="s">
        <v>25</v>
      </c>
      <c r="P189" s="96" t="s">
        <v>434</v>
      </c>
      <c r="Q189" s="82"/>
      <c r="R189" s="96" t="s">
        <v>531</v>
      </c>
      <c r="S189" s="96" t="s">
        <v>33</v>
      </c>
      <c r="T189" s="96" t="s">
        <v>518</v>
      </c>
      <c r="U189" s="96" t="s">
        <v>524</v>
      </c>
      <c r="V189" s="107">
        <v>46000</v>
      </c>
      <c r="W189" s="107">
        <v>46090</v>
      </c>
      <c r="X189" s="96">
        <f ca="1">W189-TODAY()</f>
        <v>5</v>
      </c>
      <c r="Y189" s="96" t="str">
        <f ca="1">IF(X189&gt;=60,"Vigente",IF(AND(X189&gt;=1,X189&lt;=59),"Por Vencer","Vencido"))</f>
        <v>Por Vencer</v>
      </c>
      <c r="Z189" s="96"/>
    </row>
    <row r="190" spans="1:26" ht="39" hidden="1" customHeight="1">
      <c r="A190" s="92">
        <v>192</v>
      </c>
      <c r="B190" s="96" t="s">
        <v>18</v>
      </c>
      <c r="C190" s="3" t="s">
        <v>786</v>
      </c>
      <c r="D190" s="3">
        <v>6408454</v>
      </c>
      <c r="E190" s="3">
        <v>2</v>
      </c>
      <c r="F190" s="3">
        <v>74</v>
      </c>
      <c r="G190" s="97" t="s">
        <v>20</v>
      </c>
      <c r="H190" s="96" t="s">
        <v>431</v>
      </c>
      <c r="I190" s="3" t="s">
        <v>33</v>
      </c>
      <c r="J190" s="3" t="s">
        <v>33</v>
      </c>
      <c r="K190" s="3" t="s">
        <v>33</v>
      </c>
      <c r="L190" s="3" t="s">
        <v>23</v>
      </c>
      <c r="M190" s="3" t="s">
        <v>33</v>
      </c>
      <c r="N190" s="3" t="s">
        <v>33</v>
      </c>
      <c r="O190" s="95" t="s">
        <v>25</v>
      </c>
      <c r="P190" s="96" t="s">
        <v>434</v>
      </c>
      <c r="Q190" s="2"/>
      <c r="R190" s="96" t="s">
        <v>531</v>
      </c>
      <c r="S190" s="96" t="s">
        <v>33</v>
      </c>
      <c r="T190" s="96" t="s">
        <v>518</v>
      </c>
      <c r="U190" s="3" t="s">
        <v>524</v>
      </c>
      <c r="V190" s="109">
        <v>45988</v>
      </c>
      <c r="W190" s="109">
        <v>46080</v>
      </c>
      <c r="X190" s="3">
        <f ca="1">W190-TODAY()</f>
        <v>-5</v>
      </c>
      <c r="Y190" s="96" t="str">
        <f ca="1">IF(X190&gt;=60,"Vigente",IF(AND(X190&gt;=1,X190&lt;=59),"Por Vencer","Vencido"))</f>
        <v>Vencido</v>
      </c>
      <c r="Z190" s="96"/>
    </row>
    <row r="191" spans="1:26" ht="39" hidden="1" customHeight="1">
      <c r="A191" s="92">
        <v>193</v>
      </c>
      <c r="B191" s="96" t="s">
        <v>28</v>
      </c>
      <c r="C191" s="95" t="s">
        <v>787</v>
      </c>
      <c r="D191" s="95">
        <v>7704615</v>
      </c>
      <c r="E191" s="95">
        <v>1</v>
      </c>
      <c r="F191" s="95">
        <v>70</v>
      </c>
      <c r="G191" s="97" t="s">
        <v>20</v>
      </c>
      <c r="H191" s="95" t="s">
        <v>300</v>
      </c>
      <c r="I191" s="96">
        <v>2020</v>
      </c>
      <c r="J191" s="108">
        <v>44027</v>
      </c>
      <c r="K191" s="96" t="s">
        <v>33</v>
      </c>
      <c r="L191" s="97" t="s">
        <v>84</v>
      </c>
      <c r="M191" s="97" t="s">
        <v>33</v>
      </c>
      <c r="N191" s="97" t="s">
        <v>33</v>
      </c>
      <c r="O191" s="95" t="s">
        <v>25</v>
      </c>
      <c r="P191" s="96" t="s">
        <v>434</v>
      </c>
      <c r="Q191" s="84"/>
      <c r="R191" s="95" t="s">
        <v>570</v>
      </c>
      <c r="S191" s="96" t="s">
        <v>535</v>
      </c>
      <c r="T191" s="96" t="s">
        <v>571</v>
      </c>
      <c r="U191" s="95" t="s">
        <v>524</v>
      </c>
      <c r="V191" s="108">
        <v>45922</v>
      </c>
      <c r="W191" s="108">
        <v>46044</v>
      </c>
      <c r="X191" s="96">
        <f ca="1">W191-TODAY()</f>
        <v>-41</v>
      </c>
      <c r="Y191" s="96" t="str">
        <f ca="1">IF(X191&gt;=60,"Vigente",IF(AND(X191&gt;=1,X191&lt;=59),"Por Vencer","Vencido"))</f>
        <v>Vencido</v>
      </c>
      <c r="Z191" s="96"/>
    </row>
    <row r="192" spans="1:26" ht="37.5" hidden="1">
      <c r="A192" s="92">
        <v>194</v>
      </c>
      <c r="B192" s="96" t="s">
        <v>18</v>
      </c>
      <c r="C192" s="96" t="s">
        <v>788</v>
      </c>
      <c r="D192" s="96">
        <v>15044571</v>
      </c>
      <c r="E192" s="96" t="s">
        <v>45</v>
      </c>
      <c r="F192" s="100">
        <v>40</v>
      </c>
      <c r="G192" s="96" t="s">
        <v>58</v>
      </c>
      <c r="H192" s="96" t="s">
        <v>50</v>
      </c>
      <c r="I192" s="95">
        <v>2022</v>
      </c>
      <c r="J192" s="107">
        <v>44830</v>
      </c>
      <c r="K192" s="96" t="s">
        <v>18</v>
      </c>
      <c r="L192" s="3" t="s">
        <v>84</v>
      </c>
      <c r="M192" s="107" t="s">
        <v>789</v>
      </c>
      <c r="N192" s="3" t="s">
        <v>539</v>
      </c>
      <c r="O192" s="96" t="s">
        <v>42</v>
      </c>
      <c r="P192" s="96" t="s">
        <v>526</v>
      </c>
      <c r="Q192" s="82"/>
      <c r="R192" s="96" t="s">
        <v>517</v>
      </c>
      <c r="S192" s="96" t="s">
        <v>33</v>
      </c>
      <c r="T192" s="96" t="s">
        <v>518</v>
      </c>
      <c r="U192" s="95" t="s">
        <v>519</v>
      </c>
      <c r="V192" s="107">
        <v>45707</v>
      </c>
      <c r="W192" s="107">
        <v>45796</v>
      </c>
      <c r="X192" s="96">
        <f ca="1">W192-TODAY()</f>
        <v>-289</v>
      </c>
      <c r="Y192" s="96" t="str">
        <f ca="1">IF(X192&gt;=60,"Vigente",IF(AND(X192&gt;=1,X192&lt;=59),"Por Vencer","Vencido"))</f>
        <v>Vencido</v>
      </c>
      <c r="Z192" s="96"/>
    </row>
    <row r="193" spans="1:61" ht="20.25" hidden="1" customHeight="1">
      <c r="A193" s="92">
        <v>195</v>
      </c>
      <c r="B193" s="96" t="s">
        <v>18</v>
      </c>
      <c r="C193" s="3" t="s">
        <v>790</v>
      </c>
      <c r="D193" s="3">
        <v>4036673</v>
      </c>
      <c r="E193" s="3">
        <v>3</v>
      </c>
      <c r="F193" s="3">
        <v>84</v>
      </c>
      <c r="G193" s="97" t="s">
        <v>20</v>
      </c>
      <c r="H193" s="96" t="s">
        <v>251</v>
      </c>
      <c r="I193" s="3" t="s">
        <v>33</v>
      </c>
      <c r="J193" s="3" t="s">
        <v>33</v>
      </c>
      <c r="K193" s="3" t="s">
        <v>33</v>
      </c>
      <c r="L193" s="3" t="s">
        <v>51</v>
      </c>
      <c r="M193" s="3" t="s">
        <v>33</v>
      </c>
      <c r="N193" s="3" t="s">
        <v>33</v>
      </c>
      <c r="O193" s="95" t="s">
        <v>25</v>
      </c>
      <c r="P193" s="96" t="s">
        <v>526</v>
      </c>
      <c r="Q193" s="2"/>
      <c r="R193" s="96" t="s">
        <v>527</v>
      </c>
      <c r="S193" s="96" t="s">
        <v>33</v>
      </c>
      <c r="T193" s="96" t="s">
        <v>528</v>
      </c>
      <c r="U193" s="96" t="s">
        <v>524</v>
      </c>
      <c r="V193" s="109">
        <v>45860</v>
      </c>
      <c r="W193" s="109">
        <v>45898</v>
      </c>
      <c r="X193" s="3">
        <f ca="1">W193-TODAY()</f>
        <v>-187</v>
      </c>
      <c r="Y193" s="96" t="str">
        <f ca="1">IF(X193&gt;=60,"Vigente",IF(AND(X193&gt;=1,X193&lt;=59),"Por Vencer","Vencido"))</f>
        <v>Vencido</v>
      </c>
      <c r="Z193" s="96" t="s">
        <v>791</v>
      </c>
    </row>
    <row r="194" spans="1:61" ht="37.5" hidden="1">
      <c r="A194" s="92">
        <v>196</v>
      </c>
      <c r="B194" s="96" t="s">
        <v>18</v>
      </c>
      <c r="C194" s="3" t="s">
        <v>792</v>
      </c>
      <c r="D194" s="3">
        <v>12397106</v>
      </c>
      <c r="E194" s="79" t="s">
        <v>45</v>
      </c>
      <c r="F194" s="79">
        <v>51</v>
      </c>
      <c r="G194" s="97" t="s">
        <v>20</v>
      </c>
      <c r="H194" s="96" t="s">
        <v>431</v>
      </c>
      <c r="I194" s="3" t="s">
        <v>33</v>
      </c>
      <c r="J194" s="3" t="s">
        <v>33</v>
      </c>
      <c r="K194" s="3" t="s">
        <v>33</v>
      </c>
      <c r="L194" s="3" t="s">
        <v>23</v>
      </c>
      <c r="M194" s="3" t="s">
        <v>33</v>
      </c>
      <c r="N194" s="3" t="s">
        <v>33</v>
      </c>
      <c r="O194" s="95" t="s">
        <v>25</v>
      </c>
      <c r="P194" s="96" t="s">
        <v>434</v>
      </c>
      <c r="R194" s="96" t="s">
        <v>531</v>
      </c>
      <c r="S194" s="96" t="s">
        <v>33</v>
      </c>
      <c r="T194" s="96" t="s">
        <v>518</v>
      </c>
      <c r="U194" s="96" t="s">
        <v>524</v>
      </c>
      <c r="V194" s="120">
        <v>46014</v>
      </c>
      <c r="W194" s="120">
        <v>46104</v>
      </c>
      <c r="X194" s="3">
        <f ca="1">W194-TODAY()</f>
        <v>19</v>
      </c>
      <c r="Y194" s="96" t="str">
        <f ca="1">IF(X194&gt;=60,"Vigente",IF(AND(X194&gt;=1,X194&lt;=59),"Por Vencer","Vencido"))</f>
        <v>Por Vencer</v>
      </c>
    </row>
    <row r="195" spans="1:61" hidden="1">
      <c r="A195" s="92">
        <v>197</v>
      </c>
      <c r="B195" s="96" t="s">
        <v>18</v>
      </c>
      <c r="C195" s="170" t="s">
        <v>793</v>
      </c>
      <c r="D195" s="95">
        <v>9222629</v>
      </c>
      <c r="E195" s="95">
        <v>8</v>
      </c>
      <c r="F195" s="101">
        <v>61</v>
      </c>
      <c r="G195" s="3" t="s">
        <v>30</v>
      </c>
      <c r="H195" s="96" t="s">
        <v>50</v>
      </c>
      <c r="I195" s="101">
        <v>2018</v>
      </c>
      <c r="J195" s="108">
        <v>43381</v>
      </c>
      <c r="K195" s="96" t="s">
        <v>83</v>
      </c>
      <c r="L195" s="3" t="s">
        <v>23</v>
      </c>
      <c r="M195" s="97" t="s">
        <v>33</v>
      </c>
      <c r="N195" s="97" t="s">
        <v>33</v>
      </c>
      <c r="O195" s="95" t="s">
        <v>25</v>
      </c>
      <c r="P195" s="96" t="s">
        <v>526</v>
      </c>
      <c r="Q195" s="84"/>
      <c r="R195" s="96" t="s">
        <v>570</v>
      </c>
      <c r="S195" s="96" t="s">
        <v>33</v>
      </c>
      <c r="T195" s="96" t="s">
        <v>571</v>
      </c>
      <c r="U195" s="95" t="s">
        <v>524</v>
      </c>
      <c r="V195" s="110">
        <v>45588</v>
      </c>
      <c r="W195" s="107">
        <v>45770</v>
      </c>
      <c r="X195" s="96">
        <f ca="1">W195-TODAY()</f>
        <v>-315</v>
      </c>
      <c r="Y195" s="96" t="str">
        <f ca="1">IF(X195&gt;=60,"Vigente",IF(AND(X195&gt;=1,X195&lt;=59),"Por Vencer","Vencido"))</f>
        <v>Vencido</v>
      </c>
      <c r="Z195" s="96" t="s">
        <v>794</v>
      </c>
    </row>
    <row r="196" spans="1:61" hidden="1">
      <c r="A196" s="92">
        <v>198</v>
      </c>
      <c r="B196" s="96" t="s">
        <v>18</v>
      </c>
      <c r="C196" s="96" t="s">
        <v>795</v>
      </c>
      <c r="D196" s="96">
        <v>10701853</v>
      </c>
      <c r="E196" s="96">
        <v>0</v>
      </c>
      <c r="F196" s="100">
        <v>60</v>
      </c>
      <c r="G196" s="97" t="s">
        <v>20</v>
      </c>
      <c r="H196" s="96" t="s">
        <v>50</v>
      </c>
      <c r="I196" s="100">
        <v>2021</v>
      </c>
      <c r="J196" s="107">
        <v>44341</v>
      </c>
      <c r="K196" s="96" t="s">
        <v>18</v>
      </c>
      <c r="L196" s="96" t="s">
        <v>23</v>
      </c>
      <c r="M196" s="107">
        <v>44238</v>
      </c>
      <c r="N196" s="96" t="s">
        <v>539</v>
      </c>
      <c r="O196" s="96" t="s">
        <v>42</v>
      </c>
      <c r="P196" s="96" t="s">
        <v>526</v>
      </c>
      <c r="Q196" s="82"/>
      <c r="R196" s="96" t="s">
        <v>517</v>
      </c>
      <c r="S196" s="96" t="s">
        <v>33</v>
      </c>
      <c r="T196" s="96" t="s">
        <v>518</v>
      </c>
      <c r="U196" s="95" t="s">
        <v>519</v>
      </c>
      <c r="V196" s="108">
        <v>45699</v>
      </c>
      <c r="W196" s="107">
        <v>45788</v>
      </c>
      <c r="X196" s="96">
        <f ca="1">W196-TODAY()</f>
        <v>-297</v>
      </c>
      <c r="Y196" s="96" t="str">
        <f ca="1">IF(X196&gt;=60,"Vigente",IF(AND(X196&gt;=1,X196&lt;=59),"Por Vencer","Vencido"))</f>
        <v>Vencido</v>
      </c>
      <c r="Z196" s="96"/>
    </row>
    <row r="197" spans="1:61" hidden="1">
      <c r="A197" s="92">
        <v>199</v>
      </c>
      <c r="B197" s="96" t="s">
        <v>18</v>
      </c>
      <c r="C197" s="3" t="s">
        <v>796</v>
      </c>
      <c r="D197" s="3">
        <v>11599858</v>
      </c>
      <c r="E197" s="3">
        <v>7</v>
      </c>
      <c r="F197" s="3">
        <v>55</v>
      </c>
      <c r="G197" s="97" t="s">
        <v>20</v>
      </c>
      <c r="H197" s="96" t="s">
        <v>418</v>
      </c>
      <c r="I197" s="3">
        <v>2025</v>
      </c>
      <c r="J197" s="109">
        <v>45853</v>
      </c>
      <c r="K197" s="3" t="s">
        <v>33</v>
      </c>
      <c r="L197" s="3" t="s">
        <v>23</v>
      </c>
      <c r="M197" s="109">
        <v>45869</v>
      </c>
      <c r="N197" s="96" t="s">
        <v>797</v>
      </c>
      <c r="O197" s="96" t="s">
        <v>42</v>
      </c>
      <c r="P197" s="96" t="s">
        <v>526</v>
      </c>
      <c r="Q197" s="2"/>
      <c r="R197" s="96" t="s">
        <v>517</v>
      </c>
      <c r="S197" s="3" t="s">
        <v>33</v>
      </c>
      <c r="T197" s="96" t="s">
        <v>518</v>
      </c>
      <c r="U197" s="95" t="s">
        <v>519</v>
      </c>
      <c r="V197" s="109">
        <v>45855</v>
      </c>
      <c r="W197" s="109">
        <v>45947</v>
      </c>
      <c r="X197" s="3">
        <f ca="1">W197-TODAY()</f>
        <v>-138</v>
      </c>
      <c r="Y197" s="96" t="str">
        <f ca="1">IF(X197&gt;=60,"Vigente",IF(AND(X197&gt;=1,X197&lt;=59),"Por Vencer","Vencido"))</f>
        <v>Vencido</v>
      </c>
      <c r="Z197" s="3"/>
    </row>
    <row r="198" spans="1:61" hidden="1">
      <c r="A198" s="92">
        <v>200</v>
      </c>
      <c r="B198" s="96" t="s">
        <v>18</v>
      </c>
      <c r="C198" s="96" t="s">
        <v>798</v>
      </c>
      <c r="D198" s="96">
        <v>7865205</v>
      </c>
      <c r="E198" s="96">
        <v>5</v>
      </c>
      <c r="F198" s="96">
        <v>64</v>
      </c>
      <c r="G198" s="97" t="s">
        <v>20</v>
      </c>
      <c r="H198" s="95" t="s">
        <v>59</v>
      </c>
      <c r="I198" s="96">
        <v>2021</v>
      </c>
      <c r="J198" s="107">
        <v>44385</v>
      </c>
      <c r="K198" s="96" t="s">
        <v>18</v>
      </c>
      <c r="L198" s="96" t="s">
        <v>23</v>
      </c>
      <c r="M198" s="107">
        <v>44441</v>
      </c>
      <c r="N198" s="96" t="s">
        <v>563</v>
      </c>
      <c r="O198" s="96" t="s">
        <v>42</v>
      </c>
      <c r="P198" s="96" t="s">
        <v>526</v>
      </c>
      <c r="Q198" s="82"/>
      <c r="R198" s="96" t="s">
        <v>517</v>
      </c>
      <c r="S198" s="96" t="s">
        <v>33</v>
      </c>
      <c r="T198" s="96" t="s">
        <v>518</v>
      </c>
      <c r="U198" s="95" t="s">
        <v>519</v>
      </c>
      <c r="V198" s="107">
        <v>45699</v>
      </c>
      <c r="W198" s="107">
        <v>45788</v>
      </c>
      <c r="X198" s="96">
        <f ca="1">W198-TODAY()</f>
        <v>-297</v>
      </c>
      <c r="Y198" s="96" t="str">
        <f ca="1">IF(X198&gt;=60,"Vigente",IF(AND(X198&gt;=1,X198&lt;=59),"Por Vencer","Vencido"))</f>
        <v>Vencido</v>
      </c>
      <c r="Z198" s="96"/>
    </row>
    <row r="199" spans="1:61" s="5" customFormat="1" hidden="1">
      <c r="A199" s="92">
        <v>201</v>
      </c>
      <c r="B199" s="96" t="s">
        <v>18</v>
      </c>
      <c r="C199" s="96" t="s">
        <v>799</v>
      </c>
      <c r="D199" s="96">
        <v>9642300</v>
      </c>
      <c r="E199" s="96">
        <v>4</v>
      </c>
      <c r="F199" s="96">
        <v>63</v>
      </c>
      <c r="G199" s="97" t="s">
        <v>20</v>
      </c>
      <c r="H199" s="96" t="s">
        <v>50</v>
      </c>
      <c r="I199" s="96">
        <v>2021</v>
      </c>
      <c r="J199" s="107">
        <v>44508</v>
      </c>
      <c r="K199" s="96" t="s">
        <v>18</v>
      </c>
      <c r="L199" s="96" t="s">
        <v>23</v>
      </c>
      <c r="M199" s="107">
        <v>44532</v>
      </c>
      <c r="N199" s="96" t="s">
        <v>539</v>
      </c>
      <c r="O199" s="96" t="s">
        <v>42</v>
      </c>
      <c r="P199" s="96" t="s">
        <v>526</v>
      </c>
      <c r="Q199" s="82"/>
      <c r="R199" s="96" t="s">
        <v>517</v>
      </c>
      <c r="S199" s="96" t="s">
        <v>33</v>
      </c>
      <c r="T199" s="96" t="s">
        <v>518</v>
      </c>
      <c r="U199" s="95" t="s">
        <v>519</v>
      </c>
      <c r="V199" s="107">
        <v>45691</v>
      </c>
      <c r="W199" s="107">
        <v>45780</v>
      </c>
      <c r="X199" s="96">
        <f ca="1">W199-TODAY()</f>
        <v>-305</v>
      </c>
      <c r="Y199" s="96" t="str">
        <f ca="1">IF(X199&gt;=60,"Vigente",IF(AND(X199&gt;=1,X199&lt;=59),"Por Vencer","Vencido"))</f>
        <v>Vencido</v>
      </c>
      <c r="Z199" s="96"/>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row>
    <row r="200" spans="1:61" ht="20.25" hidden="1" customHeight="1">
      <c r="A200" s="92">
        <v>202</v>
      </c>
      <c r="B200" s="96" t="s">
        <v>28</v>
      </c>
      <c r="C200" s="3" t="s">
        <v>800</v>
      </c>
      <c r="D200" s="3">
        <v>26629335</v>
      </c>
      <c r="E200" s="3">
        <v>6</v>
      </c>
      <c r="F200" s="3">
        <v>41</v>
      </c>
      <c r="G200" s="97" t="s">
        <v>20</v>
      </c>
      <c r="H200" s="96" t="s">
        <v>431</v>
      </c>
      <c r="I200" s="3" t="s">
        <v>33</v>
      </c>
      <c r="J200" s="3" t="s">
        <v>33</v>
      </c>
      <c r="K200" s="3" t="s">
        <v>33</v>
      </c>
      <c r="L200" s="3" t="s">
        <v>51</v>
      </c>
      <c r="M200" s="3" t="s">
        <v>33</v>
      </c>
      <c r="N200" s="3" t="s">
        <v>33</v>
      </c>
      <c r="O200" s="95" t="s">
        <v>25</v>
      </c>
      <c r="P200" s="96" t="s">
        <v>526</v>
      </c>
      <c r="Q200" s="2"/>
      <c r="R200" s="96" t="s">
        <v>527</v>
      </c>
      <c r="S200" s="96" t="s">
        <v>33</v>
      </c>
      <c r="T200" s="96" t="s">
        <v>528</v>
      </c>
      <c r="U200" s="3" t="s">
        <v>524</v>
      </c>
      <c r="V200" s="109">
        <v>45518</v>
      </c>
      <c r="W200" s="109">
        <v>45596</v>
      </c>
      <c r="X200" s="3">
        <f ca="1">W200-TODAY()</f>
        <v>-489</v>
      </c>
      <c r="Y200" s="96" t="str">
        <f ca="1">IF(X200&gt;=60,"Vigente",IF(AND(X200&gt;=1,X200&lt;=59),"Por Vencer","Vencido"))</f>
        <v>Vencido</v>
      </c>
      <c r="Z200" s="96" t="s">
        <v>794</v>
      </c>
    </row>
    <row r="201" spans="1:61" hidden="1">
      <c r="A201" s="92">
        <v>203</v>
      </c>
      <c r="B201" s="96" t="s">
        <v>18</v>
      </c>
      <c r="C201" s="97" t="s">
        <v>801</v>
      </c>
      <c r="D201" s="96">
        <v>2801140</v>
      </c>
      <c r="E201" s="96">
        <v>7</v>
      </c>
      <c r="F201" s="96">
        <v>82</v>
      </c>
      <c r="G201" s="97" t="s">
        <v>20</v>
      </c>
      <c r="H201" s="95" t="s">
        <v>59</v>
      </c>
      <c r="I201" s="95">
        <v>2023</v>
      </c>
      <c r="J201" s="107">
        <v>45089</v>
      </c>
      <c r="K201" s="96" t="s">
        <v>18</v>
      </c>
      <c r="L201" s="97" t="s">
        <v>84</v>
      </c>
      <c r="M201" s="110">
        <v>45330</v>
      </c>
      <c r="N201" s="96" t="s">
        <v>611</v>
      </c>
      <c r="O201" s="95" t="s">
        <v>25</v>
      </c>
      <c r="P201" s="96" t="s">
        <v>434</v>
      </c>
      <c r="Q201" s="82"/>
      <c r="R201" s="96" t="s">
        <v>531</v>
      </c>
      <c r="S201" s="96" t="s">
        <v>612</v>
      </c>
      <c r="T201" s="96" t="s">
        <v>518</v>
      </c>
      <c r="U201" s="95" t="s">
        <v>524</v>
      </c>
      <c r="V201" s="108">
        <v>46035</v>
      </c>
      <c r="W201" s="107">
        <v>46125</v>
      </c>
      <c r="X201" s="96">
        <f ca="1">W201-TODAY()</f>
        <v>40</v>
      </c>
      <c r="Y201" s="96" t="str">
        <f ca="1">IF(X201&gt;=60,"Vigente",IF(AND(X201&gt;=1,X201&lt;=59),"Por Vencer","Vencido"))</f>
        <v>Por Vencer</v>
      </c>
      <c r="Z201" s="96"/>
    </row>
    <row r="202" spans="1:61" hidden="1">
      <c r="A202" s="92">
        <v>204</v>
      </c>
      <c r="B202" s="96" t="s">
        <v>18</v>
      </c>
      <c r="C202" s="95" t="s">
        <v>802</v>
      </c>
      <c r="D202" s="95">
        <v>9802709</v>
      </c>
      <c r="E202" s="95">
        <v>2</v>
      </c>
      <c r="F202" s="95">
        <v>60</v>
      </c>
      <c r="G202" s="97" t="s">
        <v>20</v>
      </c>
      <c r="H202" s="96" t="s">
        <v>46</v>
      </c>
      <c r="I202" s="95">
        <v>2020</v>
      </c>
      <c r="J202" s="112">
        <v>44713</v>
      </c>
      <c r="K202" s="96" t="s">
        <v>83</v>
      </c>
      <c r="L202" s="3" t="s">
        <v>23</v>
      </c>
      <c r="M202" s="97" t="s">
        <v>33</v>
      </c>
      <c r="N202" s="97" t="s">
        <v>33</v>
      </c>
      <c r="O202" s="95" t="s">
        <v>25</v>
      </c>
      <c r="P202" s="96" t="s">
        <v>434</v>
      </c>
      <c r="Q202" s="84"/>
      <c r="R202" s="96" t="s">
        <v>545</v>
      </c>
      <c r="S202" s="96" t="s">
        <v>33</v>
      </c>
      <c r="T202" s="108" t="s">
        <v>546</v>
      </c>
      <c r="U202" s="96" t="s">
        <v>524</v>
      </c>
      <c r="V202" s="107">
        <v>45986</v>
      </c>
      <c r="W202" s="108">
        <v>46351</v>
      </c>
      <c r="X202" s="96">
        <f ca="1">W202-TODAY()</f>
        <v>266</v>
      </c>
      <c r="Y202" s="96" t="str">
        <f ca="1">IF(X202&gt;=60,"Vigente",IF(AND(X202&gt;=1,X202&lt;=59),"Por Vencer","Vencido"))</f>
        <v>Vigente</v>
      </c>
      <c r="Z202" s="96"/>
    </row>
    <row r="203" spans="1:61" ht="37.5" hidden="1">
      <c r="A203" s="92">
        <v>205</v>
      </c>
      <c r="B203" s="96" t="s">
        <v>28</v>
      </c>
      <c r="C203" s="3" t="s">
        <v>803</v>
      </c>
      <c r="D203" s="3">
        <v>12426551</v>
      </c>
      <c r="E203" s="3">
        <v>7</v>
      </c>
      <c r="F203" s="3">
        <v>57</v>
      </c>
      <c r="G203" s="97" t="s">
        <v>20</v>
      </c>
      <c r="H203" s="96" t="s">
        <v>431</v>
      </c>
      <c r="I203" s="3" t="s">
        <v>33</v>
      </c>
      <c r="J203" s="3" t="s">
        <v>33</v>
      </c>
      <c r="K203" s="3" t="s">
        <v>33</v>
      </c>
      <c r="L203" s="3" t="s">
        <v>23</v>
      </c>
      <c r="M203" s="3" t="s">
        <v>33</v>
      </c>
      <c r="N203" s="3" t="s">
        <v>33</v>
      </c>
      <c r="O203" s="95" t="s">
        <v>25</v>
      </c>
      <c r="P203" s="96" t="s">
        <v>434</v>
      </c>
      <c r="Q203" s="2"/>
      <c r="R203" s="96" t="s">
        <v>522</v>
      </c>
      <c r="S203" s="96" t="s">
        <v>33</v>
      </c>
      <c r="T203" s="96" t="s">
        <v>523</v>
      </c>
      <c r="U203" s="96" t="s">
        <v>524</v>
      </c>
      <c r="V203" s="109">
        <v>46044</v>
      </c>
      <c r="W203" s="109">
        <v>46103</v>
      </c>
      <c r="X203" s="3">
        <f ca="1">W203-TODAY()</f>
        <v>18</v>
      </c>
      <c r="Y203" s="96" t="str">
        <f ca="1">IF(X203&gt;=60,"Vigente",IF(AND(X203&gt;=1,X203&lt;=59),"Por Vencer","Vencido"))</f>
        <v>Por Vencer</v>
      </c>
      <c r="Z203" s="96"/>
    </row>
    <row r="204" spans="1:61" ht="20.25" hidden="1" customHeight="1">
      <c r="A204" s="92">
        <v>206</v>
      </c>
      <c r="B204" s="96" t="s">
        <v>18</v>
      </c>
      <c r="C204" s="96" t="s">
        <v>804</v>
      </c>
      <c r="D204" s="96">
        <v>7956699</v>
      </c>
      <c r="E204" s="96">
        <v>3</v>
      </c>
      <c r="F204" s="100">
        <v>68</v>
      </c>
      <c r="G204" s="97" t="s">
        <v>20</v>
      </c>
      <c r="H204" s="96" t="s">
        <v>50</v>
      </c>
      <c r="I204" s="95">
        <v>2022</v>
      </c>
      <c r="J204" s="107">
        <v>44711</v>
      </c>
      <c r="K204" s="96" t="s">
        <v>18</v>
      </c>
      <c r="L204" s="3" t="s">
        <v>23</v>
      </c>
      <c r="M204" s="107">
        <v>44980</v>
      </c>
      <c r="N204" s="96" t="s">
        <v>805</v>
      </c>
      <c r="O204" s="95" t="s">
        <v>25</v>
      </c>
      <c r="P204" s="96" t="s">
        <v>526</v>
      </c>
      <c r="Q204" s="82"/>
      <c r="R204" s="96" t="s">
        <v>531</v>
      </c>
      <c r="S204" s="96" t="s">
        <v>33</v>
      </c>
      <c r="T204" s="96" t="s">
        <v>518</v>
      </c>
      <c r="U204" s="95" t="s">
        <v>524</v>
      </c>
      <c r="V204" s="108">
        <v>45793</v>
      </c>
      <c r="W204" s="107">
        <v>45885</v>
      </c>
      <c r="X204" s="96">
        <f ca="1">W204-TODAY()</f>
        <v>-200</v>
      </c>
      <c r="Y204" s="96" t="str">
        <f ca="1">IF(X204&gt;=60,"Vigente",IF(AND(X204&gt;=1,X204&lt;=59),"Por Vencer","Vencido"))</f>
        <v>Vencido</v>
      </c>
      <c r="Z204" s="96"/>
    </row>
    <row r="205" spans="1:61" hidden="1">
      <c r="A205" s="92">
        <v>207</v>
      </c>
      <c r="B205" s="96" t="s">
        <v>18</v>
      </c>
      <c r="C205" s="96" t="s">
        <v>806</v>
      </c>
      <c r="D205" s="96">
        <v>4591530</v>
      </c>
      <c r="E205" s="96">
        <v>1</v>
      </c>
      <c r="F205" s="96">
        <v>82</v>
      </c>
      <c r="G205" s="97" t="s">
        <v>20</v>
      </c>
      <c r="H205" s="96" t="s">
        <v>418</v>
      </c>
      <c r="I205" s="96" t="s">
        <v>33</v>
      </c>
      <c r="J205" s="96" t="s">
        <v>33</v>
      </c>
      <c r="K205" s="96" t="s">
        <v>33</v>
      </c>
      <c r="L205" s="3" t="s">
        <v>23</v>
      </c>
      <c r="M205" s="97" t="s">
        <v>33</v>
      </c>
      <c r="N205" s="97" t="s">
        <v>33</v>
      </c>
      <c r="O205" s="95" t="s">
        <v>25</v>
      </c>
      <c r="P205" s="96" t="s">
        <v>434</v>
      </c>
      <c r="Q205" s="82"/>
      <c r="R205" s="96" t="s">
        <v>531</v>
      </c>
      <c r="S205" s="96" t="s">
        <v>33</v>
      </c>
      <c r="T205" s="96" t="s">
        <v>518</v>
      </c>
      <c r="U205" s="96" t="s">
        <v>524</v>
      </c>
      <c r="V205" s="107">
        <v>46028</v>
      </c>
      <c r="W205" s="107">
        <v>46118</v>
      </c>
      <c r="X205" s="96">
        <f ca="1">W205-TODAY()</f>
        <v>33</v>
      </c>
      <c r="Y205" s="96" t="str">
        <f ca="1">IF(X205&gt;=60,"Vigente",IF(AND(X205&gt;=1,X205&lt;=59),"Por Vencer","Vencido"))</f>
        <v>Por Vencer</v>
      </c>
      <c r="Z205" s="96"/>
    </row>
    <row r="206" spans="1:61" ht="37.5" hidden="1">
      <c r="A206" s="92">
        <v>208</v>
      </c>
      <c r="B206" s="96" t="s">
        <v>28</v>
      </c>
      <c r="C206" s="3" t="s">
        <v>807</v>
      </c>
      <c r="D206" s="3">
        <v>7792885</v>
      </c>
      <c r="E206" s="3">
        <v>5</v>
      </c>
      <c r="F206" s="3">
        <v>68</v>
      </c>
      <c r="G206" s="97" t="s">
        <v>20</v>
      </c>
      <c r="H206" s="95" t="s">
        <v>300</v>
      </c>
      <c r="I206" s="3">
        <v>2025</v>
      </c>
      <c r="J206" s="109">
        <v>45874</v>
      </c>
      <c r="K206" s="3" t="s">
        <v>33</v>
      </c>
      <c r="L206" s="97" t="s">
        <v>23</v>
      </c>
      <c r="M206" s="3" t="s">
        <v>33</v>
      </c>
      <c r="N206" s="97" t="s">
        <v>33</v>
      </c>
      <c r="O206" s="95" t="s">
        <v>25</v>
      </c>
      <c r="P206" s="96" t="s">
        <v>434</v>
      </c>
      <c r="Q206" s="2"/>
      <c r="R206" s="97" t="s">
        <v>550</v>
      </c>
      <c r="S206" s="96" t="s">
        <v>33</v>
      </c>
      <c r="T206" s="3" t="s">
        <v>528</v>
      </c>
      <c r="U206" s="3" t="s">
        <v>524</v>
      </c>
      <c r="V206" s="109">
        <v>46030</v>
      </c>
      <c r="W206" s="109">
        <v>46098</v>
      </c>
      <c r="X206" s="3">
        <f ca="1">W206-TODAY()</f>
        <v>13</v>
      </c>
      <c r="Y206" s="96" t="str">
        <f ca="1">IF(X206&gt;=60,"Vigente",IF(AND(X206&gt;=1,X206&lt;=59),"Por Vencer","Vencido"))</f>
        <v>Por Vencer</v>
      </c>
      <c r="Z206" s="96"/>
    </row>
    <row r="207" spans="1:61" ht="37.5" hidden="1">
      <c r="A207" s="92">
        <v>209</v>
      </c>
      <c r="B207" s="96" t="s">
        <v>18</v>
      </c>
      <c r="C207" s="98" t="s">
        <v>808</v>
      </c>
      <c r="D207" s="98">
        <v>10355462</v>
      </c>
      <c r="E207" s="98">
        <v>4</v>
      </c>
      <c r="F207" s="98">
        <v>60</v>
      </c>
      <c r="G207" s="97" t="s">
        <v>30</v>
      </c>
      <c r="H207" s="97" t="s">
        <v>251</v>
      </c>
      <c r="I207" s="98" t="s">
        <v>33</v>
      </c>
      <c r="J207" s="98" t="s">
        <v>541</v>
      </c>
      <c r="K207" s="98" t="s">
        <v>33</v>
      </c>
      <c r="L207" s="98" t="s">
        <v>51</v>
      </c>
      <c r="M207" s="98" t="s">
        <v>33</v>
      </c>
      <c r="N207" s="98" t="s">
        <v>33</v>
      </c>
      <c r="O207" s="95" t="s">
        <v>25</v>
      </c>
      <c r="P207" s="98" t="s">
        <v>434</v>
      </c>
      <c r="Q207" s="86"/>
      <c r="R207" s="98" t="s">
        <v>527</v>
      </c>
      <c r="S207" s="98" t="s">
        <v>33</v>
      </c>
      <c r="T207" s="98" t="s">
        <v>528</v>
      </c>
      <c r="U207" s="3" t="s">
        <v>536</v>
      </c>
      <c r="V207" s="114">
        <v>46036</v>
      </c>
      <c r="W207" s="114">
        <v>46067</v>
      </c>
      <c r="X207" s="3">
        <f ca="1">W207-TODAY()</f>
        <v>-18</v>
      </c>
      <c r="Y207" s="96" t="str">
        <f ca="1">IF(X207&gt;=60,"Vigente",IF(AND(X207&gt;=1,X207&lt;=59),"Por Vencer","Vencido"))</f>
        <v>Vencido</v>
      </c>
      <c r="Z207" s="96"/>
    </row>
    <row r="208" spans="1:61" ht="37.5" hidden="1">
      <c r="A208" s="92">
        <v>210</v>
      </c>
      <c r="B208" s="96" t="s">
        <v>28</v>
      </c>
      <c r="C208" s="96" t="s">
        <v>809</v>
      </c>
      <c r="D208" s="96">
        <v>12570358</v>
      </c>
      <c r="E208" s="96">
        <v>5</v>
      </c>
      <c r="F208" s="96">
        <v>51</v>
      </c>
      <c r="G208" s="3" t="s">
        <v>63</v>
      </c>
      <c r="H208" s="95" t="s">
        <v>300</v>
      </c>
      <c r="I208" s="96">
        <v>2021</v>
      </c>
      <c r="J208" s="107">
        <v>44363</v>
      </c>
      <c r="K208" s="96" t="s">
        <v>83</v>
      </c>
      <c r="L208" s="97" t="s">
        <v>84</v>
      </c>
      <c r="M208" s="97" t="s">
        <v>33</v>
      </c>
      <c r="N208" s="97" t="s">
        <v>33</v>
      </c>
      <c r="O208" s="95" t="s">
        <v>25</v>
      </c>
      <c r="P208" s="96" t="s">
        <v>434</v>
      </c>
      <c r="Q208" s="82"/>
      <c r="R208" s="96" t="s">
        <v>531</v>
      </c>
      <c r="S208" s="96" t="s">
        <v>535</v>
      </c>
      <c r="T208" s="96" t="s">
        <v>518</v>
      </c>
      <c r="U208" s="95" t="s">
        <v>524</v>
      </c>
      <c r="V208" s="108">
        <v>46007</v>
      </c>
      <c r="W208" s="107">
        <v>46097</v>
      </c>
      <c r="X208" s="96">
        <f ca="1">W208-TODAY()</f>
        <v>12</v>
      </c>
      <c r="Y208" s="96" t="str">
        <f ca="1">IF(X208&gt;=60,"Vigente",IF(AND(X208&gt;=1,X208&lt;=59),"Por Vencer","Vencido"))</f>
        <v>Por Vencer</v>
      </c>
      <c r="Z208" s="107"/>
    </row>
    <row r="209" spans="1:61" ht="37.5" hidden="1">
      <c r="A209" s="92">
        <v>211</v>
      </c>
      <c r="B209" s="96" t="s">
        <v>18</v>
      </c>
      <c r="C209" s="96" t="s">
        <v>810</v>
      </c>
      <c r="D209" s="96">
        <v>6707324</v>
      </c>
      <c r="E209" s="96" t="s">
        <v>45</v>
      </c>
      <c r="F209" s="100">
        <v>74</v>
      </c>
      <c r="G209" s="97" t="s">
        <v>20</v>
      </c>
      <c r="H209" s="96" t="s">
        <v>50</v>
      </c>
      <c r="I209" s="95">
        <v>2023</v>
      </c>
      <c r="J209" s="107">
        <v>45199</v>
      </c>
      <c r="K209" s="96" t="s">
        <v>18</v>
      </c>
      <c r="L209" s="3" t="s">
        <v>23</v>
      </c>
      <c r="M209" s="95" t="s">
        <v>35</v>
      </c>
      <c r="N209" s="96" t="s">
        <v>539</v>
      </c>
      <c r="O209" s="95" t="s">
        <v>25</v>
      </c>
      <c r="P209" s="96" t="s">
        <v>434</v>
      </c>
      <c r="Q209" s="82"/>
      <c r="R209" s="95" t="s">
        <v>570</v>
      </c>
      <c r="S209" s="96" t="s">
        <v>33</v>
      </c>
      <c r="T209" s="96" t="s">
        <v>571</v>
      </c>
      <c r="U209" s="96" t="s">
        <v>524</v>
      </c>
      <c r="V209" s="107">
        <v>45883</v>
      </c>
      <c r="W209" s="107">
        <v>46014</v>
      </c>
      <c r="X209" s="107">
        <v>46135</v>
      </c>
      <c r="Y209" s="96" t="str">
        <f>IF(X209&gt;=60,"Vigente",IF(AND(X209&gt;=1,X209&lt;=59),"Por Vencer","Vencido"))</f>
        <v>Vigente</v>
      </c>
      <c r="Z209" s="96"/>
    </row>
    <row r="210" spans="1:61" hidden="1">
      <c r="A210" s="92">
        <v>212</v>
      </c>
      <c r="B210" s="96" t="s">
        <v>18</v>
      </c>
      <c r="C210" s="96" t="s">
        <v>811</v>
      </c>
      <c r="D210" s="96">
        <v>13745888</v>
      </c>
      <c r="E210" s="96">
        <v>8</v>
      </c>
      <c r="F210" s="96">
        <v>43</v>
      </c>
      <c r="G210" s="97" t="s">
        <v>20</v>
      </c>
      <c r="H210" s="96" t="s">
        <v>418</v>
      </c>
      <c r="I210" s="95">
        <v>2023</v>
      </c>
      <c r="J210" s="107">
        <v>45030</v>
      </c>
      <c r="K210" s="96" t="s">
        <v>83</v>
      </c>
      <c r="L210" s="95" t="s">
        <v>23</v>
      </c>
      <c r="M210" s="107">
        <v>45043</v>
      </c>
      <c r="N210" s="96" t="s">
        <v>33</v>
      </c>
      <c r="O210" s="96" t="s">
        <v>42</v>
      </c>
      <c r="P210" s="96" t="s">
        <v>526</v>
      </c>
      <c r="Q210" s="82"/>
      <c r="R210" s="96" t="s">
        <v>517</v>
      </c>
      <c r="S210" s="96" t="s">
        <v>33</v>
      </c>
      <c r="T210" s="96" t="s">
        <v>518</v>
      </c>
      <c r="U210" s="95" t="s">
        <v>519</v>
      </c>
      <c r="V210" s="108">
        <v>45691</v>
      </c>
      <c r="W210" s="107">
        <v>45780</v>
      </c>
      <c r="X210" s="96">
        <f ca="1">W210-TODAY()</f>
        <v>-305</v>
      </c>
      <c r="Y210" s="96" t="str">
        <f ca="1">IF(X210&gt;=60,"Vigente",IF(AND(X210&gt;=1,X210&lt;=59),"Por Vencer","Vencido"))</f>
        <v>Vencido</v>
      </c>
      <c r="Z210" s="96"/>
    </row>
    <row r="211" spans="1:61" ht="39" hidden="1" customHeight="1">
      <c r="A211" s="92">
        <v>213</v>
      </c>
      <c r="B211" s="96" t="s">
        <v>18</v>
      </c>
      <c r="C211" s="98" t="s">
        <v>812</v>
      </c>
      <c r="D211" s="98">
        <v>4897537</v>
      </c>
      <c r="E211" s="98">
        <v>2</v>
      </c>
      <c r="F211" s="98">
        <v>82</v>
      </c>
      <c r="G211" s="97" t="s">
        <v>20</v>
      </c>
      <c r="H211" s="97" t="s">
        <v>143</v>
      </c>
      <c r="I211" s="98" t="s">
        <v>33</v>
      </c>
      <c r="J211" s="98" t="s">
        <v>541</v>
      </c>
      <c r="K211" s="98" t="s">
        <v>33</v>
      </c>
      <c r="L211" s="98" t="s">
        <v>51</v>
      </c>
      <c r="M211" s="98" t="s">
        <v>33</v>
      </c>
      <c r="N211" s="98" t="s">
        <v>33</v>
      </c>
      <c r="O211" s="95" t="s">
        <v>25</v>
      </c>
      <c r="P211" s="98" t="s">
        <v>434</v>
      </c>
      <c r="Q211" s="86"/>
      <c r="R211" s="98" t="s">
        <v>527</v>
      </c>
      <c r="S211" s="98" t="s">
        <v>33</v>
      </c>
      <c r="T211" s="98" t="s">
        <v>528</v>
      </c>
      <c r="U211" s="3" t="s">
        <v>536</v>
      </c>
      <c r="V211" s="114">
        <v>46035</v>
      </c>
      <c r="W211" s="114">
        <v>46066</v>
      </c>
      <c r="X211" s="3">
        <f ca="1">W211-TODAY()</f>
        <v>-19</v>
      </c>
      <c r="Y211" s="96" t="str">
        <f ca="1">IF(X211&gt;=60,"Vigente",IF(AND(X211&gt;=1,X211&lt;=59),"Por Vencer","Vencido"))</f>
        <v>Vencido</v>
      </c>
      <c r="Z211" s="96"/>
    </row>
    <row r="212" spans="1:61" hidden="1">
      <c r="A212" s="92">
        <v>214</v>
      </c>
      <c r="B212" s="96" t="s">
        <v>18</v>
      </c>
      <c r="C212" s="115" t="s">
        <v>813</v>
      </c>
      <c r="D212" s="95">
        <v>4351750</v>
      </c>
      <c r="E212" s="95">
        <v>3</v>
      </c>
      <c r="F212" s="95">
        <v>83</v>
      </c>
      <c r="G212" s="3" t="s">
        <v>30</v>
      </c>
      <c r="H212" s="96" t="s">
        <v>418</v>
      </c>
      <c r="I212" s="95">
        <v>2022</v>
      </c>
      <c r="J212" s="108">
        <v>44916</v>
      </c>
      <c r="K212" s="96" t="s">
        <v>83</v>
      </c>
      <c r="L212" s="3" t="s">
        <v>23</v>
      </c>
      <c r="M212" s="97" t="s">
        <v>33</v>
      </c>
      <c r="N212" s="97" t="s">
        <v>33</v>
      </c>
      <c r="O212" s="95" t="s">
        <v>25</v>
      </c>
      <c r="P212" s="96" t="s">
        <v>526</v>
      </c>
      <c r="Q212" s="84"/>
      <c r="R212" s="96" t="s">
        <v>531</v>
      </c>
      <c r="S212" s="96" t="s">
        <v>33</v>
      </c>
      <c r="T212" s="96" t="s">
        <v>518</v>
      </c>
      <c r="U212" s="96" t="s">
        <v>524</v>
      </c>
      <c r="V212" s="107">
        <v>45792</v>
      </c>
      <c r="W212" s="108">
        <v>45884</v>
      </c>
      <c r="X212" s="96">
        <f ca="1">W212-TODAY()</f>
        <v>-201</v>
      </c>
      <c r="Y212" s="96" t="str">
        <f ca="1">IF(X212&gt;=60,"Vigente",IF(AND(X212&gt;=1,X212&lt;=59),"Por Vencer","Vencido"))</f>
        <v>Vencido</v>
      </c>
      <c r="Z212" s="97"/>
    </row>
    <row r="213" spans="1:61" ht="37.5" hidden="1">
      <c r="A213" s="92">
        <v>215</v>
      </c>
      <c r="B213" s="96" t="s">
        <v>28</v>
      </c>
      <c r="C213" s="96" t="s">
        <v>814</v>
      </c>
      <c r="D213" s="96">
        <v>4846845</v>
      </c>
      <c r="E213" s="96">
        <v>4</v>
      </c>
      <c r="F213" s="96">
        <v>83</v>
      </c>
      <c r="G213" s="97" t="s">
        <v>20</v>
      </c>
      <c r="H213" s="95" t="s">
        <v>300</v>
      </c>
      <c r="I213" s="96">
        <v>2024</v>
      </c>
      <c r="J213" s="107">
        <v>45307</v>
      </c>
      <c r="K213" s="96" t="s">
        <v>33</v>
      </c>
      <c r="L213" s="97" t="s">
        <v>84</v>
      </c>
      <c r="M213" s="97" t="s">
        <v>33</v>
      </c>
      <c r="N213" s="97" t="s">
        <v>33</v>
      </c>
      <c r="O213" s="95" t="s">
        <v>25</v>
      </c>
      <c r="P213" s="96" t="s">
        <v>434</v>
      </c>
      <c r="Q213" s="82"/>
      <c r="R213" s="95" t="s">
        <v>570</v>
      </c>
      <c r="S213" s="96" t="s">
        <v>535</v>
      </c>
      <c r="T213" s="96" t="s">
        <v>571</v>
      </c>
      <c r="U213" s="96" t="s">
        <v>524</v>
      </c>
      <c r="V213" s="107">
        <v>46044</v>
      </c>
      <c r="W213" s="107">
        <v>46164</v>
      </c>
      <c r="X213" s="96">
        <f ca="1">W213-TODAY()</f>
        <v>79</v>
      </c>
      <c r="Y213" s="96" t="str">
        <f ca="1">IF(X213&gt;=60,"Vigente",IF(AND(X213&gt;=1,X213&lt;=59),"Por Vencer","Vencido"))</f>
        <v>Vigente</v>
      </c>
      <c r="Z213" s="96"/>
    </row>
    <row r="214" spans="1:61" hidden="1">
      <c r="A214" s="92">
        <v>216</v>
      </c>
      <c r="B214" s="96" t="s">
        <v>18</v>
      </c>
      <c r="C214" s="115" t="s">
        <v>815</v>
      </c>
      <c r="D214" s="95">
        <v>20091859</v>
      </c>
      <c r="E214" s="95">
        <v>2</v>
      </c>
      <c r="F214" s="95">
        <v>25</v>
      </c>
      <c r="G214" s="3" t="s">
        <v>30</v>
      </c>
      <c r="H214" s="96" t="s">
        <v>46</v>
      </c>
      <c r="I214" s="95">
        <v>2016</v>
      </c>
      <c r="J214" s="108">
        <v>42605</v>
      </c>
      <c r="K214" s="96" t="s">
        <v>83</v>
      </c>
      <c r="L214" s="3" t="s">
        <v>23</v>
      </c>
      <c r="M214" s="97" t="s">
        <v>33</v>
      </c>
      <c r="N214" s="97" t="s">
        <v>33</v>
      </c>
      <c r="O214" s="95" t="s">
        <v>25</v>
      </c>
      <c r="P214" s="96" t="s">
        <v>526</v>
      </c>
      <c r="Q214" s="84"/>
      <c r="R214" s="96" t="s">
        <v>527</v>
      </c>
      <c r="S214" s="96" t="s">
        <v>33</v>
      </c>
      <c r="T214" s="96" t="s">
        <v>528</v>
      </c>
      <c r="U214" s="108" t="s">
        <v>524</v>
      </c>
      <c r="V214" s="108">
        <v>45895</v>
      </c>
      <c r="W214" s="108">
        <v>45926</v>
      </c>
      <c r="X214" s="96">
        <f ca="1">W214-TODAY()</f>
        <v>-159</v>
      </c>
      <c r="Y214" s="96" t="str">
        <f ca="1">IF(X214&gt;=60,"Vigente",IF(AND(X214&gt;=1,X214&lt;=59),"Por Vencer","Vencido"))</f>
        <v>Vencido</v>
      </c>
      <c r="Z214" s="96" t="s">
        <v>816</v>
      </c>
    </row>
    <row r="215" spans="1:61" s="4" customFormat="1" ht="37.5" hidden="1">
      <c r="A215" s="92">
        <v>217</v>
      </c>
      <c r="B215" s="96" t="s">
        <v>28</v>
      </c>
      <c r="C215" s="168" t="s">
        <v>817</v>
      </c>
      <c r="D215" s="96">
        <v>5041125</v>
      </c>
      <c r="E215" s="96">
        <v>7</v>
      </c>
      <c r="F215" s="96">
        <v>81</v>
      </c>
      <c r="G215" s="3" t="s">
        <v>63</v>
      </c>
      <c r="H215" s="96" t="s">
        <v>431</v>
      </c>
      <c r="I215" s="96" t="s">
        <v>33</v>
      </c>
      <c r="J215" s="96" t="s">
        <v>33</v>
      </c>
      <c r="K215" s="96" t="s">
        <v>33</v>
      </c>
      <c r="L215" s="3" t="s">
        <v>23</v>
      </c>
      <c r="M215" s="96" t="s">
        <v>33</v>
      </c>
      <c r="N215" s="96" t="s">
        <v>33</v>
      </c>
      <c r="O215" s="95" t="s">
        <v>25</v>
      </c>
      <c r="P215" s="96" t="s">
        <v>526</v>
      </c>
      <c r="Q215" s="82"/>
      <c r="R215" s="96" t="s">
        <v>527</v>
      </c>
      <c r="S215" s="96" t="s">
        <v>33</v>
      </c>
      <c r="T215" s="96" t="s">
        <v>528</v>
      </c>
      <c r="U215" s="96" t="s">
        <v>524</v>
      </c>
      <c r="V215" s="107">
        <v>45876</v>
      </c>
      <c r="W215" s="107">
        <v>45907</v>
      </c>
      <c r="X215" s="96">
        <f ca="1">W215-TODAY()</f>
        <v>-178</v>
      </c>
      <c r="Y215" s="96" t="str">
        <f ca="1">IF(X215&gt;=60,"Vigente",IF(AND(X215&gt;=1,X215&lt;=59),"Por Vencer","Vencido"))</f>
        <v>Vencido</v>
      </c>
      <c r="Z215" s="96" t="s">
        <v>818</v>
      </c>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row>
    <row r="216" spans="1:61" s="4" customFormat="1" ht="20.25" hidden="1" customHeight="1">
      <c r="A216" s="92">
        <v>218</v>
      </c>
      <c r="B216" s="96" t="s">
        <v>18</v>
      </c>
      <c r="C216" s="3" t="s">
        <v>819</v>
      </c>
      <c r="D216" s="3">
        <v>7863569</v>
      </c>
      <c r="E216" s="3" t="s">
        <v>45</v>
      </c>
      <c r="F216" s="3">
        <v>66</v>
      </c>
      <c r="G216" s="97" t="s">
        <v>20</v>
      </c>
      <c r="H216" s="96" t="s">
        <v>418</v>
      </c>
      <c r="I216" s="3">
        <v>2006</v>
      </c>
      <c r="J216" s="3">
        <v>2006</v>
      </c>
      <c r="K216" s="3" t="s">
        <v>33</v>
      </c>
      <c r="L216" s="97" t="s">
        <v>84</v>
      </c>
      <c r="M216" s="3" t="s">
        <v>533</v>
      </c>
      <c r="N216" s="3" t="s">
        <v>659</v>
      </c>
      <c r="O216" s="96" t="s">
        <v>42</v>
      </c>
      <c r="P216" s="96" t="s">
        <v>526</v>
      </c>
      <c r="Q216" s="2"/>
      <c r="R216" s="96" t="s">
        <v>517</v>
      </c>
      <c r="S216" s="96" t="s">
        <v>33</v>
      </c>
      <c r="T216" s="96" t="s">
        <v>518</v>
      </c>
      <c r="U216" s="95" t="s">
        <v>519</v>
      </c>
      <c r="V216" s="109">
        <v>45699</v>
      </c>
      <c r="W216" s="109">
        <v>45788</v>
      </c>
      <c r="X216" s="3">
        <f ca="1">W216-TODAY()</f>
        <v>-297</v>
      </c>
      <c r="Y216" s="96" t="str">
        <f ca="1">IF(X216&gt;=60,"Vigente",IF(AND(X216&gt;=1,X216&lt;=59),"Por Vencer","Vencido"))</f>
        <v>Vencido</v>
      </c>
      <c r="Z216" s="96"/>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row>
    <row r="217" spans="1:61" s="4" customFormat="1" hidden="1">
      <c r="A217" s="92">
        <v>219</v>
      </c>
      <c r="B217" s="96" t="s">
        <v>18</v>
      </c>
      <c r="C217" s="3" t="s">
        <v>820</v>
      </c>
      <c r="D217" s="3">
        <v>9459028</v>
      </c>
      <c r="E217" s="3">
        <v>0</v>
      </c>
      <c r="F217" s="3">
        <v>62</v>
      </c>
      <c r="G217" s="97" t="s">
        <v>20</v>
      </c>
      <c r="H217" s="96" t="s">
        <v>59</v>
      </c>
      <c r="I217" s="3">
        <v>2025</v>
      </c>
      <c r="J217" s="109">
        <v>45925</v>
      </c>
      <c r="K217" s="3" t="s">
        <v>83</v>
      </c>
      <c r="L217" s="3" t="s">
        <v>84</v>
      </c>
      <c r="M217" s="3">
        <v>2025</v>
      </c>
      <c r="N217" s="3" t="s">
        <v>33</v>
      </c>
      <c r="O217" s="96" t="s">
        <v>42</v>
      </c>
      <c r="P217" s="96" t="s">
        <v>526</v>
      </c>
      <c r="Q217" s="2"/>
      <c r="R217" s="96" t="s">
        <v>517</v>
      </c>
      <c r="S217" s="3"/>
      <c r="T217" s="96" t="s">
        <v>518</v>
      </c>
      <c r="U217" s="95" t="s">
        <v>519</v>
      </c>
      <c r="V217" s="109">
        <v>45932</v>
      </c>
      <c r="W217" s="109">
        <v>46024</v>
      </c>
      <c r="X217" s="3">
        <f ca="1">W217-TODAY()</f>
        <v>-61</v>
      </c>
      <c r="Y217" s="96" t="str">
        <f ca="1">IF(X217&gt;=60,"Vigente",IF(AND(X217&gt;=1,X217&lt;=59),"Por Vencer","Vencido"))</f>
        <v>Vencido</v>
      </c>
      <c r="Z217" s="96"/>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row>
    <row r="218" spans="1:61" hidden="1">
      <c r="A218" s="92">
        <v>220</v>
      </c>
      <c r="B218" s="96" t="s">
        <v>18</v>
      </c>
      <c r="C218" s="96" t="s">
        <v>821</v>
      </c>
      <c r="D218" s="96">
        <v>6940816</v>
      </c>
      <c r="E218" s="96">
        <v>8</v>
      </c>
      <c r="F218" s="96">
        <v>71</v>
      </c>
      <c r="G218" s="97" t="s">
        <v>20</v>
      </c>
      <c r="H218" s="96" t="s">
        <v>50</v>
      </c>
      <c r="I218" s="96">
        <v>2024</v>
      </c>
      <c r="J218" s="107">
        <v>45407</v>
      </c>
      <c r="K218" s="96" t="s">
        <v>18</v>
      </c>
      <c r="L218" s="95" t="s">
        <v>23</v>
      </c>
      <c r="M218" s="110">
        <v>45407</v>
      </c>
      <c r="N218" s="96" t="s">
        <v>539</v>
      </c>
      <c r="O218" s="96" t="s">
        <v>42</v>
      </c>
      <c r="P218" s="96" t="s">
        <v>526</v>
      </c>
      <c r="Q218" s="82"/>
      <c r="R218" s="96" t="s">
        <v>517</v>
      </c>
      <c r="S218" s="96" t="s">
        <v>33</v>
      </c>
      <c r="T218" s="96" t="s">
        <v>518</v>
      </c>
      <c r="U218" s="95" t="s">
        <v>519</v>
      </c>
      <c r="V218" s="107">
        <v>45656</v>
      </c>
      <c r="W218" s="107">
        <v>45746</v>
      </c>
      <c r="X218" s="96">
        <f ca="1">W218-TODAY()</f>
        <v>-339</v>
      </c>
      <c r="Y218" s="96" t="str">
        <f ca="1">IF(X218&gt;=60,"Vigente",IF(AND(X218&gt;=1,X218&lt;=59),"Por Vencer","Vencido"))</f>
        <v>Vencido</v>
      </c>
      <c r="Z218" s="96"/>
    </row>
    <row r="219" spans="1:61" hidden="1">
      <c r="A219" s="92">
        <v>221</v>
      </c>
      <c r="B219" s="96" t="s">
        <v>18</v>
      </c>
      <c r="C219" s="96" t="s">
        <v>822</v>
      </c>
      <c r="D219" s="96">
        <v>18011481</v>
      </c>
      <c r="E219" s="96">
        <v>5</v>
      </c>
      <c r="F219" s="100">
        <v>31</v>
      </c>
      <c r="G219" s="97" t="s">
        <v>20</v>
      </c>
      <c r="H219" s="96" t="s">
        <v>50</v>
      </c>
      <c r="I219" s="95">
        <v>2020</v>
      </c>
      <c r="J219" s="107">
        <v>44084</v>
      </c>
      <c r="K219" s="96" t="s">
        <v>18</v>
      </c>
      <c r="L219" s="3" t="s">
        <v>23</v>
      </c>
      <c r="M219" s="107">
        <v>44019</v>
      </c>
      <c r="N219" s="96" t="s">
        <v>539</v>
      </c>
      <c r="O219" s="95" t="s">
        <v>25</v>
      </c>
      <c r="P219" s="96" t="s">
        <v>434</v>
      </c>
      <c r="Q219" s="82"/>
      <c r="R219" s="96" t="s">
        <v>550</v>
      </c>
      <c r="S219" s="96" t="s">
        <v>33</v>
      </c>
      <c r="T219" s="95" t="s">
        <v>528</v>
      </c>
      <c r="U219" s="96" t="s">
        <v>524</v>
      </c>
      <c r="V219" s="107">
        <v>46028</v>
      </c>
      <c r="W219" s="110">
        <v>46059</v>
      </c>
      <c r="X219" s="96">
        <f ca="1">W219-TODAY()</f>
        <v>-26</v>
      </c>
      <c r="Y219" s="96" t="str">
        <f ca="1">IF(X219&gt;=60,"Vigente",IF(AND(X219&gt;=1,X219&lt;=59),"Por Vencer","Vencido"))</f>
        <v>Vencido</v>
      </c>
      <c r="Z219" s="96"/>
    </row>
    <row r="220" spans="1:61" ht="37.5" hidden="1">
      <c r="A220" s="92">
        <v>222</v>
      </c>
      <c r="B220" s="96" t="s">
        <v>18</v>
      </c>
      <c r="C220" s="96" t="s">
        <v>823</v>
      </c>
      <c r="D220" s="96">
        <v>7714638</v>
      </c>
      <c r="E220" s="96">
        <v>5</v>
      </c>
      <c r="F220" s="96">
        <v>66</v>
      </c>
      <c r="G220" s="97" t="s">
        <v>20</v>
      </c>
      <c r="H220" s="95" t="s">
        <v>300</v>
      </c>
      <c r="I220" s="96">
        <v>2025</v>
      </c>
      <c r="J220" s="107">
        <v>45768</v>
      </c>
      <c r="K220" s="96" t="s">
        <v>83</v>
      </c>
      <c r="L220" s="97" t="s">
        <v>84</v>
      </c>
      <c r="M220" s="97" t="s">
        <v>33</v>
      </c>
      <c r="N220" s="97" t="s">
        <v>33</v>
      </c>
      <c r="O220" s="95" t="s">
        <v>25</v>
      </c>
      <c r="P220" s="96" t="s">
        <v>434</v>
      </c>
      <c r="Q220" s="82"/>
      <c r="R220" s="96" t="s">
        <v>531</v>
      </c>
      <c r="S220" s="96" t="s">
        <v>535</v>
      </c>
      <c r="T220" s="96" t="s">
        <v>518</v>
      </c>
      <c r="U220" s="96" t="s">
        <v>524</v>
      </c>
      <c r="V220" s="107">
        <v>46042</v>
      </c>
      <c r="W220" s="107">
        <v>46132</v>
      </c>
      <c r="X220" s="96">
        <f ca="1">W220-TODAY()</f>
        <v>47</v>
      </c>
      <c r="Y220" s="96" t="str">
        <f ca="1">IF(X220&gt;=60,"Vigente",IF(AND(X220&gt;=1,X220&lt;=59),"Por Vencer","Vencido"))</f>
        <v>Por Vencer</v>
      </c>
      <c r="Z220" s="96"/>
    </row>
    <row r="221" spans="1:61" hidden="1">
      <c r="A221" s="92">
        <v>223</v>
      </c>
      <c r="B221" s="96" t="s">
        <v>18</v>
      </c>
      <c r="C221" s="98" t="s">
        <v>824</v>
      </c>
      <c r="D221" s="98">
        <v>10389613</v>
      </c>
      <c r="E221" s="98">
        <v>4</v>
      </c>
      <c r="F221" s="98">
        <v>59</v>
      </c>
      <c r="G221" s="97" t="s">
        <v>30</v>
      </c>
      <c r="H221" s="97" t="s">
        <v>113</v>
      </c>
      <c r="I221" s="98" t="s">
        <v>33</v>
      </c>
      <c r="J221" s="98" t="s">
        <v>33</v>
      </c>
      <c r="K221" s="98" t="s">
        <v>33</v>
      </c>
      <c r="L221" s="98" t="s">
        <v>51</v>
      </c>
      <c r="M221" s="98" t="s">
        <v>33</v>
      </c>
      <c r="N221" s="98" t="s">
        <v>33</v>
      </c>
      <c r="O221" s="95" t="s">
        <v>25</v>
      </c>
      <c r="P221" s="96" t="s">
        <v>434</v>
      </c>
      <c r="Q221" s="86"/>
      <c r="R221" s="96" t="s">
        <v>527</v>
      </c>
      <c r="S221" s="98" t="s">
        <v>33</v>
      </c>
      <c r="T221" s="96" t="s">
        <v>528</v>
      </c>
      <c r="U221" s="3" t="s">
        <v>536</v>
      </c>
      <c r="V221" s="114">
        <v>46078</v>
      </c>
      <c r="W221" s="114">
        <v>46106</v>
      </c>
      <c r="X221" s="3">
        <f ca="1">W221-TODAY()</f>
        <v>21</v>
      </c>
      <c r="Y221" s="96" t="str">
        <f ca="1">IF(X221&gt;=60,"Vigente",IF(AND(X221&gt;=1,X221&lt;=59),"Por Vencer","Vencido"))</f>
        <v>Por Vencer</v>
      </c>
      <c r="Z221" s="96"/>
    </row>
    <row r="222" spans="1:61" ht="37.5" hidden="1">
      <c r="A222" s="92">
        <v>224</v>
      </c>
      <c r="B222" s="96" t="s">
        <v>18</v>
      </c>
      <c r="C222" s="3" t="s">
        <v>825</v>
      </c>
      <c r="D222" s="3">
        <v>4190824</v>
      </c>
      <c r="E222" s="3">
        <v>6</v>
      </c>
      <c r="F222" s="3">
        <v>88</v>
      </c>
      <c r="G222" s="97" t="s">
        <v>20</v>
      </c>
      <c r="H222" s="96" t="s">
        <v>431</v>
      </c>
      <c r="I222" s="3" t="s">
        <v>33</v>
      </c>
      <c r="J222" s="3" t="s">
        <v>33</v>
      </c>
      <c r="K222" s="3" t="s">
        <v>33</v>
      </c>
      <c r="L222" s="3" t="s">
        <v>51</v>
      </c>
      <c r="M222" s="3" t="s">
        <v>33</v>
      </c>
      <c r="N222" s="3" t="s">
        <v>33</v>
      </c>
      <c r="O222" s="95" t="s">
        <v>25</v>
      </c>
      <c r="P222" s="96" t="s">
        <v>434</v>
      </c>
      <c r="Q222" s="2"/>
      <c r="R222" s="96" t="s">
        <v>522</v>
      </c>
      <c r="S222" s="96" t="s">
        <v>33</v>
      </c>
      <c r="T222" s="96" t="s">
        <v>523</v>
      </c>
      <c r="U222" s="3" t="s">
        <v>524</v>
      </c>
      <c r="V222" s="109">
        <v>45916</v>
      </c>
      <c r="W222" s="109">
        <v>46097</v>
      </c>
      <c r="X222" s="3">
        <f ca="1">W222-TODAY()</f>
        <v>12</v>
      </c>
      <c r="Y222" s="96" t="str">
        <f ca="1">IF(X222&gt;=60,"Vigente",IF(AND(X222&gt;=1,X222&lt;=59),"Por Vencer","Vencido"))</f>
        <v>Por Vencer</v>
      </c>
      <c r="Z222" s="96"/>
    </row>
    <row r="223" spans="1:61" s="4" customFormat="1" ht="39" hidden="1" customHeight="1">
      <c r="A223" s="92">
        <v>225</v>
      </c>
      <c r="B223" s="96" t="s">
        <v>28</v>
      </c>
      <c r="C223" s="96" t="s">
        <v>826</v>
      </c>
      <c r="D223" s="96">
        <v>9849399</v>
      </c>
      <c r="E223" s="96">
        <v>9</v>
      </c>
      <c r="F223" s="96">
        <v>60</v>
      </c>
      <c r="G223" s="3" t="s">
        <v>30</v>
      </c>
      <c r="H223" s="95" t="s">
        <v>300</v>
      </c>
      <c r="I223" s="96">
        <v>2024</v>
      </c>
      <c r="J223" s="107">
        <v>45467</v>
      </c>
      <c r="K223" s="95" t="s">
        <v>33</v>
      </c>
      <c r="L223" s="3" t="s">
        <v>23</v>
      </c>
      <c r="M223" s="110">
        <v>45806</v>
      </c>
      <c r="N223" s="97" t="s">
        <v>827</v>
      </c>
      <c r="O223" s="95" t="s">
        <v>25</v>
      </c>
      <c r="P223" s="96" t="s">
        <v>526</v>
      </c>
      <c r="Q223" s="82"/>
      <c r="R223" s="97" t="s">
        <v>828</v>
      </c>
      <c r="S223" s="96" t="s">
        <v>33</v>
      </c>
      <c r="T223" s="96" t="s">
        <v>829</v>
      </c>
      <c r="U223" s="96" t="s">
        <v>536</v>
      </c>
      <c r="V223" s="107">
        <v>45846</v>
      </c>
      <c r="W223" s="107">
        <v>45881</v>
      </c>
      <c r="X223" s="96">
        <f ca="1">W223-TODAY()</f>
        <v>-204</v>
      </c>
      <c r="Y223" s="96" t="str">
        <f ca="1">IF(X223&gt;=60,"Vigente",IF(AND(X223&gt;=1,X223&lt;=59),"Por Vencer","Vencido"))</f>
        <v>Vencido</v>
      </c>
      <c r="Z223" s="96"/>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row>
    <row r="224" spans="1:61" s="4" customFormat="1" ht="39" hidden="1" customHeight="1">
      <c r="A224" s="92">
        <v>226</v>
      </c>
      <c r="B224" s="96" t="s">
        <v>18</v>
      </c>
      <c r="C224" s="96" t="s">
        <v>830</v>
      </c>
      <c r="D224" s="96">
        <v>10164932</v>
      </c>
      <c r="E224" s="96">
        <v>6</v>
      </c>
      <c r="F224" s="96">
        <v>59</v>
      </c>
      <c r="G224" s="97" t="s">
        <v>20</v>
      </c>
      <c r="H224" s="96" t="s">
        <v>50</v>
      </c>
      <c r="I224" s="95">
        <v>2020</v>
      </c>
      <c r="J224" s="107">
        <v>44064</v>
      </c>
      <c r="K224" s="96" t="s">
        <v>18</v>
      </c>
      <c r="L224" s="96" t="s">
        <v>23</v>
      </c>
      <c r="M224" s="107">
        <v>44075</v>
      </c>
      <c r="N224" s="96" t="s">
        <v>539</v>
      </c>
      <c r="O224" s="96" t="s">
        <v>42</v>
      </c>
      <c r="P224" s="96" t="s">
        <v>526</v>
      </c>
      <c r="Q224" s="82"/>
      <c r="R224" s="96" t="s">
        <v>517</v>
      </c>
      <c r="S224" s="96" t="s">
        <v>33</v>
      </c>
      <c r="T224" s="96" t="s">
        <v>518</v>
      </c>
      <c r="U224" s="95" t="s">
        <v>519</v>
      </c>
      <c r="V224" s="108">
        <v>45688</v>
      </c>
      <c r="W224" s="107">
        <v>45777</v>
      </c>
      <c r="X224" s="96">
        <f ca="1">W224-TODAY()</f>
        <v>-308</v>
      </c>
      <c r="Y224" s="96" t="str">
        <f ca="1">IF(X224&gt;=60,"Vigente",IF(AND(X224&gt;=1,X224&lt;=59),"Por Vencer","Vencido"))</f>
        <v>Vencido</v>
      </c>
      <c r="Z224" s="96"/>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row>
    <row r="225" spans="1:61" s="4" customFormat="1" ht="37.5" hidden="1">
      <c r="A225" s="92">
        <v>227</v>
      </c>
      <c r="B225" s="96" t="s">
        <v>28</v>
      </c>
      <c r="C225" s="96" t="s">
        <v>831</v>
      </c>
      <c r="D225" s="3">
        <v>4801750</v>
      </c>
      <c r="E225" s="3">
        <v>9</v>
      </c>
      <c r="F225" s="96">
        <v>81</v>
      </c>
      <c r="G225" s="97" t="s">
        <v>20</v>
      </c>
      <c r="H225" s="95" t="s">
        <v>300</v>
      </c>
      <c r="I225" s="96">
        <v>2024</v>
      </c>
      <c r="J225" s="107">
        <v>45447</v>
      </c>
      <c r="K225" s="96" t="s">
        <v>33</v>
      </c>
      <c r="L225" s="97" t="s">
        <v>23</v>
      </c>
      <c r="M225" s="110">
        <v>45498</v>
      </c>
      <c r="N225" s="97" t="s">
        <v>729</v>
      </c>
      <c r="O225" s="95" t="s">
        <v>25</v>
      </c>
      <c r="P225" s="96" t="s">
        <v>434</v>
      </c>
      <c r="Q225" s="82"/>
      <c r="R225" s="96" t="s">
        <v>828</v>
      </c>
      <c r="S225" s="97" t="s">
        <v>33</v>
      </c>
      <c r="T225" s="96" t="s">
        <v>829</v>
      </c>
      <c r="U225" s="96" t="s">
        <v>524</v>
      </c>
      <c r="V225" s="107">
        <v>46027</v>
      </c>
      <c r="W225" s="107">
        <v>46048</v>
      </c>
      <c r="X225" s="96">
        <f ca="1">W225-TODAY()</f>
        <v>-37</v>
      </c>
      <c r="Y225" s="96" t="str">
        <f ca="1">IF(X225&gt;=60,"Vigente",IF(AND(X225&gt;=1,X225&lt;=59),"Por Vencer","Vencido"))</f>
        <v>Vencido</v>
      </c>
      <c r="Z225" s="96"/>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row>
    <row r="226" spans="1:61" s="4" customFormat="1" ht="39" hidden="1" customHeight="1">
      <c r="A226" s="92">
        <v>228</v>
      </c>
      <c r="B226" s="96" t="s">
        <v>18</v>
      </c>
      <c r="C226" s="3" t="s">
        <v>832</v>
      </c>
      <c r="D226" s="3">
        <v>3866184</v>
      </c>
      <c r="E226" s="3">
        <v>1</v>
      </c>
      <c r="F226" s="3">
        <v>89</v>
      </c>
      <c r="G226" s="96" t="s">
        <v>58</v>
      </c>
      <c r="H226" s="96" t="s">
        <v>206</v>
      </c>
      <c r="I226" s="3" t="s">
        <v>33</v>
      </c>
      <c r="J226" s="3" t="s">
        <v>33</v>
      </c>
      <c r="K226" s="3" t="s">
        <v>33</v>
      </c>
      <c r="L226" s="3" t="s">
        <v>51</v>
      </c>
      <c r="M226" s="3" t="s">
        <v>33</v>
      </c>
      <c r="N226" s="3" t="s">
        <v>33</v>
      </c>
      <c r="O226" s="95" t="s">
        <v>25</v>
      </c>
      <c r="P226" s="96" t="s">
        <v>526</v>
      </c>
      <c r="Q226" s="2"/>
      <c r="R226" s="96" t="s">
        <v>527</v>
      </c>
      <c r="S226" s="96" t="s">
        <v>33</v>
      </c>
      <c r="T226" s="96" t="s">
        <v>528</v>
      </c>
      <c r="U226" s="3" t="s">
        <v>524</v>
      </c>
      <c r="V226" s="109">
        <v>45869</v>
      </c>
      <c r="W226" s="109">
        <v>45900</v>
      </c>
      <c r="X226" s="3">
        <f ca="1">W226-TODAY()</f>
        <v>-185</v>
      </c>
      <c r="Y226" s="96" t="str">
        <f ca="1">IF(X226&gt;=60,"Vigente",IF(AND(X226&gt;=1,X226&lt;=59),"Por Vencer","Vencido"))</f>
        <v>Vencido</v>
      </c>
      <c r="Z226" s="96" t="s">
        <v>833</v>
      </c>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row>
    <row r="227" spans="1:61" hidden="1">
      <c r="A227" s="92">
        <v>229</v>
      </c>
      <c r="B227" s="96" t="s">
        <v>18</v>
      </c>
      <c r="C227" s="3" t="s">
        <v>834</v>
      </c>
      <c r="D227" s="3">
        <v>4763212</v>
      </c>
      <c r="E227" s="3">
        <v>9</v>
      </c>
      <c r="F227" s="3">
        <v>80</v>
      </c>
      <c r="G227" s="97" t="s">
        <v>20</v>
      </c>
      <c r="H227" s="95" t="s">
        <v>59</v>
      </c>
      <c r="I227" s="3">
        <v>2025</v>
      </c>
      <c r="J227" s="109">
        <v>45916</v>
      </c>
      <c r="K227" s="3" t="s">
        <v>83</v>
      </c>
      <c r="L227" s="3" t="s">
        <v>23</v>
      </c>
      <c r="M227" s="3" t="s">
        <v>33</v>
      </c>
      <c r="N227" s="3" t="s">
        <v>33</v>
      </c>
      <c r="O227" s="95" t="s">
        <v>25</v>
      </c>
      <c r="P227" s="96" t="s">
        <v>434</v>
      </c>
      <c r="Q227" s="2"/>
      <c r="R227" s="96" t="s">
        <v>522</v>
      </c>
      <c r="S227" s="96" t="s">
        <v>33</v>
      </c>
      <c r="T227" s="3" t="s">
        <v>523</v>
      </c>
      <c r="U227" s="96" t="s">
        <v>524</v>
      </c>
      <c r="V227" s="109">
        <v>45916</v>
      </c>
      <c r="W227" s="109">
        <v>46097</v>
      </c>
      <c r="X227" s="3">
        <f ca="1">W227-TODAY()</f>
        <v>12</v>
      </c>
      <c r="Y227" s="96" t="str">
        <f ca="1">IF(X227&gt;=60,"Vigente",IF(AND(X227&gt;=1,X227&lt;=59),"Por Vencer","Vencido"))</f>
        <v>Por Vencer</v>
      </c>
      <c r="Z227" s="96"/>
    </row>
    <row r="228" spans="1:61" ht="39" hidden="1" customHeight="1">
      <c r="A228" s="92">
        <v>230</v>
      </c>
      <c r="B228" s="96" t="s">
        <v>28</v>
      </c>
      <c r="C228" s="96" t="s">
        <v>835</v>
      </c>
      <c r="D228" s="97">
        <v>4389760</v>
      </c>
      <c r="E228" s="96">
        <v>8</v>
      </c>
      <c r="F228" s="96">
        <v>85</v>
      </c>
      <c r="G228" s="97" t="s">
        <v>20</v>
      </c>
      <c r="H228" s="96" t="s">
        <v>50</v>
      </c>
      <c r="I228" s="95">
        <v>2020</v>
      </c>
      <c r="J228" s="107">
        <v>43878</v>
      </c>
      <c r="K228" s="96" t="s">
        <v>18</v>
      </c>
      <c r="L228" s="95" t="s">
        <v>23</v>
      </c>
      <c r="M228" s="97" t="s">
        <v>33</v>
      </c>
      <c r="N228" s="97" t="s">
        <v>33</v>
      </c>
      <c r="O228" s="96" t="s">
        <v>42</v>
      </c>
      <c r="P228" s="96" t="s">
        <v>434</v>
      </c>
      <c r="Q228" s="82"/>
      <c r="R228" s="96" t="s">
        <v>517</v>
      </c>
      <c r="S228" s="96" t="s">
        <v>33</v>
      </c>
      <c r="T228" s="96" t="s">
        <v>518</v>
      </c>
      <c r="U228" s="95" t="s">
        <v>519</v>
      </c>
      <c r="V228" s="107">
        <v>46080</v>
      </c>
      <c r="W228" s="107">
        <v>46169</v>
      </c>
      <c r="X228" s="96">
        <f ca="1">W228-TODAY()</f>
        <v>84</v>
      </c>
      <c r="Y228" s="96" t="str">
        <f ca="1">IF(X228&gt;=60,"Vigente",IF(AND(X228&gt;=1,X228&lt;=59),"Por Vencer","Vencido"))</f>
        <v>Vigente</v>
      </c>
      <c r="Z228" s="96"/>
    </row>
    <row r="229" spans="1:61" ht="39" hidden="1" customHeight="1">
      <c r="A229" s="92">
        <v>231</v>
      </c>
      <c r="B229" s="96" t="s">
        <v>28</v>
      </c>
      <c r="C229" s="98" t="s">
        <v>836</v>
      </c>
      <c r="D229" s="98">
        <v>4920885</v>
      </c>
      <c r="E229" s="98">
        <v>5</v>
      </c>
      <c r="F229" s="98">
        <v>83</v>
      </c>
      <c r="G229" s="98" t="s">
        <v>20</v>
      </c>
      <c r="H229" s="97" t="s">
        <v>431</v>
      </c>
      <c r="I229" s="96" t="s">
        <v>33</v>
      </c>
      <c r="J229" s="96" t="s">
        <v>33</v>
      </c>
      <c r="K229" s="96" t="s">
        <v>33</v>
      </c>
      <c r="L229" s="98" t="s">
        <v>51</v>
      </c>
      <c r="M229" s="96" t="s">
        <v>33</v>
      </c>
      <c r="N229" s="96" t="s">
        <v>33</v>
      </c>
      <c r="O229" s="95" t="s">
        <v>25</v>
      </c>
      <c r="P229" s="98" t="s">
        <v>434</v>
      </c>
      <c r="Q229" s="86"/>
      <c r="R229" s="98" t="s">
        <v>550</v>
      </c>
      <c r="S229" s="96" t="s">
        <v>33</v>
      </c>
      <c r="T229" s="98" t="s">
        <v>528</v>
      </c>
      <c r="U229" s="98" t="s">
        <v>524</v>
      </c>
      <c r="V229" s="114">
        <v>46078</v>
      </c>
      <c r="W229" s="114">
        <v>46106</v>
      </c>
      <c r="X229" s="3">
        <f ca="1">W229-TODAY()</f>
        <v>21</v>
      </c>
      <c r="Y229" s="96" t="str">
        <f ca="1">IF(X229&gt;=60,"Vigente",IF(AND(X229&gt;=1,X229&lt;=59),"Por Vencer","Vencido"))</f>
        <v>Por Vencer</v>
      </c>
      <c r="Z229" s="96"/>
    </row>
    <row r="230" spans="1:61" hidden="1">
      <c r="A230" s="92">
        <v>232</v>
      </c>
      <c r="B230" s="96" t="s">
        <v>18</v>
      </c>
      <c r="C230" s="96" t="s">
        <v>837</v>
      </c>
      <c r="D230" s="96">
        <v>22022585</v>
      </c>
      <c r="E230" s="96">
        <v>2</v>
      </c>
      <c r="F230" s="100">
        <v>19</v>
      </c>
      <c r="G230" s="97" t="s">
        <v>20</v>
      </c>
      <c r="H230" s="96" t="s">
        <v>50</v>
      </c>
      <c r="I230" s="95">
        <v>2022</v>
      </c>
      <c r="J230" s="107">
        <v>44911</v>
      </c>
      <c r="K230" s="96" t="s">
        <v>18</v>
      </c>
      <c r="L230" s="95" t="s">
        <v>23</v>
      </c>
      <c r="M230" s="107">
        <v>45289</v>
      </c>
      <c r="N230" s="96" t="s">
        <v>483</v>
      </c>
      <c r="O230" s="96" t="s">
        <v>42</v>
      </c>
      <c r="P230" s="96" t="s">
        <v>434</v>
      </c>
      <c r="Q230" s="82"/>
      <c r="R230" s="96" t="s">
        <v>517</v>
      </c>
      <c r="S230" s="96" t="s">
        <v>33</v>
      </c>
      <c r="T230" s="96" t="s">
        <v>518</v>
      </c>
      <c r="U230" s="95" t="s">
        <v>519</v>
      </c>
      <c r="V230" s="108">
        <v>46007</v>
      </c>
      <c r="W230" s="107">
        <v>46038</v>
      </c>
      <c r="X230" s="96">
        <f ca="1">W230-TODAY()</f>
        <v>-47</v>
      </c>
      <c r="Y230" s="96" t="str">
        <f ca="1">IF(X230&gt;=60,"Vigente",IF(AND(X230&gt;=1,X230&lt;=59),"Por Vencer","Vencido"))</f>
        <v>Vencido</v>
      </c>
      <c r="Z230" s="96"/>
    </row>
    <row r="231" spans="1:61" hidden="1">
      <c r="A231" s="92">
        <v>233</v>
      </c>
      <c r="B231" s="96" t="s">
        <v>18</v>
      </c>
      <c r="C231" s="96" t="s">
        <v>838</v>
      </c>
      <c r="D231" s="96">
        <v>18010601</v>
      </c>
      <c r="E231" s="96">
        <v>4</v>
      </c>
      <c r="F231" s="96">
        <v>33</v>
      </c>
      <c r="G231" s="3" t="s">
        <v>30</v>
      </c>
      <c r="H231" s="96" t="s">
        <v>46</v>
      </c>
      <c r="I231" s="96">
        <v>2014</v>
      </c>
      <c r="J231" s="96">
        <v>2014</v>
      </c>
      <c r="K231" s="96" t="s">
        <v>33</v>
      </c>
      <c r="L231" s="3" t="s">
        <v>23</v>
      </c>
      <c r="M231" s="96" t="s">
        <v>33</v>
      </c>
      <c r="N231" s="96" t="s">
        <v>33</v>
      </c>
      <c r="O231" s="95" t="s">
        <v>25</v>
      </c>
      <c r="P231" s="96" t="s">
        <v>434</v>
      </c>
      <c r="Q231" s="82"/>
      <c r="R231" s="96" t="s">
        <v>545</v>
      </c>
      <c r="S231" s="96" t="s">
        <v>33</v>
      </c>
      <c r="T231" s="96" t="s">
        <v>546</v>
      </c>
      <c r="U231" s="96" t="s">
        <v>524</v>
      </c>
      <c r="V231" s="107">
        <v>45860</v>
      </c>
      <c r="W231" s="107">
        <v>46225</v>
      </c>
      <c r="X231" s="96">
        <f ca="1">W231-TODAY()</f>
        <v>140</v>
      </c>
      <c r="Y231" s="96" t="str">
        <f ca="1">IF(X231&gt;=60,"Vigente",IF(AND(X231&gt;=1,X231&lt;=59),"Por Vencer","Vencido"))</f>
        <v>Vigente</v>
      </c>
      <c r="Z231" s="96"/>
    </row>
    <row r="232" spans="1:61" hidden="1">
      <c r="A232" s="92">
        <v>234</v>
      </c>
      <c r="B232" s="96" t="s">
        <v>18</v>
      </c>
      <c r="C232" s="95" t="s">
        <v>839</v>
      </c>
      <c r="D232" s="95">
        <v>5019283</v>
      </c>
      <c r="E232" s="95">
        <v>0</v>
      </c>
      <c r="F232" s="95">
        <v>76</v>
      </c>
      <c r="G232" s="97" t="s">
        <v>20</v>
      </c>
      <c r="H232" s="96" t="s">
        <v>46</v>
      </c>
      <c r="I232" s="95">
        <v>2023</v>
      </c>
      <c r="J232" s="108">
        <v>45092</v>
      </c>
      <c r="K232" s="96" t="s">
        <v>18</v>
      </c>
      <c r="L232" s="3" t="s">
        <v>23</v>
      </c>
      <c r="M232" s="108">
        <v>45209</v>
      </c>
      <c r="N232" s="96" t="s">
        <v>585</v>
      </c>
      <c r="O232" s="95" t="s">
        <v>25</v>
      </c>
      <c r="P232" s="96" t="s">
        <v>434</v>
      </c>
      <c r="Q232" s="84"/>
      <c r="R232" s="96" t="s">
        <v>531</v>
      </c>
      <c r="S232" s="96" t="s">
        <v>33</v>
      </c>
      <c r="T232" s="96" t="s">
        <v>518</v>
      </c>
      <c r="U232" s="95" t="s">
        <v>524</v>
      </c>
      <c r="V232" s="108">
        <v>45965</v>
      </c>
      <c r="W232" s="108">
        <v>46057</v>
      </c>
      <c r="X232" s="96">
        <f ca="1">W232-TODAY()</f>
        <v>-28</v>
      </c>
      <c r="Y232" s="96" t="str">
        <f ca="1">IF(X232&gt;=60,"Vigente",IF(AND(X232&gt;=1,X232&lt;=59),"Por Vencer","Vencido"))</f>
        <v>Vencido</v>
      </c>
      <c r="Z232" s="97"/>
    </row>
    <row r="233" spans="1:61" ht="37.5" hidden="1">
      <c r="A233" s="92">
        <v>235</v>
      </c>
      <c r="B233" s="96" t="s">
        <v>28</v>
      </c>
      <c r="C233" s="96" t="s">
        <v>840</v>
      </c>
      <c r="D233" s="96">
        <v>8143741</v>
      </c>
      <c r="E233" s="96">
        <v>6</v>
      </c>
      <c r="F233" s="96">
        <v>67</v>
      </c>
      <c r="G233" s="97" t="s">
        <v>20</v>
      </c>
      <c r="H233" s="96" t="s">
        <v>378</v>
      </c>
      <c r="I233" s="95">
        <v>2022</v>
      </c>
      <c r="J233" s="96">
        <v>2022</v>
      </c>
      <c r="K233" s="96" t="s">
        <v>83</v>
      </c>
      <c r="L233" s="3" t="s">
        <v>23</v>
      </c>
      <c r="M233" s="97" t="s">
        <v>33</v>
      </c>
      <c r="N233" s="97" t="s">
        <v>33</v>
      </c>
      <c r="O233" s="95" t="s">
        <v>25</v>
      </c>
      <c r="P233" s="96" t="s">
        <v>434</v>
      </c>
      <c r="Q233" s="82"/>
      <c r="R233" s="96" t="s">
        <v>522</v>
      </c>
      <c r="S233" s="96" t="s">
        <v>33</v>
      </c>
      <c r="T233" s="96" t="s">
        <v>523</v>
      </c>
      <c r="U233" s="97" t="s">
        <v>524</v>
      </c>
      <c r="V233" s="110">
        <v>45953</v>
      </c>
      <c r="W233" s="107">
        <v>46135</v>
      </c>
      <c r="X233" s="96">
        <f ca="1">W233-TODAY()</f>
        <v>50</v>
      </c>
      <c r="Y233" s="96" t="str">
        <f ca="1">IF(X233&gt;=60,"Vigente",IF(AND(X233&gt;=1,X233&lt;=59),"Por Vencer","Vencido"))</f>
        <v>Por Vencer</v>
      </c>
      <c r="Z233" s="96"/>
    </row>
    <row r="234" spans="1:61" hidden="1">
      <c r="A234" s="92">
        <v>236</v>
      </c>
      <c r="B234" s="96" t="s">
        <v>18</v>
      </c>
      <c r="C234" s="96" t="s">
        <v>841</v>
      </c>
      <c r="D234" s="96">
        <v>9419861</v>
      </c>
      <c r="E234" s="96">
        <v>5</v>
      </c>
      <c r="F234" s="100">
        <v>59</v>
      </c>
      <c r="G234" s="97" t="s">
        <v>20</v>
      </c>
      <c r="H234" s="96" t="s">
        <v>50</v>
      </c>
      <c r="I234" s="95">
        <v>2023</v>
      </c>
      <c r="J234" s="107">
        <v>45181</v>
      </c>
      <c r="K234" s="96" t="s">
        <v>18</v>
      </c>
      <c r="L234" s="95" t="s">
        <v>23</v>
      </c>
      <c r="M234" s="107">
        <v>45092</v>
      </c>
      <c r="N234" s="96" t="s">
        <v>539</v>
      </c>
      <c r="O234" s="96" t="s">
        <v>42</v>
      </c>
      <c r="P234" s="96" t="s">
        <v>526</v>
      </c>
      <c r="Q234" s="82"/>
      <c r="R234" s="96" t="s">
        <v>517</v>
      </c>
      <c r="S234" s="96" t="s">
        <v>33</v>
      </c>
      <c r="T234" s="96" t="s">
        <v>518</v>
      </c>
      <c r="U234" s="95" t="s">
        <v>519</v>
      </c>
      <c r="V234" s="108">
        <v>45687</v>
      </c>
      <c r="W234" s="107">
        <v>45777</v>
      </c>
      <c r="X234" s="96">
        <f ca="1">W234-TODAY()</f>
        <v>-308</v>
      </c>
      <c r="Y234" s="96" t="str">
        <f ca="1">IF(X234&gt;=60,"Vigente",IF(AND(X234&gt;=1,X234&lt;=59),"Por Vencer","Vencido"))</f>
        <v>Vencido</v>
      </c>
      <c r="Z234" s="96"/>
    </row>
    <row r="235" spans="1:61" ht="37.5" hidden="1">
      <c r="A235" s="92">
        <v>237</v>
      </c>
      <c r="B235" s="96" t="s">
        <v>28</v>
      </c>
      <c r="C235" s="3" t="s">
        <v>842</v>
      </c>
      <c r="D235" s="3">
        <v>5619241</v>
      </c>
      <c r="E235" s="3">
        <v>7</v>
      </c>
      <c r="F235" s="3">
        <v>79</v>
      </c>
      <c r="G235" s="3" t="s">
        <v>30</v>
      </c>
      <c r="H235" s="96" t="s">
        <v>431</v>
      </c>
      <c r="I235" s="3" t="s">
        <v>33</v>
      </c>
      <c r="J235" s="3" t="s">
        <v>33</v>
      </c>
      <c r="K235" s="3" t="s">
        <v>33</v>
      </c>
      <c r="L235" s="3" t="s">
        <v>51</v>
      </c>
      <c r="M235" s="3" t="s">
        <v>33</v>
      </c>
      <c r="N235" s="3" t="s">
        <v>33</v>
      </c>
      <c r="O235" s="95" t="s">
        <v>25</v>
      </c>
      <c r="P235" s="96" t="s">
        <v>526</v>
      </c>
      <c r="Q235" s="2"/>
      <c r="R235" s="96" t="s">
        <v>527</v>
      </c>
      <c r="S235" s="96" t="s">
        <v>33</v>
      </c>
      <c r="T235" s="96" t="s">
        <v>528</v>
      </c>
      <c r="U235" s="3" t="s">
        <v>524</v>
      </c>
      <c r="V235" s="109">
        <v>45988</v>
      </c>
      <c r="W235" s="109">
        <v>46018</v>
      </c>
      <c r="X235" s="3">
        <f ca="1">W235-TODAY()</f>
        <v>-67</v>
      </c>
      <c r="Y235" s="96" t="str">
        <f ca="1">IF(X235&gt;=60,"Vigente",IF(AND(X235&gt;=1,X235&lt;=59),"Por Vencer","Vencido"))</f>
        <v>Vencido</v>
      </c>
      <c r="Z235" s="96"/>
    </row>
    <row r="236" spans="1:61" hidden="1">
      <c r="A236" s="92">
        <v>238</v>
      </c>
      <c r="B236" s="96" t="s">
        <v>18</v>
      </c>
      <c r="C236" s="96" t="s">
        <v>843</v>
      </c>
      <c r="D236" s="96">
        <v>12398997</v>
      </c>
      <c r="E236" s="96" t="s">
        <v>45</v>
      </c>
      <c r="F236" s="100">
        <v>50</v>
      </c>
      <c r="G236" s="96" t="s">
        <v>430</v>
      </c>
      <c r="H236" s="96" t="s">
        <v>50</v>
      </c>
      <c r="I236" s="100">
        <v>2021</v>
      </c>
      <c r="J236" s="107">
        <v>44517</v>
      </c>
      <c r="K236" s="96" t="s">
        <v>18</v>
      </c>
      <c r="L236" s="95" t="s">
        <v>23</v>
      </c>
      <c r="M236" s="107">
        <v>44525</v>
      </c>
      <c r="N236" s="96" t="s">
        <v>539</v>
      </c>
      <c r="O236" s="96" t="s">
        <v>42</v>
      </c>
      <c r="P236" s="96" t="s">
        <v>526</v>
      </c>
      <c r="Q236" s="82"/>
      <c r="R236" s="96" t="s">
        <v>517</v>
      </c>
      <c r="S236" s="96" t="s">
        <v>33</v>
      </c>
      <c r="T236" s="96" t="s">
        <v>518</v>
      </c>
      <c r="U236" s="95" t="s">
        <v>519</v>
      </c>
      <c r="V236" s="107">
        <v>45687</v>
      </c>
      <c r="W236" s="110">
        <v>45777</v>
      </c>
      <c r="X236" s="96">
        <f ca="1">W236-TODAY()</f>
        <v>-308</v>
      </c>
      <c r="Y236" s="96" t="str">
        <f ca="1">IF(X236&gt;=60,"Vigente",IF(AND(X236&gt;=1,X236&lt;=59),"Por Vencer","Vencido"))</f>
        <v>Vencido</v>
      </c>
      <c r="Z236" s="96"/>
    </row>
    <row r="237" spans="1:61" hidden="1">
      <c r="A237" s="92">
        <v>239</v>
      </c>
      <c r="B237" s="96" t="s">
        <v>18</v>
      </c>
      <c r="C237" s="96" t="s">
        <v>844</v>
      </c>
      <c r="D237" s="96">
        <v>5777470</v>
      </c>
      <c r="E237" s="96">
        <v>3</v>
      </c>
      <c r="F237" s="96">
        <v>80</v>
      </c>
      <c r="G237" s="97" t="s">
        <v>20</v>
      </c>
      <c r="H237" s="96" t="s">
        <v>50</v>
      </c>
      <c r="I237" s="96">
        <v>2024</v>
      </c>
      <c r="J237" s="107">
        <v>45364</v>
      </c>
      <c r="K237" s="96" t="s">
        <v>83</v>
      </c>
      <c r="L237" s="3" t="s">
        <v>23</v>
      </c>
      <c r="M237" s="107">
        <v>45393</v>
      </c>
      <c r="N237" s="96" t="s">
        <v>33</v>
      </c>
      <c r="O237" s="95" t="s">
        <v>25</v>
      </c>
      <c r="P237" s="96" t="s">
        <v>434</v>
      </c>
      <c r="Q237" s="82"/>
      <c r="R237" s="96" t="s">
        <v>545</v>
      </c>
      <c r="S237" s="96" t="s">
        <v>33</v>
      </c>
      <c r="T237" s="108" t="s">
        <v>546</v>
      </c>
      <c r="U237" s="96" t="s">
        <v>524</v>
      </c>
      <c r="V237" s="107">
        <v>45968</v>
      </c>
      <c r="W237" s="107">
        <v>46333</v>
      </c>
      <c r="X237" s="96">
        <f ca="1">W237-TODAY()</f>
        <v>248</v>
      </c>
      <c r="Y237" s="96" t="str">
        <f ca="1">IF(X237&gt;=60,"Vigente",IF(AND(X237&gt;=1,X237&lt;=59),"Por Vencer","Vencido"))</f>
        <v>Vigente</v>
      </c>
      <c r="Z237" s="96"/>
    </row>
    <row r="238" spans="1:61" ht="37.5" hidden="1">
      <c r="A238" s="92">
        <v>240</v>
      </c>
      <c r="B238" s="96" t="s">
        <v>18</v>
      </c>
      <c r="C238" s="3" t="s">
        <v>845</v>
      </c>
      <c r="D238" s="3">
        <v>10546271</v>
      </c>
      <c r="E238" s="3">
        <v>9</v>
      </c>
      <c r="F238" s="3">
        <v>61</v>
      </c>
      <c r="G238" s="3" t="s">
        <v>30</v>
      </c>
      <c r="H238" s="96" t="s">
        <v>431</v>
      </c>
      <c r="I238" s="3" t="s">
        <v>33</v>
      </c>
      <c r="J238" s="3" t="s">
        <v>33</v>
      </c>
      <c r="K238" s="3" t="s">
        <v>33</v>
      </c>
      <c r="L238" s="3" t="s">
        <v>51</v>
      </c>
      <c r="M238" s="3" t="s">
        <v>33</v>
      </c>
      <c r="N238" s="3" t="s">
        <v>33</v>
      </c>
      <c r="O238" s="95" t="s">
        <v>25</v>
      </c>
      <c r="P238" s="96" t="s">
        <v>526</v>
      </c>
      <c r="Q238" s="2"/>
      <c r="R238" s="96" t="s">
        <v>527</v>
      </c>
      <c r="S238" s="3" t="s">
        <v>33</v>
      </c>
      <c r="T238" s="96" t="s">
        <v>528</v>
      </c>
      <c r="U238" s="3" t="s">
        <v>524</v>
      </c>
      <c r="V238" s="109">
        <v>45972</v>
      </c>
      <c r="W238" s="109">
        <v>46002</v>
      </c>
      <c r="X238" s="3">
        <f ca="1">W238-TODAY()</f>
        <v>-83</v>
      </c>
      <c r="Y238" s="96" t="str">
        <f ca="1">IF(X238&gt;=60,"Vigente",IF(AND(X238&gt;=1,X238&lt;=59),"Por Vencer","Vencido"))</f>
        <v>Vencido</v>
      </c>
      <c r="Z238" s="96"/>
    </row>
    <row r="239" spans="1:61" ht="37.5" hidden="1">
      <c r="A239" s="92">
        <v>241</v>
      </c>
      <c r="B239" s="96" t="s">
        <v>18</v>
      </c>
      <c r="C239" s="96" t="s">
        <v>846</v>
      </c>
      <c r="D239" s="96">
        <v>10729645</v>
      </c>
      <c r="E239" s="96" t="s">
        <v>45</v>
      </c>
      <c r="F239" s="96">
        <v>57</v>
      </c>
      <c r="G239" s="97" t="s">
        <v>20</v>
      </c>
      <c r="H239" s="96" t="s">
        <v>418</v>
      </c>
      <c r="I239" s="95">
        <v>2023</v>
      </c>
      <c r="J239" s="96">
        <v>2023</v>
      </c>
      <c r="K239" s="96" t="s">
        <v>18</v>
      </c>
      <c r="L239" s="3" t="s">
        <v>84</v>
      </c>
      <c r="M239" s="96" t="s">
        <v>85</v>
      </c>
      <c r="N239" s="96" t="s">
        <v>847</v>
      </c>
      <c r="O239" s="96" t="s">
        <v>42</v>
      </c>
      <c r="P239" s="96" t="s">
        <v>526</v>
      </c>
      <c r="Q239" s="82"/>
      <c r="R239" s="96" t="s">
        <v>517</v>
      </c>
      <c r="S239" s="96" t="s">
        <v>33</v>
      </c>
      <c r="T239" s="96" t="s">
        <v>518</v>
      </c>
      <c r="U239" s="95" t="s">
        <v>519</v>
      </c>
      <c r="V239" s="107">
        <v>45687</v>
      </c>
      <c r="W239" s="107">
        <v>45777</v>
      </c>
      <c r="X239" s="96">
        <f ca="1">W239-TODAY()</f>
        <v>-308</v>
      </c>
      <c r="Y239" s="96" t="str">
        <f ca="1">IF(X239&gt;=60,"Vigente",IF(AND(X239&gt;=1,X239&lt;=59),"Por Vencer","Vencido"))</f>
        <v>Vencido</v>
      </c>
      <c r="Z239" s="96"/>
    </row>
    <row r="240" spans="1:61" s="3" customFormat="1" hidden="1">
      <c r="A240" s="92">
        <v>242</v>
      </c>
      <c r="B240" s="96" t="s">
        <v>18</v>
      </c>
      <c r="C240" s="96" t="s">
        <v>848</v>
      </c>
      <c r="D240" s="96">
        <v>14109131</v>
      </c>
      <c r="E240" s="96" t="s">
        <v>45</v>
      </c>
      <c r="F240" s="96">
        <v>43</v>
      </c>
      <c r="G240" s="97" t="s">
        <v>20</v>
      </c>
      <c r="H240" s="95" t="s">
        <v>59</v>
      </c>
      <c r="I240" s="96" t="s">
        <v>33</v>
      </c>
      <c r="J240" s="96" t="s">
        <v>33</v>
      </c>
      <c r="K240" s="96" t="s">
        <v>33</v>
      </c>
      <c r="L240" s="3" t="s">
        <v>23</v>
      </c>
      <c r="M240" s="96" t="s">
        <v>33</v>
      </c>
      <c r="N240" s="96" t="s">
        <v>33</v>
      </c>
      <c r="O240" s="95" t="s">
        <v>25</v>
      </c>
      <c r="P240" s="96" t="s">
        <v>434</v>
      </c>
      <c r="Q240" s="82"/>
      <c r="R240" s="96" t="s">
        <v>570</v>
      </c>
      <c r="S240" s="96" t="s">
        <v>33</v>
      </c>
      <c r="T240" s="96" t="s">
        <v>571</v>
      </c>
      <c r="U240" s="96" t="s">
        <v>524</v>
      </c>
      <c r="V240" s="107">
        <v>46014</v>
      </c>
      <c r="W240" s="107">
        <v>46135</v>
      </c>
      <c r="X240" s="96">
        <f ca="1">W240-TODAY()</f>
        <v>50</v>
      </c>
      <c r="Y240" s="96" t="str">
        <f ca="1">IF(X240&gt;=60,"Vigente",IF(AND(X240&gt;=1,X240&lt;=59),"Por Vencer","Vencido"))</f>
        <v>Por Vencer</v>
      </c>
      <c r="Z240" s="96"/>
    </row>
    <row r="241" spans="1:26" s="3" customFormat="1" ht="37.5" hidden="1">
      <c r="A241" s="92">
        <v>243</v>
      </c>
      <c r="B241" s="96" t="s">
        <v>18</v>
      </c>
      <c r="C241" s="98" t="s">
        <v>849</v>
      </c>
      <c r="D241" s="98">
        <v>6846985</v>
      </c>
      <c r="E241" s="98">
        <v>6</v>
      </c>
      <c r="F241" s="98">
        <v>73</v>
      </c>
      <c r="G241" s="97" t="s">
        <v>20</v>
      </c>
      <c r="H241" s="97" t="s">
        <v>251</v>
      </c>
      <c r="I241" s="98" t="s">
        <v>33</v>
      </c>
      <c r="J241" s="98" t="s">
        <v>541</v>
      </c>
      <c r="K241" s="98" t="s">
        <v>33</v>
      </c>
      <c r="L241" s="98" t="s">
        <v>51</v>
      </c>
      <c r="M241" s="98" t="s">
        <v>33</v>
      </c>
      <c r="N241" s="98" t="s">
        <v>33</v>
      </c>
      <c r="O241" s="95" t="s">
        <v>25</v>
      </c>
      <c r="P241" s="98" t="s">
        <v>434</v>
      </c>
      <c r="Q241" s="86"/>
      <c r="R241" s="98" t="s">
        <v>527</v>
      </c>
      <c r="S241" s="98" t="s">
        <v>33</v>
      </c>
      <c r="T241" s="98" t="s">
        <v>528</v>
      </c>
      <c r="U241" s="3" t="s">
        <v>536</v>
      </c>
      <c r="V241" s="114"/>
      <c r="W241" s="114"/>
      <c r="X241" s="109">
        <f ca="1">W241-TODAY()</f>
        <v>-46085</v>
      </c>
      <c r="Y241" s="96" t="str">
        <f ca="1">IF(X241&gt;=60,"Vigente",IF(AND(X241&gt;=1,X241&lt;=59),"Por Vencer","Vencido"))</f>
        <v>Vencido</v>
      </c>
      <c r="Z241" s="96"/>
    </row>
    <row r="242" spans="1:26" s="3" customFormat="1" ht="39" hidden="1" customHeight="1">
      <c r="A242" s="92">
        <v>244</v>
      </c>
      <c r="B242" s="96" t="s">
        <v>28</v>
      </c>
      <c r="C242" s="96" t="s">
        <v>850</v>
      </c>
      <c r="D242" s="96">
        <v>10288040</v>
      </c>
      <c r="E242" s="96">
        <v>4</v>
      </c>
      <c r="F242" s="96">
        <v>59</v>
      </c>
      <c r="G242" s="97" t="s">
        <v>20</v>
      </c>
      <c r="H242" s="95" t="s">
        <v>300</v>
      </c>
      <c r="I242" s="96">
        <v>2021</v>
      </c>
      <c r="J242" s="107">
        <v>44245</v>
      </c>
      <c r="K242" s="96" t="s">
        <v>83</v>
      </c>
      <c r="L242" s="97" t="s">
        <v>23</v>
      </c>
      <c r="M242" s="97" t="s">
        <v>33</v>
      </c>
      <c r="N242" s="97" t="s">
        <v>33</v>
      </c>
      <c r="O242" s="95" t="s">
        <v>25</v>
      </c>
      <c r="P242" s="96" t="s">
        <v>526</v>
      </c>
      <c r="Q242" s="82"/>
      <c r="R242" s="96" t="s">
        <v>527</v>
      </c>
      <c r="S242" s="96" t="s">
        <v>33</v>
      </c>
      <c r="T242" s="96" t="s">
        <v>528</v>
      </c>
      <c r="U242" s="95" t="s">
        <v>524</v>
      </c>
      <c r="V242" s="108">
        <v>45965</v>
      </c>
      <c r="W242" s="107">
        <v>46000</v>
      </c>
      <c r="X242" s="96">
        <f ca="1">W242-TODAY()</f>
        <v>-85</v>
      </c>
      <c r="Y242" s="96" t="str">
        <f ca="1">IF(X242&gt;=60,"Vigente",IF(AND(X242&gt;=1,X242&lt;=59),"Por Vencer","Vencido"))</f>
        <v>Vencido</v>
      </c>
      <c r="Z242" s="96"/>
    </row>
    <row r="243" spans="1:26" hidden="1">
      <c r="A243" s="92">
        <v>245</v>
      </c>
      <c r="B243" s="96" t="s">
        <v>28</v>
      </c>
      <c r="C243" s="3" t="s">
        <v>851</v>
      </c>
      <c r="D243" s="3">
        <v>8728241</v>
      </c>
      <c r="E243" s="3">
        <v>4</v>
      </c>
      <c r="F243" s="3">
        <v>67</v>
      </c>
      <c r="G243" s="97" t="s">
        <v>20</v>
      </c>
      <c r="H243" s="96" t="s">
        <v>46</v>
      </c>
      <c r="I243" s="3">
        <v>2025</v>
      </c>
      <c r="J243" s="109">
        <v>45966</v>
      </c>
      <c r="K243" s="3" t="s">
        <v>28</v>
      </c>
      <c r="L243" s="97" t="s">
        <v>84</v>
      </c>
      <c r="M243" s="109">
        <v>46009</v>
      </c>
      <c r="N243" s="3" t="s">
        <v>852</v>
      </c>
      <c r="O243" s="95" t="s">
        <v>553</v>
      </c>
      <c r="P243" s="96" t="s">
        <v>434</v>
      </c>
      <c r="Q243" s="2"/>
      <c r="R243" s="96" t="s">
        <v>517</v>
      </c>
      <c r="S243" s="3" t="s">
        <v>33</v>
      </c>
      <c r="T243" s="96" t="s">
        <v>518</v>
      </c>
      <c r="U243" s="95" t="s">
        <v>519</v>
      </c>
      <c r="V243" s="109">
        <v>46013</v>
      </c>
      <c r="W243" s="109">
        <v>46103</v>
      </c>
      <c r="X243" s="3">
        <f ca="1">W243-TODAY()</f>
        <v>18</v>
      </c>
      <c r="Y243" s="96" t="str">
        <f ca="1">IF(X243&gt;=60,"Vigente",IF(AND(X243&gt;=1,X243&lt;=59),"Por Vencer","Vencido"))</f>
        <v>Por Vencer</v>
      </c>
      <c r="Z243" s="96"/>
    </row>
    <row r="244" spans="1:26" ht="45.75" hidden="1" customHeight="1">
      <c r="A244" s="92">
        <v>246</v>
      </c>
      <c r="B244" s="96" t="s">
        <v>28</v>
      </c>
      <c r="C244" s="95" t="s">
        <v>853</v>
      </c>
      <c r="D244" s="95">
        <v>12326663</v>
      </c>
      <c r="E244" s="95">
        <v>3</v>
      </c>
      <c r="F244" s="95">
        <v>50</v>
      </c>
      <c r="G244" s="97" t="s">
        <v>20</v>
      </c>
      <c r="H244" s="96" t="s">
        <v>378</v>
      </c>
      <c r="I244" s="95">
        <v>2021</v>
      </c>
      <c r="J244" s="108">
        <v>44482</v>
      </c>
      <c r="K244" s="96" t="s">
        <v>83</v>
      </c>
      <c r="L244" s="3" t="s">
        <v>23</v>
      </c>
      <c r="M244" s="97" t="s">
        <v>33</v>
      </c>
      <c r="N244" s="97" t="s">
        <v>33</v>
      </c>
      <c r="O244" s="95" t="s">
        <v>25</v>
      </c>
      <c r="P244" s="96" t="s">
        <v>434</v>
      </c>
      <c r="Q244" s="84"/>
      <c r="R244" s="95" t="s">
        <v>570</v>
      </c>
      <c r="S244" s="96" t="s">
        <v>33</v>
      </c>
      <c r="T244" s="96" t="s">
        <v>571</v>
      </c>
      <c r="U244" s="95" t="s">
        <v>524</v>
      </c>
      <c r="V244" s="108">
        <v>45944</v>
      </c>
      <c r="W244" s="108">
        <v>46067</v>
      </c>
      <c r="X244" s="96">
        <f ca="1">W244-TODAY()</f>
        <v>-18</v>
      </c>
      <c r="Y244" s="96" t="str">
        <f ca="1">IF(X244&gt;=60,"Vigente",IF(AND(X244&gt;=1,X244&lt;=59),"Por Vencer","Vencido"))</f>
        <v>Vencido</v>
      </c>
      <c r="Z244" s="96"/>
    </row>
    <row r="245" spans="1:26" hidden="1">
      <c r="A245" s="92">
        <v>247</v>
      </c>
      <c r="B245" s="96" t="s">
        <v>18</v>
      </c>
      <c r="C245" s="96" t="s">
        <v>854</v>
      </c>
      <c r="D245" s="96">
        <v>15028885</v>
      </c>
      <c r="E245" s="96">
        <v>1</v>
      </c>
      <c r="F245" s="100">
        <v>50</v>
      </c>
      <c r="G245" s="3" t="s">
        <v>30</v>
      </c>
      <c r="H245" s="96" t="s">
        <v>50</v>
      </c>
      <c r="I245" s="95">
        <v>2020</v>
      </c>
      <c r="J245" s="107">
        <v>44134</v>
      </c>
      <c r="K245" s="96" t="s">
        <v>18</v>
      </c>
      <c r="L245" s="3" t="s">
        <v>23</v>
      </c>
      <c r="M245" s="107">
        <v>45229</v>
      </c>
      <c r="N245" s="96" t="s">
        <v>33</v>
      </c>
      <c r="O245" s="95" t="s">
        <v>25</v>
      </c>
      <c r="P245" s="96" t="s">
        <v>434</v>
      </c>
      <c r="Q245" s="82"/>
      <c r="R245" s="96" t="s">
        <v>570</v>
      </c>
      <c r="S245" s="96" t="s">
        <v>33</v>
      </c>
      <c r="T245" s="96" t="s">
        <v>571</v>
      </c>
      <c r="U245" s="95" t="s">
        <v>524</v>
      </c>
      <c r="V245" s="107">
        <v>46037</v>
      </c>
      <c r="W245" s="107">
        <v>46157</v>
      </c>
      <c r="X245" s="96">
        <f ca="1">W245-TODAY()</f>
        <v>72</v>
      </c>
      <c r="Y245" s="96" t="str">
        <f ca="1">IF(X245&gt;=60,"Vigente",IF(AND(X245&gt;=1,X245&lt;=59),"Por Vencer","Vencido"))</f>
        <v>Vigente</v>
      </c>
      <c r="Z245" s="96"/>
    </row>
    <row r="246" spans="1:26" ht="37.5" hidden="1">
      <c r="A246" s="92">
        <v>248</v>
      </c>
      <c r="B246" s="96" t="s">
        <v>28</v>
      </c>
      <c r="C246" s="96" t="s">
        <v>855</v>
      </c>
      <c r="D246" s="96">
        <v>11422758</v>
      </c>
      <c r="E246" s="96">
        <v>7</v>
      </c>
      <c r="F246" s="96">
        <v>54</v>
      </c>
      <c r="G246" s="3" t="s">
        <v>30</v>
      </c>
      <c r="H246" s="96" t="s">
        <v>431</v>
      </c>
      <c r="I246" s="96" t="s">
        <v>33</v>
      </c>
      <c r="J246" s="96" t="s">
        <v>33</v>
      </c>
      <c r="K246" s="96" t="s">
        <v>33</v>
      </c>
      <c r="L246" s="3" t="s">
        <v>23</v>
      </c>
      <c r="M246" s="97" t="s">
        <v>33</v>
      </c>
      <c r="N246" s="97" t="s">
        <v>33</v>
      </c>
      <c r="O246" s="95" t="s">
        <v>25</v>
      </c>
      <c r="P246" s="96" t="s">
        <v>434</v>
      </c>
      <c r="Q246" s="82"/>
      <c r="R246" s="96" t="s">
        <v>522</v>
      </c>
      <c r="S246" s="96" t="s">
        <v>33</v>
      </c>
      <c r="T246" s="96" t="s">
        <v>523</v>
      </c>
      <c r="U246" s="96" t="s">
        <v>524</v>
      </c>
      <c r="V246" s="107">
        <v>45904</v>
      </c>
      <c r="W246" s="107">
        <v>46085</v>
      </c>
      <c r="X246" s="96">
        <f ca="1">W246-TODAY()</f>
        <v>0</v>
      </c>
      <c r="Y246" s="96" t="str">
        <f ca="1">IF(X246&gt;=60,"Vigente",IF(AND(X246&gt;=1,X246&lt;=59),"Por Vencer","Vencido"))</f>
        <v>Vencido</v>
      </c>
      <c r="Z246" s="96"/>
    </row>
    <row r="247" spans="1:26" hidden="1">
      <c r="A247" s="92">
        <v>249</v>
      </c>
      <c r="B247" s="96" t="s">
        <v>18</v>
      </c>
      <c r="C247" s="95" t="s">
        <v>856</v>
      </c>
      <c r="D247" s="95" t="s">
        <v>857</v>
      </c>
      <c r="E247" s="95">
        <v>8</v>
      </c>
      <c r="F247" s="95">
        <v>62</v>
      </c>
      <c r="G247" s="97" t="s">
        <v>20</v>
      </c>
      <c r="H247" s="96" t="s">
        <v>418</v>
      </c>
      <c r="I247" s="95">
        <v>2023</v>
      </c>
      <c r="J247" s="108">
        <v>45230</v>
      </c>
      <c r="K247" s="96" t="s">
        <v>83</v>
      </c>
      <c r="L247" s="3" t="s">
        <v>23</v>
      </c>
      <c r="M247" s="97" t="s">
        <v>33</v>
      </c>
      <c r="N247" s="97" t="s">
        <v>33</v>
      </c>
      <c r="O247" s="95" t="s">
        <v>25</v>
      </c>
      <c r="P247" s="96" t="s">
        <v>434</v>
      </c>
      <c r="Q247" s="84"/>
      <c r="R247" s="95" t="s">
        <v>570</v>
      </c>
      <c r="S247" s="96" t="s">
        <v>33</v>
      </c>
      <c r="T247" s="96" t="s">
        <v>571</v>
      </c>
      <c r="U247" s="95" t="s">
        <v>524</v>
      </c>
      <c r="V247" s="108">
        <v>46030</v>
      </c>
      <c r="W247" s="108">
        <v>46150</v>
      </c>
      <c r="X247" s="96">
        <f ca="1">W247-TODAY()</f>
        <v>65</v>
      </c>
      <c r="Y247" s="96" t="str">
        <f ca="1">IF(X247&gt;=60,"Vigente",IF(AND(X247&gt;=1,X247&lt;=59),"Por Vencer","Vencido"))</f>
        <v>Vigente</v>
      </c>
      <c r="Z247" s="96"/>
    </row>
    <row r="248" spans="1:26" ht="37.5" hidden="1">
      <c r="A248" s="92">
        <v>250</v>
      </c>
      <c r="B248" s="96" t="s">
        <v>28</v>
      </c>
      <c r="C248" s="3" t="s">
        <v>858</v>
      </c>
      <c r="D248" s="3">
        <v>7008757</v>
      </c>
      <c r="E248" s="3" t="s">
        <v>45</v>
      </c>
      <c r="F248" s="3">
        <v>81</v>
      </c>
      <c r="G248" s="3" t="s">
        <v>30</v>
      </c>
      <c r="H248" s="96" t="s">
        <v>431</v>
      </c>
      <c r="I248" s="3" t="s">
        <v>33</v>
      </c>
      <c r="J248" s="3" t="s">
        <v>33</v>
      </c>
      <c r="K248" s="3" t="s">
        <v>83</v>
      </c>
      <c r="L248" s="3" t="s">
        <v>51</v>
      </c>
      <c r="M248" s="3" t="s">
        <v>33</v>
      </c>
      <c r="N248" s="3" t="s">
        <v>33</v>
      </c>
      <c r="O248" s="95" t="s">
        <v>25</v>
      </c>
      <c r="P248" s="96" t="s">
        <v>434</v>
      </c>
      <c r="Q248" s="2"/>
      <c r="R248" s="96" t="s">
        <v>527</v>
      </c>
      <c r="S248" s="3" t="s">
        <v>33</v>
      </c>
      <c r="T248" s="96" t="s">
        <v>528</v>
      </c>
      <c r="U248" s="3" t="s">
        <v>524</v>
      </c>
      <c r="V248" s="109">
        <v>45979</v>
      </c>
      <c r="W248" s="109">
        <v>46071</v>
      </c>
      <c r="X248" s="3">
        <f ca="1">W248-TODAY()</f>
        <v>-14</v>
      </c>
      <c r="Y248" s="96" t="str">
        <f ca="1">IF(X248&gt;=60,"Vigente",IF(AND(X248&gt;=1,X248&lt;=59),"Por Vencer","Vencido"))</f>
        <v>Vencido</v>
      </c>
      <c r="Z248" s="96"/>
    </row>
    <row r="249" spans="1:26" ht="37.5" hidden="1">
      <c r="A249" s="92">
        <v>251</v>
      </c>
      <c r="B249" s="96" t="s">
        <v>28</v>
      </c>
      <c r="C249" s="3" t="s">
        <v>859</v>
      </c>
      <c r="D249" s="3">
        <v>6030210</v>
      </c>
      <c r="E249" s="3">
        <v>3</v>
      </c>
      <c r="F249" s="3">
        <v>76</v>
      </c>
      <c r="G249" s="97" t="s">
        <v>20</v>
      </c>
      <c r="H249" s="96" t="s">
        <v>431</v>
      </c>
      <c r="I249" s="3" t="s">
        <v>33</v>
      </c>
      <c r="J249" s="3" t="s">
        <v>33</v>
      </c>
      <c r="K249" s="3" t="s">
        <v>33</v>
      </c>
      <c r="L249" s="3" t="s">
        <v>51</v>
      </c>
      <c r="M249" s="3" t="s">
        <v>33</v>
      </c>
      <c r="N249" s="3" t="s">
        <v>33</v>
      </c>
      <c r="O249" s="95" t="s">
        <v>25</v>
      </c>
      <c r="P249" s="3" t="s">
        <v>526</v>
      </c>
      <c r="Q249" s="2"/>
      <c r="R249" s="96" t="s">
        <v>527</v>
      </c>
      <c r="S249" s="3" t="s">
        <v>33</v>
      </c>
      <c r="T249" s="96" t="s">
        <v>528</v>
      </c>
      <c r="U249" s="3" t="s">
        <v>524</v>
      </c>
      <c r="V249" s="109">
        <v>45926</v>
      </c>
      <c r="W249" s="109">
        <v>45987</v>
      </c>
      <c r="X249" s="3">
        <f ca="1">W249-TODAY()</f>
        <v>-98</v>
      </c>
      <c r="Y249" s="96" t="str">
        <f ca="1">IF(X249&gt;=60,"Vigente",IF(AND(X249&gt;=1,X249&lt;=59),"Por Vencer","Vencido"))</f>
        <v>Vencido</v>
      </c>
      <c r="Z249" s="96"/>
    </row>
    <row r="250" spans="1:26" ht="53.25" hidden="1" customHeight="1">
      <c r="A250" s="92">
        <v>252</v>
      </c>
      <c r="B250" s="96" t="s">
        <v>18</v>
      </c>
      <c r="C250" s="3" t="s">
        <v>860</v>
      </c>
      <c r="D250" s="3">
        <v>4318649</v>
      </c>
      <c r="E250" s="3">
        <v>3</v>
      </c>
      <c r="F250" s="3">
        <v>87</v>
      </c>
      <c r="G250" s="97" t="s">
        <v>20</v>
      </c>
      <c r="H250" s="96" t="s">
        <v>431</v>
      </c>
      <c r="I250" s="3" t="s">
        <v>33</v>
      </c>
      <c r="J250" s="3" t="s">
        <v>33</v>
      </c>
      <c r="K250" s="3" t="s">
        <v>33</v>
      </c>
      <c r="L250" s="3" t="s">
        <v>51</v>
      </c>
      <c r="M250" s="3" t="s">
        <v>33</v>
      </c>
      <c r="N250" s="3" t="s">
        <v>33</v>
      </c>
      <c r="O250" s="95" t="s">
        <v>25</v>
      </c>
      <c r="P250" s="3" t="s">
        <v>434</v>
      </c>
      <c r="Q250" s="2"/>
      <c r="R250" s="96" t="s">
        <v>531</v>
      </c>
      <c r="S250" s="3" t="s">
        <v>33</v>
      </c>
      <c r="T250" s="96" t="s">
        <v>518</v>
      </c>
      <c r="U250" s="3" t="s">
        <v>524</v>
      </c>
      <c r="V250" s="109">
        <v>45995</v>
      </c>
      <c r="W250" s="109">
        <v>46085</v>
      </c>
      <c r="X250" s="3">
        <f ca="1">W250-TODAY()</f>
        <v>0</v>
      </c>
      <c r="Y250" s="96" t="str">
        <f ca="1">IF(X250&gt;=60,"Vigente",IF(AND(X250&gt;=1,X250&lt;=59),"Por Vencer","Vencido"))</f>
        <v>Vencido</v>
      </c>
      <c r="Z250" s="96"/>
    </row>
    <row r="251" spans="1:26" hidden="1">
      <c r="A251" s="92">
        <v>253</v>
      </c>
      <c r="B251" s="96" t="s">
        <v>18</v>
      </c>
      <c r="C251" s="96" t="s">
        <v>861</v>
      </c>
      <c r="D251" s="97">
        <v>7219642</v>
      </c>
      <c r="E251" s="97">
        <v>2</v>
      </c>
      <c r="F251" s="102">
        <v>69</v>
      </c>
      <c r="G251" s="97" t="s">
        <v>20</v>
      </c>
      <c r="H251" s="96" t="s">
        <v>418</v>
      </c>
      <c r="I251" s="95">
        <v>2022</v>
      </c>
      <c r="J251" s="110">
        <v>44795</v>
      </c>
      <c r="K251" s="96" t="s">
        <v>18</v>
      </c>
      <c r="L251" s="97" t="s">
        <v>84</v>
      </c>
      <c r="M251" s="107">
        <v>44832</v>
      </c>
      <c r="N251" s="96" t="s">
        <v>862</v>
      </c>
      <c r="O251" s="95" t="s">
        <v>25</v>
      </c>
      <c r="P251" s="96" t="s">
        <v>434</v>
      </c>
      <c r="Q251" s="82"/>
      <c r="R251" s="96" t="s">
        <v>531</v>
      </c>
      <c r="S251" s="96" t="s">
        <v>659</v>
      </c>
      <c r="T251" s="96" t="s">
        <v>518</v>
      </c>
      <c r="U251" s="97" t="s">
        <v>524</v>
      </c>
      <c r="V251" s="110">
        <v>46037</v>
      </c>
      <c r="W251" s="107">
        <v>46068</v>
      </c>
      <c r="X251" s="96">
        <f ca="1">W251-TODAY()</f>
        <v>-17</v>
      </c>
      <c r="Y251" s="96" t="str">
        <f ca="1">IF(X251&gt;=60,"Vigente",IF(AND(X251&gt;=1,X251&lt;=59),"Por Vencer","Vencido"))</f>
        <v>Vencido</v>
      </c>
      <c r="Z251" s="96"/>
    </row>
    <row r="252" spans="1:26" ht="37.5" hidden="1">
      <c r="A252" s="92">
        <v>254</v>
      </c>
      <c r="B252" s="96" t="s">
        <v>18</v>
      </c>
      <c r="C252" s="3" t="s">
        <v>863</v>
      </c>
      <c r="D252" s="3">
        <v>5695505</v>
      </c>
      <c r="E252" s="3">
        <v>4</v>
      </c>
      <c r="F252" s="3">
        <v>80</v>
      </c>
      <c r="G252" s="97" t="s">
        <v>20</v>
      </c>
      <c r="H252" s="96" t="s">
        <v>251</v>
      </c>
      <c r="I252" s="3" t="s">
        <v>33</v>
      </c>
      <c r="J252" s="3" t="s">
        <v>33</v>
      </c>
      <c r="K252" s="3" t="s">
        <v>33</v>
      </c>
      <c r="L252" s="3" t="s">
        <v>51</v>
      </c>
      <c r="M252" s="3" t="s">
        <v>33</v>
      </c>
      <c r="N252" s="3" t="s">
        <v>33</v>
      </c>
      <c r="O252" s="95" t="s">
        <v>25</v>
      </c>
      <c r="P252" s="96" t="s">
        <v>526</v>
      </c>
      <c r="Q252" s="2"/>
      <c r="R252" s="96" t="s">
        <v>527</v>
      </c>
      <c r="S252" s="3" t="s">
        <v>33</v>
      </c>
      <c r="T252" s="96" t="s">
        <v>528</v>
      </c>
      <c r="U252" s="3" t="s">
        <v>524</v>
      </c>
      <c r="V252" s="109">
        <v>45917</v>
      </c>
      <c r="W252" s="109">
        <v>46039</v>
      </c>
      <c r="X252" s="3">
        <f ca="1">W252-TODAY()</f>
        <v>-46</v>
      </c>
      <c r="Y252" s="96" t="str">
        <f ca="1">IF(X252&gt;=60,"Vigente",IF(AND(X252&gt;=1,X252&lt;=59),"Por Vencer","Vencido"))</f>
        <v>Vencido</v>
      </c>
      <c r="Z252" s="96"/>
    </row>
    <row r="253" spans="1:26" hidden="1">
      <c r="A253" s="92">
        <v>255</v>
      </c>
      <c r="B253" s="96" t="s">
        <v>18</v>
      </c>
      <c r="C253" s="3" t="s">
        <v>864</v>
      </c>
      <c r="D253" s="3">
        <v>18986814</v>
      </c>
      <c r="E253" s="3">
        <v>6</v>
      </c>
      <c r="F253" s="3">
        <v>28</v>
      </c>
      <c r="G253" s="97" t="s">
        <v>20</v>
      </c>
      <c r="H253" s="96" t="s">
        <v>50</v>
      </c>
      <c r="I253" s="3">
        <v>2024</v>
      </c>
      <c r="J253" s="109">
        <v>45552</v>
      </c>
      <c r="K253" s="96" t="s">
        <v>83</v>
      </c>
      <c r="L253" s="3" t="s">
        <v>84</v>
      </c>
      <c r="M253" s="109">
        <v>45617</v>
      </c>
      <c r="N253" s="96" t="s">
        <v>483</v>
      </c>
      <c r="O253" s="96" t="s">
        <v>42</v>
      </c>
      <c r="P253" s="96" t="s">
        <v>526</v>
      </c>
      <c r="Q253" s="2"/>
      <c r="R253" s="96" t="s">
        <v>517</v>
      </c>
      <c r="S253" s="96" t="s">
        <v>33</v>
      </c>
      <c r="T253" s="96" t="s">
        <v>518</v>
      </c>
      <c r="U253" s="95" t="s">
        <v>519</v>
      </c>
      <c r="V253" s="109">
        <v>45838</v>
      </c>
      <c r="W253" s="109">
        <v>45930</v>
      </c>
      <c r="X253" s="3">
        <f ca="1">W253-TODAY()</f>
        <v>-155</v>
      </c>
      <c r="Y253" s="96" t="str">
        <f ca="1">IF(X253&gt;=60,"Vigente",IF(AND(X253&gt;=1,X253&lt;=59),"Por Vencer","Vencido"))</f>
        <v>Vencido</v>
      </c>
      <c r="Z253" s="96"/>
    </row>
    <row r="254" spans="1:26" hidden="1">
      <c r="A254" s="92">
        <v>256</v>
      </c>
      <c r="B254" s="96" t="s">
        <v>18</v>
      </c>
      <c r="C254" s="95" t="s">
        <v>865</v>
      </c>
      <c r="D254" s="95">
        <v>13710989</v>
      </c>
      <c r="E254" s="95">
        <v>1</v>
      </c>
      <c r="F254" s="95">
        <v>44</v>
      </c>
      <c r="G254" s="97" t="s">
        <v>20</v>
      </c>
      <c r="H254" s="96" t="s">
        <v>50</v>
      </c>
      <c r="I254" s="95">
        <v>2023</v>
      </c>
      <c r="J254" s="108">
        <v>45078</v>
      </c>
      <c r="K254" s="96" t="s">
        <v>18</v>
      </c>
      <c r="L254" s="95" t="s">
        <v>23</v>
      </c>
      <c r="M254" s="108">
        <v>45190</v>
      </c>
      <c r="N254" s="95" t="s">
        <v>726</v>
      </c>
      <c r="O254" s="96" t="s">
        <v>42</v>
      </c>
      <c r="P254" s="96" t="s">
        <v>526</v>
      </c>
      <c r="Q254" s="84"/>
      <c r="R254" s="96" t="s">
        <v>517</v>
      </c>
      <c r="S254" s="96" t="s">
        <v>33</v>
      </c>
      <c r="T254" s="96" t="s">
        <v>518</v>
      </c>
      <c r="U254" s="95" t="s">
        <v>519</v>
      </c>
      <c r="V254" s="108">
        <v>45687</v>
      </c>
      <c r="W254" s="108">
        <v>45777</v>
      </c>
      <c r="X254" s="96">
        <f ca="1">W254-TODAY()</f>
        <v>-308</v>
      </c>
      <c r="Y254" s="96" t="str">
        <f ca="1">IF(X254&gt;=60,"Vigente",IF(AND(X254&gt;=1,X254&lt;=59),"Por Vencer","Vencido"))</f>
        <v>Vencido</v>
      </c>
      <c r="Z254" s="96"/>
    </row>
    <row r="255" spans="1:26" s="88" customFormat="1" hidden="1">
      <c r="A255" s="92">
        <v>257</v>
      </c>
      <c r="B255" s="96" t="s">
        <v>18</v>
      </c>
      <c r="C255" s="96" t="s">
        <v>866</v>
      </c>
      <c r="D255" s="96">
        <v>6995397</v>
      </c>
      <c r="E255" s="96">
        <v>2</v>
      </c>
      <c r="F255" s="96">
        <v>67</v>
      </c>
      <c r="G255" s="97" t="s">
        <v>20</v>
      </c>
      <c r="H255" s="95" t="s">
        <v>59</v>
      </c>
      <c r="I255" s="95">
        <v>2023</v>
      </c>
      <c r="J255" s="107">
        <v>45205</v>
      </c>
      <c r="K255" s="96" t="s">
        <v>18</v>
      </c>
      <c r="L255" s="95" t="s">
        <v>84</v>
      </c>
      <c r="M255" s="107">
        <v>45239</v>
      </c>
      <c r="N255" s="3" t="s">
        <v>326</v>
      </c>
      <c r="O255" s="96" t="s">
        <v>42</v>
      </c>
      <c r="P255" s="96" t="s">
        <v>526</v>
      </c>
      <c r="Q255" s="82"/>
      <c r="R255" s="96" t="s">
        <v>517</v>
      </c>
      <c r="S255" s="96" t="s">
        <v>33</v>
      </c>
      <c r="T255" s="96" t="s">
        <v>518</v>
      </c>
      <c r="U255" s="95" t="s">
        <v>519</v>
      </c>
      <c r="V255" s="108">
        <v>45687</v>
      </c>
      <c r="W255" s="107">
        <v>45777</v>
      </c>
      <c r="X255" s="96">
        <f ca="1">W255-TODAY()</f>
        <v>-308</v>
      </c>
      <c r="Y255" s="96" t="str">
        <f ca="1">IF(X255&gt;=60,"Vigente",IF(AND(X255&gt;=1,X255&lt;=59),"Por Vencer","Vencido"))</f>
        <v>Vencido</v>
      </c>
      <c r="Z255" s="96"/>
    </row>
    <row r="256" spans="1:26" hidden="1">
      <c r="A256" s="92">
        <v>258</v>
      </c>
      <c r="B256" s="96" t="s">
        <v>18</v>
      </c>
      <c r="C256" s="95" t="s">
        <v>867</v>
      </c>
      <c r="D256" s="95">
        <v>5776277</v>
      </c>
      <c r="E256" s="95">
        <v>2</v>
      </c>
      <c r="F256" s="101">
        <v>77</v>
      </c>
      <c r="G256" s="3" t="s">
        <v>30</v>
      </c>
      <c r="H256" s="95" t="s">
        <v>59</v>
      </c>
      <c r="I256" s="96" t="s">
        <v>33</v>
      </c>
      <c r="J256" s="108" t="s">
        <v>541</v>
      </c>
      <c r="K256" s="96" t="s">
        <v>83</v>
      </c>
      <c r="L256" s="3" t="s">
        <v>23</v>
      </c>
      <c r="M256" s="97" t="s">
        <v>33</v>
      </c>
      <c r="N256" s="97" t="s">
        <v>33</v>
      </c>
      <c r="O256" s="95" t="s">
        <v>25</v>
      </c>
      <c r="P256" s="96" t="s">
        <v>434</v>
      </c>
      <c r="Q256" s="84"/>
      <c r="R256" s="96" t="s">
        <v>545</v>
      </c>
      <c r="S256" s="96" t="s">
        <v>33</v>
      </c>
      <c r="T256" s="108" t="s">
        <v>546</v>
      </c>
      <c r="U256" s="95" t="s">
        <v>524</v>
      </c>
      <c r="V256" s="108">
        <v>45831</v>
      </c>
      <c r="W256" s="107">
        <v>46196</v>
      </c>
      <c r="X256" s="96">
        <f ca="1">W256-TODAY()</f>
        <v>111</v>
      </c>
      <c r="Y256" s="96" t="str">
        <f ca="1">IF(X256&gt;=60,"Vigente",IF(AND(X256&gt;=1,X256&lt;=59),"Por Vencer","Vencido"))</f>
        <v>Vigente</v>
      </c>
      <c r="Z256" s="96" t="s">
        <v>868</v>
      </c>
    </row>
    <row r="257" spans="1:26" s="88" customFormat="1" ht="37.5" hidden="1">
      <c r="A257" s="92">
        <v>259</v>
      </c>
      <c r="B257" s="96" t="s">
        <v>18</v>
      </c>
      <c r="C257" s="3" t="s">
        <v>869</v>
      </c>
      <c r="D257" s="3">
        <v>4592336</v>
      </c>
      <c r="E257" s="3">
        <v>3</v>
      </c>
      <c r="F257" s="3">
        <v>83</v>
      </c>
      <c r="G257" s="97" t="s">
        <v>20</v>
      </c>
      <c r="H257" s="96" t="s">
        <v>431</v>
      </c>
      <c r="I257" s="3" t="s">
        <v>33</v>
      </c>
      <c r="J257" s="3" t="s">
        <v>33</v>
      </c>
      <c r="K257" s="3" t="s">
        <v>33</v>
      </c>
      <c r="L257" s="3" t="s">
        <v>51</v>
      </c>
      <c r="M257" s="3" t="s">
        <v>33</v>
      </c>
      <c r="N257" s="3" t="s">
        <v>33</v>
      </c>
      <c r="O257" s="95" t="s">
        <v>25</v>
      </c>
      <c r="P257" s="96" t="s">
        <v>526</v>
      </c>
      <c r="Q257" s="2"/>
      <c r="R257" s="96" t="s">
        <v>527</v>
      </c>
      <c r="S257" s="96" t="s">
        <v>33</v>
      </c>
      <c r="T257" s="96" t="s">
        <v>528</v>
      </c>
      <c r="U257" s="3" t="s">
        <v>524</v>
      </c>
      <c r="V257" s="109">
        <v>45967</v>
      </c>
      <c r="W257" s="109">
        <v>46059</v>
      </c>
      <c r="X257" s="3">
        <f ca="1">W257-TODAY()</f>
        <v>-26</v>
      </c>
      <c r="Y257" s="96" t="str">
        <f ca="1">IF(X257&gt;=60,"Vigente",IF(AND(X257&gt;=1,X257&lt;=59),"Por Vencer","Vencido"))</f>
        <v>Vencido</v>
      </c>
      <c r="Z257" s="96"/>
    </row>
    <row r="258" spans="1:26" ht="37.5" hidden="1">
      <c r="A258" s="92">
        <v>260</v>
      </c>
      <c r="B258" s="96" t="s">
        <v>28</v>
      </c>
      <c r="C258" s="96" t="s">
        <v>870</v>
      </c>
      <c r="D258" s="96">
        <v>7232617</v>
      </c>
      <c r="E258" s="96">
        <v>2</v>
      </c>
      <c r="F258" s="96">
        <v>70</v>
      </c>
      <c r="G258" s="97" t="s">
        <v>20</v>
      </c>
      <c r="H258" s="95" t="s">
        <v>300</v>
      </c>
      <c r="I258" s="96" t="s">
        <v>33</v>
      </c>
      <c r="J258" s="96" t="s">
        <v>33</v>
      </c>
      <c r="K258" s="96" t="s">
        <v>33</v>
      </c>
      <c r="L258" s="97" t="s">
        <v>84</v>
      </c>
      <c r="M258" s="97" t="s">
        <v>33</v>
      </c>
      <c r="N258" s="97" t="s">
        <v>33</v>
      </c>
      <c r="O258" s="95" t="s">
        <v>25</v>
      </c>
      <c r="P258" s="96" t="s">
        <v>434</v>
      </c>
      <c r="Q258" s="82"/>
      <c r="R258" s="95" t="s">
        <v>570</v>
      </c>
      <c r="S258" s="96" t="s">
        <v>535</v>
      </c>
      <c r="T258" s="96" t="s">
        <v>571</v>
      </c>
      <c r="U258" s="96" t="s">
        <v>524</v>
      </c>
      <c r="V258" s="107">
        <v>46037</v>
      </c>
      <c r="W258" s="107">
        <v>46127</v>
      </c>
      <c r="X258" s="96">
        <f ca="1">W258-TODAY()</f>
        <v>42</v>
      </c>
      <c r="Y258" s="96" t="str">
        <f ca="1">IF(X258&gt;=60,"Vigente",IF(AND(X258&gt;=1,X258&lt;=59),"Por Vencer","Vencido"))</f>
        <v>Por Vencer</v>
      </c>
      <c r="Z258" s="96"/>
    </row>
    <row r="259" spans="1:26" hidden="1">
      <c r="A259" s="92">
        <v>261</v>
      </c>
      <c r="B259" s="96" t="s">
        <v>18</v>
      </c>
      <c r="C259" s="96" t="s">
        <v>871</v>
      </c>
      <c r="D259" s="96">
        <v>10549747</v>
      </c>
      <c r="E259" s="96">
        <v>4</v>
      </c>
      <c r="F259" s="100">
        <v>54</v>
      </c>
      <c r="G259" s="97" t="s">
        <v>20</v>
      </c>
      <c r="H259" s="96" t="s">
        <v>418</v>
      </c>
      <c r="I259" s="95">
        <v>2021</v>
      </c>
      <c r="J259" s="107">
        <v>44377</v>
      </c>
      <c r="K259" s="96" t="s">
        <v>18</v>
      </c>
      <c r="L259" s="95" t="s">
        <v>23</v>
      </c>
      <c r="M259" s="107">
        <v>44377</v>
      </c>
      <c r="N259" s="96" t="s">
        <v>539</v>
      </c>
      <c r="O259" s="96" t="s">
        <v>42</v>
      </c>
      <c r="P259" s="96" t="s">
        <v>526</v>
      </c>
      <c r="Q259" s="82"/>
      <c r="R259" s="96" t="s">
        <v>517</v>
      </c>
      <c r="S259" s="96" t="s">
        <v>33</v>
      </c>
      <c r="T259" s="96" t="s">
        <v>518</v>
      </c>
      <c r="U259" s="95" t="s">
        <v>519</v>
      </c>
      <c r="V259" s="108">
        <v>45687</v>
      </c>
      <c r="W259" s="107">
        <v>45777</v>
      </c>
      <c r="X259" s="96">
        <f ca="1">W259-TODAY()</f>
        <v>-308</v>
      </c>
      <c r="Y259" s="96" t="str">
        <f ca="1">IF(X259&gt;=60,"Vigente",IF(AND(X259&gt;=1,X259&lt;=59),"Por Vencer","Vencido"))</f>
        <v>Vencido</v>
      </c>
      <c r="Z259" s="96"/>
    </row>
    <row r="260" spans="1:26" hidden="1">
      <c r="A260" s="92">
        <v>262</v>
      </c>
      <c r="B260" s="96" t="s">
        <v>18</v>
      </c>
      <c r="C260" s="96" t="s">
        <v>872</v>
      </c>
      <c r="D260" s="96">
        <v>9074858</v>
      </c>
      <c r="E260" s="96">
        <v>0</v>
      </c>
      <c r="F260" s="96">
        <v>62</v>
      </c>
      <c r="G260" s="97" t="s">
        <v>20</v>
      </c>
      <c r="H260" s="95" t="s">
        <v>59</v>
      </c>
      <c r="I260" s="95">
        <v>2019</v>
      </c>
      <c r="J260" s="96">
        <v>2019</v>
      </c>
      <c r="K260" s="96" t="s">
        <v>83</v>
      </c>
      <c r="L260" s="95" t="s">
        <v>23</v>
      </c>
      <c r="M260" s="107">
        <v>44249</v>
      </c>
      <c r="N260" s="96" t="s">
        <v>33</v>
      </c>
      <c r="O260" s="96" t="s">
        <v>42</v>
      </c>
      <c r="P260" s="96" t="s">
        <v>526</v>
      </c>
      <c r="Q260" s="82"/>
      <c r="R260" s="96" t="s">
        <v>517</v>
      </c>
      <c r="S260" s="96" t="s">
        <v>33</v>
      </c>
      <c r="T260" s="96" t="s">
        <v>518</v>
      </c>
      <c r="U260" s="95" t="s">
        <v>519</v>
      </c>
      <c r="V260" s="108">
        <v>45652</v>
      </c>
      <c r="W260" s="107">
        <v>45742</v>
      </c>
      <c r="X260" s="96">
        <f ca="1">W260-TODAY()</f>
        <v>-343</v>
      </c>
      <c r="Y260" s="96" t="str">
        <f ca="1">IF(X260&gt;=60,"Vigente",IF(AND(X260&gt;=1,X260&lt;=59),"Por Vencer","Vencido"))</f>
        <v>Vencido</v>
      </c>
      <c r="Z260" s="96"/>
    </row>
    <row r="261" spans="1:26" hidden="1">
      <c r="A261" s="92">
        <v>263</v>
      </c>
      <c r="B261" s="96" t="s">
        <v>18</v>
      </c>
      <c r="C261" s="96" t="s">
        <v>873</v>
      </c>
      <c r="D261" s="96">
        <v>8723930</v>
      </c>
      <c r="E261" s="96">
        <v>6</v>
      </c>
      <c r="F261" s="96">
        <v>61</v>
      </c>
      <c r="G261" s="97" t="s">
        <v>20</v>
      </c>
      <c r="H261" s="96" t="s">
        <v>50</v>
      </c>
      <c r="I261" s="96">
        <v>2019</v>
      </c>
      <c r="J261" s="96">
        <v>2019</v>
      </c>
      <c r="K261" s="96" t="s">
        <v>33</v>
      </c>
      <c r="L261" s="3" t="s">
        <v>23</v>
      </c>
      <c r="M261" s="96" t="s">
        <v>533</v>
      </c>
      <c r="N261" s="96" t="s">
        <v>33</v>
      </c>
      <c r="O261" s="95" t="s">
        <v>25</v>
      </c>
      <c r="P261" s="96" t="s">
        <v>434</v>
      </c>
      <c r="Q261" s="82"/>
      <c r="R261" s="96" t="s">
        <v>545</v>
      </c>
      <c r="S261" s="96" t="s">
        <v>33</v>
      </c>
      <c r="T261" s="108" t="s">
        <v>546</v>
      </c>
      <c r="U261" s="96" t="s">
        <v>524</v>
      </c>
      <c r="V261" s="107">
        <v>45670</v>
      </c>
      <c r="W261" s="107">
        <v>46035</v>
      </c>
      <c r="X261" s="96">
        <f ca="1">W261-TODAY()</f>
        <v>-50</v>
      </c>
      <c r="Y261" s="96" t="str">
        <f ca="1">IF(X261&gt;=60,"Vigente",IF(AND(X261&gt;=1,X261&lt;=59),"Por Vencer","Vencido"))</f>
        <v>Vencido</v>
      </c>
      <c r="Z261" s="96"/>
    </row>
    <row r="262" spans="1:26" hidden="1">
      <c r="A262" s="92">
        <v>264</v>
      </c>
      <c r="B262" s="96" t="s">
        <v>18</v>
      </c>
      <c r="C262" s="96" t="s">
        <v>874</v>
      </c>
      <c r="D262" s="96">
        <v>9421162</v>
      </c>
      <c r="E262" s="96" t="s">
        <v>45</v>
      </c>
      <c r="F262" s="96">
        <v>62</v>
      </c>
      <c r="G262" s="97" t="s">
        <v>20</v>
      </c>
      <c r="H262" s="96" t="s">
        <v>50</v>
      </c>
      <c r="I262" s="96">
        <v>2023</v>
      </c>
      <c r="J262" s="107">
        <v>45238</v>
      </c>
      <c r="K262" s="96" t="s">
        <v>18</v>
      </c>
      <c r="L262" s="3" t="s">
        <v>23</v>
      </c>
      <c r="M262" s="107">
        <v>45274</v>
      </c>
      <c r="N262" s="96" t="s">
        <v>585</v>
      </c>
      <c r="O262" s="95" t="s">
        <v>25</v>
      </c>
      <c r="P262" s="96" t="s">
        <v>434</v>
      </c>
      <c r="Q262" s="82"/>
      <c r="R262" s="96" t="s">
        <v>531</v>
      </c>
      <c r="S262" s="96" t="s">
        <v>33</v>
      </c>
      <c r="T262" s="96" t="s">
        <v>518</v>
      </c>
      <c r="U262" s="96" t="s">
        <v>524</v>
      </c>
      <c r="V262" s="107">
        <v>45979</v>
      </c>
      <c r="W262" s="107">
        <v>46071</v>
      </c>
      <c r="X262" s="96">
        <f ca="1">W262-TODAY()</f>
        <v>-14</v>
      </c>
      <c r="Y262" s="96" t="str">
        <f ca="1">IF(X262&gt;=60,"Vigente",IF(AND(X262&gt;=1,X262&lt;=59),"Por Vencer","Vencido"))</f>
        <v>Vencido</v>
      </c>
      <c r="Z262" s="96"/>
    </row>
    <row r="263" spans="1:26" hidden="1">
      <c r="A263" s="92">
        <v>265</v>
      </c>
      <c r="B263" s="96" t="s">
        <v>18</v>
      </c>
      <c r="C263" s="96" t="s">
        <v>875</v>
      </c>
      <c r="D263" s="97">
        <v>12572879</v>
      </c>
      <c r="E263" s="96">
        <v>0</v>
      </c>
      <c r="F263" s="96">
        <v>49</v>
      </c>
      <c r="G263" s="97" t="s">
        <v>20</v>
      </c>
      <c r="H263" s="96" t="s">
        <v>50</v>
      </c>
      <c r="I263" s="95">
        <v>2023</v>
      </c>
      <c r="J263" s="107">
        <v>45205</v>
      </c>
      <c r="K263" s="96" t="s">
        <v>83</v>
      </c>
      <c r="L263" s="95" t="s">
        <v>23</v>
      </c>
      <c r="M263" s="107">
        <v>45253</v>
      </c>
      <c r="N263" s="96" t="s">
        <v>585</v>
      </c>
      <c r="O263" s="96" t="s">
        <v>490</v>
      </c>
      <c r="P263" s="96" t="s">
        <v>434</v>
      </c>
      <c r="Q263" s="82"/>
      <c r="R263" s="96" t="s">
        <v>876</v>
      </c>
      <c r="S263" s="96" t="s">
        <v>33</v>
      </c>
      <c r="T263" s="96" t="s">
        <v>546</v>
      </c>
      <c r="U263" s="96" t="s">
        <v>524</v>
      </c>
      <c r="V263" s="107">
        <v>45887</v>
      </c>
      <c r="W263" s="107">
        <v>46252</v>
      </c>
      <c r="X263" s="96">
        <f ca="1">W263-TODAY()</f>
        <v>167</v>
      </c>
      <c r="Y263" s="96" t="str">
        <f ca="1">IF(X263&gt;=60,"Vigente",IF(AND(X263&gt;=1,X263&lt;=59),"Por Vencer","Vencido"))</f>
        <v>Vigente</v>
      </c>
      <c r="Z263" s="96"/>
    </row>
    <row r="264" spans="1:26" ht="37.5" hidden="1">
      <c r="A264" s="92">
        <v>266</v>
      </c>
      <c r="B264" s="96" t="s">
        <v>28</v>
      </c>
      <c r="C264" s="3" t="s">
        <v>877</v>
      </c>
      <c r="D264" s="3">
        <v>41424167</v>
      </c>
      <c r="E264" s="3">
        <v>0</v>
      </c>
      <c r="F264" s="3">
        <v>37</v>
      </c>
      <c r="G264" s="97" t="s">
        <v>20</v>
      </c>
      <c r="H264" s="96" t="s">
        <v>431</v>
      </c>
      <c r="I264" s="3" t="s">
        <v>33</v>
      </c>
      <c r="J264" s="3" t="s">
        <v>33</v>
      </c>
      <c r="K264" s="3" t="s">
        <v>33</v>
      </c>
      <c r="L264" s="3" t="s">
        <v>51</v>
      </c>
      <c r="M264" s="3" t="s">
        <v>33</v>
      </c>
      <c r="N264" s="3" t="s">
        <v>33</v>
      </c>
      <c r="O264" s="95" t="s">
        <v>25</v>
      </c>
      <c r="P264" s="96" t="s">
        <v>526</v>
      </c>
      <c r="Q264" s="2"/>
      <c r="R264" s="96" t="s">
        <v>527</v>
      </c>
      <c r="S264" s="96" t="s">
        <v>33</v>
      </c>
      <c r="T264" s="96" t="s">
        <v>528</v>
      </c>
      <c r="U264" s="95" t="s">
        <v>536</v>
      </c>
      <c r="V264" s="109">
        <v>45902</v>
      </c>
      <c r="W264" s="109">
        <v>45932</v>
      </c>
      <c r="X264" s="3">
        <f ca="1">W264-TODAY()</f>
        <v>-153</v>
      </c>
      <c r="Y264" s="96" t="str">
        <f ca="1">IF(X264&gt;=60,"Vigente",IF(AND(X264&gt;=1,X264&lt;=59),"Por Vencer","Vencido"))</f>
        <v>Vencido</v>
      </c>
      <c r="Z264" s="3"/>
    </row>
    <row r="265" spans="1:26" hidden="1">
      <c r="A265" s="92">
        <v>267</v>
      </c>
      <c r="B265" s="96" t="s">
        <v>18</v>
      </c>
      <c r="C265" s="96" t="s">
        <v>878</v>
      </c>
      <c r="D265" s="96">
        <v>12943919</v>
      </c>
      <c r="E265" s="96" t="s">
        <v>45</v>
      </c>
      <c r="F265" s="96">
        <v>48</v>
      </c>
      <c r="G265" s="97" t="s">
        <v>20</v>
      </c>
      <c r="H265" s="96" t="s">
        <v>50</v>
      </c>
      <c r="I265" s="96">
        <v>2024</v>
      </c>
      <c r="J265" s="107">
        <v>45498</v>
      </c>
      <c r="K265" s="96" t="s">
        <v>83</v>
      </c>
      <c r="L265" s="96" t="s">
        <v>23</v>
      </c>
      <c r="M265" s="107">
        <v>45526</v>
      </c>
      <c r="N265" s="96" t="s">
        <v>539</v>
      </c>
      <c r="O265" s="96" t="s">
        <v>42</v>
      </c>
      <c r="P265" s="96" t="s">
        <v>526</v>
      </c>
      <c r="Q265" s="82"/>
      <c r="R265" s="96" t="s">
        <v>517</v>
      </c>
      <c r="S265" s="96" t="s">
        <v>33</v>
      </c>
      <c r="T265" s="96" t="s">
        <v>518</v>
      </c>
      <c r="U265" s="95" t="s">
        <v>519</v>
      </c>
      <c r="V265" s="107">
        <v>45839</v>
      </c>
      <c r="W265" s="107">
        <v>45931</v>
      </c>
      <c r="X265" s="96">
        <f ca="1">W265-TODAY()</f>
        <v>-154</v>
      </c>
      <c r="Y265" s="96" t="str">
        <f ca="1">IF(X265&gt;=60,"Vigente",IF(AND(X265&gt;=1,X265&lt;=59),"Por Vencer","Vencido"))</f>
        <v>Vencido</v>
      </c>
      <c r="Z265" s="96"/>
    </row>
    <row r="266" spans="1:26" ht="37.5" hidden="1">
      <c r="A266" s="92">
        <v>268</v>
      </c>
      <c r="B266" s="96" t="s">
        <v>28</v>
      </c>
      <c r="C266" s="95" t="s">
        <v>879</v>
      </c>
      <c r="D266" s="95">
        <v>7507850</v>
      </c>
      <c r="E266" s="95">
        <v>1</v>
      </c>
      <c r="F266" s="95">
        <v>69</v>
      </c>
      <c r="G266" s="97" t="s">
        <v>20</v>
      </c>
      <c r="H266" s="95" t="s">
        <v>300</v>
      </c>
      <c r="I266" s="95">
        <v>2022</v>
      </c>
      <c r="J266" s="95">
        <v>2022</v>
      </c>
      <c r="K266" s="96" t="s">
        <v>83</v>
      </c>
      <c r="L266" s="97" t="s">
        <v>84</v>
      </c>
      <c r="M266" s="97" t="s">
        <v>33</v>
      </c>
      <c r="N266" s="97" t="s">
        <v>33</v>
      </c>
      <c r="O266" s="95" t="s">
        <v>25</v>
      </c>
      <c r="P266" s="96" t="s">
        <v>434</v>
      </c>
      <c r="Q266" s="84"/>
      <c r="R266" s="96" t="s">
        <v>531</v>
      </c>
      <c r="S266" s="96" t="s">
        <v>535</v>
      </c>
      <c r="T266" s="96" t="s">
        <v>518</v>
      </c>
      <c r="U266" s="95" t="s">
        <v>536</v>
      </c>
      <c r="V266" s="108">
        <v>46002</v>
      </c>
      <c r="W266" s="108">
        <v>46064</v>
      </c>
      <c r="X266" s="96">
        <f ca="1">W266-TODAY()</f>
        <v>-21</v>
      </c>
      <c r="Y266" s="96" t="str">
        <f ca="1">IF(X266&gt;=60,"Vigente",IF(AND(X266&gt;=1,X266&lt;=59),"Por Vencer","Vencido"))</f>
        <v>Vencido</v>
      </c>
      <c r="Z266" s="96"/>
    </row>
    <row r="267" spans="1:26" ht="37.5" hidden="1">
      <c r="A267" s="92">
        <v>269</v>
      </c>
      <c r="B267" s="96" t="s">
        <v>18</v>
      </c>
      <c r="C267" s="3" t="s">
        <v>880</v>
      </c>
      <c r="D267" s="3">
        <v>6899280</v>
      </c>
      <c r="E267" s="3" t="s">
        <v>45</v>
      </c>
      <c r="F267" s="3">
        <v>83</v>
      </c>
      <c r="G267" s="97" t="s">
        <v>20</v>
      </c>
      <c r="H267" s="96" t="s">
        <v>378</v>
      </c>
      <c r="I267" s="3">
        <v>2022</v>
      </c>
      <c r="J267" s="109">
        <v>44586</v>
      </c>
      <c r="K267" s="3" t="s">
        <v>33</v>
      </c>
      <c r="L267" s="3" t="s">
        <v>23</v>
      </c>
      <c r="M267" s="3" t="s">
        <v>33</v>
      </c>
      <c r="N267" s="3" t="s">
        <v>33</v>
      </c>
      <c r="O267" s="95" t="s">
        <v>25</v>
      </c>
      <c r="P267" s="96" t="s">
        <v>434</v>
      </c>
      <c r="Q267" s="2"/>
      <c r="R267" s="96" t="s">
        <v>531</v>
      </c>
      <c r="S267" s="3" t="s">
        <v>33</v>
      </c>
      <c r="T267" s="96" t="s">
        <v>518</v>
      </c>
      <c r="U267" s="3" t="s">
        <v>524</v>
      </c>
      <c r="V267" s="109">
        <v>46027</v>
      </c>
      <c r="W267" s="109">
        <v>46117</v>
      </c>
      <c r="X267" s="3">
        <f ca="1">W267-TODAY()</f>
        <v>32</v>
      </c>
      <c r="Y267" s="96" t="str">
        <f ca="1">IF(X267&gt;=60,"Vigente",IF(AND(X267&gt;=1,X267&lt;=59),"Por Vencer","Vencido"))</f>
        <v>Por Vencer</v>
      </c>
      <c r="Z267" s="96"/>
    </row>
    <row r="268" spans="1:26" hidden="1">
      <c r="A268" s="92">
        <v>270</v>
      </c>
      <c r="B268" s="96" t="s">
        <v>28</v>
      </c>
      <c r="C268" s="3" t="s">
        <v>881</v>
      </c>
      <c r="D268" s="98">
        <v>28710388</v>
      </c>
      <c r="E268" s="98">
        <v>3</v>
      </c>
      <c r="F268" s="98">
        <v>26</v>
      </c>
      <c r="G268" s="97" t="s">
        <v>20</v>
      </c>
      <c r="H268" s="97" t="s">
        <v>418</v>
      </c>
      <c r="I268" s="98">
        <v>2025</v>
      </c>
      <c r="J268" s="114">
        <v>45955</v>
      </c>
      <c r="K268" s="98" t="s">
        <v>33</v>
      </c>
      <c r="L268" s="98" t="s">
        <v>23</v>
      </c>
      <c r="M268" s="98" t="s">
        <v>33</v>
      </c>
      <c r="N268" s="98" t="s">
        <v>33</v>
      </c>
      <c r="O268" s="95" t="s">
        <v>553</v>
      </c>
      <c r="P268" s="98" t="s">
        <v>434</v>
      </c>
      <c r="Q268" s="86"/>
      <c r="R268" s="98" t="s">
        <v>517</v>
      </c>
      <c r="S268" s="98" t="s">
        <v>33</v>
      </c>
      <c r="T268" s="98" t="s">
        <v>518</v>
      </c>
      <c r="U268" s="3" t="s">
        <v>519</v>
      </c>
      <c r="V268" s="114">
        <v>46084</v>
      </c>
      <c r="W268" s="114">
        <v>46176</v>
      </c>
      <c r="X268" s="3">
        <f t="shared" ref="X268:X272" ca="1" si="0">W268-TODAY()</f>
        <v>91</v>
      </c>
      <c r="Y268" s="96" t="str">
        <f ca="1">IF(X268&gt;=60,"Vigente",IF(AND(X268&gt;=1,X268&lt;=59),"Por Vencer","Vencido"))</f>
        <v>Vigente</v>
      </c>
      <c r="Z268" s="96"/>
    </row>
    <row r="269" spans="1:26" hidden="1">
      <c r="A269" s="92">
        <v>271</v>
      </c>
      <c r="B269" s="96"/>
      <c r="C269" s="3"/>
      <c r="D269" s="98"/>
      <c r="E269" s="98"/>
      <c r="F269" s="98"/>
      <c r="G269" s="97"/>
      <c r="H269" s="97"/>
      <c r="I269" s="98"/>
      <c r="J269" s="114"/>
      <c r="K269" s="98"/>
      <c r="L269" s="98"/>
      <c r="M269" s="98"/>
      <c r="N269" s="98"/>
      <c r="O269" s="95"/>
      <c r="P269" s="98"/>
      <c r="Q269" s="86"/>
      <c r="R269" s="98"/>
      <c r="S269" s="98"/>
      <c r="T269" s="98"/>
      <c r="U269" s="3"/>
      <c r="V269" s="114"/>
      <c r="W269" s="114"/>
      <c r="X269" s="3">
        <f t="shared" ca="1" si="0"/>
        <v>-46085</v>
      </c>
      <c r="Y269" s="96" t="str">
        <f ca="1">IF(X269&gt;=60,"Vigente",IF(AND(X269&gt;=1,X269&lt;=59),"Por Vencer","Vencido"))</f>
        <v>Vencido</v>
      </c>
      <c r="Z269" s="96"/>
    </row>
    <row r="270" spans="1:26" hidden="1">
      <c r="A270" s="92">
        <v>272</v>
      </c>
      <c r="B270" s="96"/>
      <c r="C270" s="3"/>
      <c r="D270" s="98"/>
      <c r="E270" s="98"/>
      <c r="F270" s="98"/>
      <c r="G270" s="97"/>
      <c r="H270" s="97"/>
      <c r="I270" s="98"/>
      <c r="J270" s="114"/>
      <c r="K270" s="98"/>
      <c r="L270" s="98"/>
      <c r="M270" s="98"/>
      <c r="N270" s="98"/>
      <c r="O270" s="95"/>
      <c r="P270" s="98"/>
      <c r="Q270" s="86"/>
      <c r="R270" s="98"/>
      <c r="S270" s="98"/>
      <c r="T270" s="98"/>
      <c r="U270" s="3"/>
      <c r="V270" s="114"/>
      <c r="W270" s="114"/>
      <c r="X270" s="3">
        <f t="shared" ca="1" si="0"/>
        <v>-46085</v>
      </c>
      <c r="Y270" s="96" t="str">
        <f ca="1">IF(X270&gt;=60,"Vigente",IF(AND(X270&gt;=1,X270&lt;=59),"Por Vencer","Vencido"))</f>
        <v>Vencido</v>
      </c>
      <c r="Z270" s="96"/>
    </row>
    <row r="271" spans="1:26" hidden="1">
      <c r="A271" s="92">
        <v>273</v>
      </c>
      <c r="B271" s="96"/>
      <c r="C271" s="3"/>
      <c r="D271" s="98"/>
      <c r="E271" s="98"/>
      <c r="F271" s="98"/>
      <c r="G271" s="97"/>
      <c r="H271" s="97"/>
      <c r="I271" s="98"/>
      <c r="J271" s="114"/>
      <c r="K271" s="98"/>
      <c r="L271" s="98"/>
      <c r="M271" s="98"/>
      <c r="N271" s="98"/>
      <c r="O271" s="95"/>
      <c r="P271" s="98"/>
      <c r="Q271" s="86"/>
      <c r="R271" s="98"/>
      <c r="S271" s="98"/>
      <c r="T271" s="98"/>
      <c r="U271" s="3"/>
      <c r="V271" s="114"/>
      <c r="W271" s="114"/>
      <c r="X271" s="3">
        <f t="shared" ca="1" si="0"/>
        <v>-46085</v>
      </c>
      <c r="Y271" s="96" t="str">
        <f ca="1">IF(X271&gt;=60,"Vigente",IF(AND(X271&gt;=1,X271&lt;=59),"Por Vencer","Vencido"))</f>
        <v>Vencido</v>
      </c>
      <c r="Z271" s="96"/>
    </row>
    <row r="272" spans="1:26" hidden="1">
      <c r="A272" s="92">
        <v>274</v>
      </c>
      <c r="B272" s="96"/>
      <c r="C272" s="3"/>
      <c r="D272" s="98"/>
      <c r="E272" s="98"/>
      <c r="F272" s="98"/>
      <c r="G272" s="97"/>
      <c r="H272" s="97"/>
      <c r="I272" s="98"/>
      <c r="J272" s="114"/>
      <c r="K272" s="98"/>
      <c r="L272" s="98"/>
      <c r="M272" s="98"/>
      <c r="N272" s="98"/>
      <c r="O272" s="95"/>
      <c r="P272" s="98"/>
      <c r="Q272" s="86"/>
      <c r="R272" s="98"/>
      <c r="S272" s="98"/>
      <c r="T272" s="98"/>
      <c r="U272" s="3"/>
      <c r="V272" s="114"/>
      <c r="W272" s="114"/>
      <c r="X272" s="3">
        <f t="shared" ca="1" si="0"/>
        <v>-46085</v>
      </c>
      <c r="Y272" s="96" t="str">
        <f ca="1">IF(X272&gt;=60,"Vigente",IF(AND(X272&gt;=1,X272&lt;=59),"Por Vencer","Vencido"))</f>
        <v>Vencido</v>
      </c>
      <c r="Z272" s="96"/>
    </row>
    <row r="273" spans="1:26">
      <c r="A273" s="124"/>
      <c r="B273" s="122"/>
      <c r="C273" s="99"/>
      <c r="D273" s="99"/>
      <c r="E273" s="99"/>
      <c r="F273" s="99"/>
      <c r="G273" s="106"/>
      <c r="H273" s="99"/>
      <c r="I273" s="99"/>
      <c r="J273" s="99"/>
      <c r="K273" s="99"/>
      <c r="L273" s="99"/>
      <c r="M273" s="99"/>
      <c r="N273" s="99"/>
      <c r="O273" s="115"/>
      <c r="P273" s="99"/>
      <c r="Q273" s="87"/>
      <c r="R273" s="99"/>
      <c r="S273" s="99"/>
      <c r="T273" s="99"/>
      <c r="U273" s="121"/>
      <c r="V273" s="99"/>
      <c r="W273" s="99"/>
      <c r="X273" s="121"/>
      <c r="Y273" s="122"/>
      <c r="Z273" s="122"/>
    </row>
    <row r="274" spans="1:26" ht="19.5" customHeight="1">
      <c r="A274" s="92"/>
      <c r="B274" s="96"/>
      <c r="C274" s="98"/>
      <c r="D274" s="98"/>
      <c r="E274" s="98"/>
      <c r="F274" s="98"/>
      <c r="G274" s="97"/>
      <c r="H274" s="98"/>
      <c r="I274" s="98"/>
      <c r="J274" s="98"/>
      <c r="K274" s="98"/>
      <c r="L274" s="98"/>
      <c r="M274" s="98"/>
      <c r="N274" s="98"/>
      <c r="O274" s="95"/>
      <c r="P274" s="98"/>
      <c r="Q274" s="86"/>
      <c r="R274" s="98"/>
      <c r="S274" s="98"/>
      <c r="T274" s="98"/>
      <c r="U274" s="3"/>
      <c r="V274" s="98"/>
      <c r="W274" s="98"/>
      <c r="X274" s="3"/>
      <c r="Y274" s="96"/>
      <c r="Z274" s="96"/>
    </row>
    <row r="275" spans="1:26">
      <c r="A275" s="92"/>
      <c r="B275" s="96"/>
      <c r="C275" s="98"/>
      <c r="D275" s="98"/>
      <c r="E275" s="98"/>
      <c r="F275" s="98"/>
      <c r="G275" s="97"/>
      <c r="H275" s="98"/>
      <c r="I275" s="98"/>
      <c r="J275" s="98"/>
      <c r="K275" s="98"/>
      <c r="L275" s="98"/>
      <c r="M275" s="98"/>
      <c r="N275" s="98"/>
      <c r="O275" s="95"/>
      <c r="P275" s="98"/>
      <c r="Q275" s="86"/>
      <c r="R275" s="98"/>
      <c r="S275" s="98"/>
      <c r="T275" s="98"/>
      <c r="U275" s="3"/>
      <c r="V275" s="98"/>
      <c r="W275" s="98"/>
      <c r="X275" s="3"/>
      <c r="Y275" s="96"/>
      <c r="Z275" s="96"/>
    </row>
    <row r="278" spans="1:26">
      <c r="C278" s="1"/>
    </row>
  </sheetData>
  <sortState xmlns:xlrd2="http://schemas.microsoft.com/office/spreadsheetml/2017/richdata2" ref="A2:Z203">
    <sortCondition ref="C1:C203"/>
  </sortState>
  <phoneticPr fontId="1" type="noConversion"/>
  <dataValidations count="5">
    <dataValidation type="list" allowBlank="1" showInputMessage="1" showErrorMessage="1" sqref="G250:G275 G2:G241" xr:uid="{00000000-0002-0000-0200-000000000000}">
      <formula1>"Ovalle, Punitaqui ,Rio Hurtado, Combarbala, Monte patria"</formula1>
    </dataValidation>
    <dataValidation type="list" allowBlank="1" showInputMessage="1" showErrorMessage="1" sqref="K55 K60:K62 K64:K66 K88:K89 K91 K5:K12 K73:K74 K24:K31 K71 K93:K100 K33:K36 K49:K52 K111 K156 K196 K219 K114:K117 K250 K20:K22 K38:K46 K102:K105 K119:K126 K128:K142 K83:K85 K57 K14:K18 K76:K81 K107:K108" xr:uid="{00000000-0002-0000-0200-000003000000}">
      <formula1>"Si, No"</formula1>
    </dataValidation>
    <dataValidation type="list" allowBlank="1" showInputMessage="1" showErrorMessage="1" sqref="M54 M58 M52" xr:uid="{00000000-0002-0000-0200-000004000000}">
      <formula1>"Buen estado, Regular estado, Dismovilizado"</formula1>
    </dataValidation>
    <dataValidation type="list" allowBlank="1" showInputMessage="1" showErrorMessage="1" sqref="Q96 Q43 Q14 Q62:Q64 Q50:Q60" xr:uid="{00000000-0002-0000-0200-000005000000}">
      <formula1>"B2 MICROGLOBULINA/ALBUMINA , TAC TAP, TAC + CINTIGRAMA OSEO , TAC TAP + RMN, TAC CTAP, Cintigrama Oseo, PET-CT, PET-CT FDG, PET-CT PSMA, PET-CT DOTATE, CINTIGRAMA OSEO, TAC TAP/BP MO"</formula1>
    </dataValidation>
    <dataValidation type="list" allowBlank="1" showInputMessage="1" showErrorMessage="1" sqref="L236 L238:L241 L176:L185 L187:L190 L227:L229 L212:L223 L231 L169:L171 L208:L210 L203:L206 L164:L167 L234 L155:L160 L194:L200 L249 L2:L153" xr:uid="{00000000-0002-0000-0200-000002000000}">
      <formula1>"Sospecha, Confirmacion, Etapificacion, Tratamiento, Descarte, Seguimiento"</formula1>
    </dataValidation>
  </dataValidations>
  <pageMargins left="0.25" right="0.25" top="0.75" bottom="0.75" header="0.3" footer="0.3"/>
  <pageSetup paperSize="5" scale="31"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920890E513590489C491798FB2D34E1" ma:contentTypeVersion="3" ma:contentTypeDescription="Crear nuevo documento." ma:contentTypeScope="" ma:versionID="669702fb992fc1133f9b178ab376ca3f">
  <xsd:schema xmlns:xsd="http://www.w3.org/2001/XMLSchema" xmlns:xs="http://www.w3.org/2001/XMLSchema" xmlns:p="http://schemas.microsoft.com/office/2006/metadata/properties" xmlns:ns2="13caeeff-fc89-4e54-8ff7-5d5e5986c583" targetNamespace="http://schemas.microsoft.com/office/2006/metadata/properties" ma:root="true" ma:fieldsID="182f1d80fb21fb810ba2b0cf6370c5a3" ns2:_="">
    <xsd:import namespace="13caeeff-fc89-4e54-8ff7-5d5e5986c58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caeeff-fc89-4e54-8ff7-5d5e5986c5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3955CC5-03AC-4770-8328-BFF0C20E85BA}"/>
</file>

<file path=customXml/itemProps2.xml><?xml version="1.0" encoding="utf-8"?>
<ds:datastoreItem xmlns:ds="http://schemas.openxmlformats.org/officeDocument/2006/customXml" ds:itemID="{69B37B61-A3B9-4BFE-8EEF-D02322E8AF35}"/>
</file>

<file path=customXml/itemProps3.xml><?xml version="1.0" encoding="utf-8"?>
<ds:datastoreItem xmlns:ds="http://schemas.openxmlformats.org/officeDocument/2006/customXml" ds:itemID="{63497DEC-E0B8-4F16-B7DA-84E8C11865F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2025-12-04T15:35:32Z</dcterms:created>
  <dcterms:modified xsi:type="dcterms:W3CDTF">2026-03-04T03:39:20Z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0x010100E920890E513590489C491798FB2D34E1</vt:lpwstr>
  </property>
</Properties>
</file>