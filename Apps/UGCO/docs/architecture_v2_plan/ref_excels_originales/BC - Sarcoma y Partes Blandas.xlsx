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mc:AlternateContent xmlns:mc="http://schemas.openxmlformats.org/markup-compatibility/2006">
    <mc:Choice Requires="x15">
      <x15ac:absPath xmlns:x15ac="http://schemas.microsoft.com/office/spreadsheetml/2010/11/ac" url="Q:\Gestión de casos Oncologicos\BIENVENIDOS A BAJO CONTROL\ESPECIALIDADES\"/>
    </mc:Choice>
  </mc:AlternateContent>
  <xr:revisionPtr revIDLastSave="0" documentId="8_{6F3A8162-9581-4A61-85CA-4401FB8CD41C}" xr6:coauthVersionLast="47" xr6:coauthVersionMax="47" xr10:uidLastSave="{00000000-0000-0000-0000-000000000000}"/>
  <bookViews>
    <workbookView xWindow="-120" yWindow="-120" windowWidth="29040" windowHeight="15720" tabRatio="584" firstSheet="3" activeTab="3" xr2:uid="{00000000-000D-0000-FFFF-FFFF00000000}"/>
  </bookViews>
  <sheets>
    <sheet name="EGRESOS" sheetId="2" r:id="rId1"/>
    <sheet name="COMITE PENDIENTE" sheetId="14" r:id="rId2"/>
    <sheet name="Hoja2" sheetId="16" r:id="rId3"/>
    <sheet name="BAJO CONTROL RESTABLECIDO" sheetId="15" r:id="rId4"/>
    <sheet name="CONTROL PENDIENTE" sheetId="12" r:id="rId5"/>
    <sheet name="P)Cx MENOR" sheetId="13" r:id="rId6"/>
    <sheet name="Hoja1" sheetId="11" state="hidden" r:id="rId7"/>
  </sheets>
  <definedNames>
    <definedName name="_xlnm._FilterDatabase" localSheetId="0" hidden="1">EGRESOS!$A$4:$AR$36</definedName>
    <definedName name="_xlnm._FilterDatabase" localSheetId="3" hidden="1">'BAJO CONTROL RESTABLECIDO'!$A$1:$AB$83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3" i="15" l="1"/>
  <c r="Y83" i="15"/>
  <c r="X82" i="15"/>
  <c r="Y82" i="15"/>
  <c r="X32" i="15"/>
  <c r="X76" i="15"/>
  <c r="X28" i="15"/>
  <c r="Y28" i="15" s="1"/>
  <c r="X37" i="15"/>
  <c r="Y37" i="15" s="1"/>
  <c r="X70" i="15"/>
  <c r="Y70" i="15" s="1"/>
  <c r="X69" i="15"/>
  <c r="Y69" i="15" s="1"/>
  <c r="X78" i="15"/>
  <c r="Y78" i="15" s="1"/>
  <c r="X26" i="15"/>
  <c r="Y26" i="15" s="1"/>
  <c r="X25" i="15"/>
  <c r="Y25" i="15" s="1"/>
  <c r="X65" i="15"/>
  <c r="Y65" i="15" s="1"/>
  <c r="X64" i="15"/>
  <c r="Y64" i="15" s="1"/>
  <c r="X63" i="15"/>
  <c r="Y63" i="15" s="1"/>
  <c r="X62" i="15"/>
  <c r="Y62" i="15" s="1"/>
  <c r="X24" i="15"/>
  <c r="Y24" i="15" s="1"/>
  <c r="X60" i="15"/>
  <c r="Y60" i="15" s="1"/>
  <c r="X59" i="15"/>
  <c r="Y59" i="15" s="1"/>
  <c r="X58" i="15"/>
  <c r="Y58" i="15" s="1"/>
  <c r="X57" i="15"/>
  <c r="Y57" i="15" s="1"/>
  <c r="X56" i="15"/>
  <c r="Y56" i="15" s="1"/>
  <c r="X75" i="15"/>
  <c r="Y75" i="15" s="1"/>
  <c r="X23" i="15"/>
  <c r="Y23" i="15" s="1"/>
  <c r="X53" i="15"/>
  <c r="Y53" i="15" s="1"/>
  <c r="X74" i="15"/>
  <c r="Y74" i="15" s="1"/>
  <c r="X51" i="15"/>
  <c r="Y51" i="15" s="1"/>
  <c r="X50" i="15"/>
  <c r="Y50" i="15" s="1"/>
  <c r="X72" i="15"/>
  <c r="Y72" i="15" s="1"/>
  <c r="X20" i="15"/>
  <c r="Y20" i="15" s="1"/>
  <c r="X48" i="15"/>
  <c r="Y48" i="15" s="1"/>
  <c r="X71" i="15"/>
  <c r="Y71" i="15" s="1"/>
  <c r="X47" i="15"/>
  <c r="Y47" i="15" s="1"/>
  <c r="X36" i="15"/>
  <c r="Y36" i="15" s="1"/>
  <c r="X18" i="15"/>
  <c r="Y18" i="15" s="1"/>
  <c r="X42" i="15"/>
  <c r="Y42" i="15" s="1"/>
  <c r="X46" i="15"/>
  <c r="Y46" i="15" s="1"/>
  <c r="X40" i="15"/>
  <c r="Y40" i="15" s="1"/>
  <c r="X16" i="15"/>
  <c r="Y16" i="15" s="1"/>
  <c r="X14" i="15"/>
  <c r="Y14" i="15" s="1"/>
  <c r="X12" i="15"/>
  <c r="Y12" i="15" s="1"/>
  <c r="X68" i="15"/>
  <c r="Y68" i="15" s="1"/>
  <c r="X35" i="15"/>
  <c r="Y35" i="15" s="1"/>
  <c r="X45" i="15"/>
  <c r="Y45" i="15" s="1"/>
  <c r="X33" i="15"/>
  <c r="Y33" i="15" s="1"/>
  <c r="X67" i="15"/>
  <c r="Y67" i="15" s="1"/>
  <c r="X31" i="15"/>
  <c r="Y31" i="15" s="1"/>
  <c r="X30" i="15"/>
  <c r="Y30" i="15" s="1"/>
  <c r="X29" i="15"/>
  <c r="Y29" i="15" s="1"/>
  <c r="X66" i="15"/>
  <c r="Y66" i="15" s="1"/>
  <c r="X27" i="15"/>
  <c r="Y27" i="15" s="1"/>
  <c r="X61" i="15"/>
  <c r="Y61" i="15" s="1"/>
  <c r="X10" i="15"/>
  <c r="Y10" i="15" s="1"/>
  <c r="X55" i="15"/>
  <c r="Y55" i="15" s="1"/>
  <c r="X54" i="15"/>
  <c r="Y54" i="15" s="1"/>
  <c r="X22" i="15"/>
  <c r="Y22" i="15" s="1"/>
  <c r="X21" i="15"/>
  <c r="Y21" i="15" s="1"/>
  <c r="X44" i="15"/>
  <c r="Y44" i="15" s="1"/>
  <c r="X19" i="15"/>
  <c r="Y19" i="15" s="1"/>
  <c r="X9" i="15"/>
  <c r="Y9" i="15" s="1"/>
  <c r="X17" i="15"/>
  <c r="Y17" i="15" s="1"/>
  <c r="X43" i="15"/>
  <c r="Y43" i="15" s="1"/>
  <c r="X15" i="15"/>
  <c r="Y15" i="15" s="1"/>
  <c r="X41" i="15"/>
  <c r="Y41" i="15" s="1"/>
  <c r="X13" i="15"/>
  <c r="Y13" i="15" s="1"/>
  <c r="X52" i="15"/>
  <c r="Y52" i="15" s="1"/>
  <c r="X11" i="15"/>
  <c r="Y11" i="15" s="1"/>
  <c r="X34" i="15"/>
  <c r="Y34" i="15" s="1"/>
  <c r="X8" i="15"/>
  <c r="Y8" i="15" s="1"/>
  <c r="X39" i="15"/>
  <c r="Y39" i="15" s="1"/>
  <c r="X7" i="15"/>
  <c r="Y7" i="15" s="1"/>
  <c r="X6" i="15"/>
  <c r="Y6" i="15" s="1"/>
  <c r="X5" i="15"/>
  <c r="Y5" i="15" s="1"/>
  <c r="X4" i="15"/>
  <c r="Y4" i="15" s="1"/>
  <c r="X3" i="15"/>
  <c r="Y3" i="15" s="1"/>
  <c r="X2" i="15"/>
  <c r="Y2" i="15" s="1"/>
  <c r="X73" i="15"/>
  <c r="Y73" i="15" s="1"/>
  <c r="X38" i="15"/>
  <c r="Y38" i="15" s="1"/>
  <c r="Y32" i="15"/>
  <c r="Y76" i="15"/>
  <c r="X77" i="15"/>
  <c r="Y77" i="15" s="1"/>
  <c r="X49" i="15"/>
  <c r="Y49" i="15" s="1"/>
  <c r="X79" i="15"/>
  <c r="Y79" i="15" s="1"/>
  <c r="X80" i="15"/>
  <c r="Y80" i="15" s="1"/>
  <c r="X81" i="15"/>
  <c r="Y81" i="15" s="1"/>
  <c r="X85" i="15"/>
  <c r="Y85" i="15" s="1"/>
  <c r="X39" i="2"/>
  <c r="Y39" i="2" s="1"/>
  <c r="X38" i="2"/>
  <c r="Y38" i="2" s="1"/>
  <c r="X37" i="2" l="1"/>
  <c r="Y37" i="2" s="1"/>
  <c r="V35" i="2" l="1"/>
  <c r="U34" i="2"/>
  <c r="V34" i="2" s="1"/>
  <c r="U33" i="2"/>
  <c r="V33" i="2" s="1"/>
  <c r="U32" i="2"/>
  <c r="V32" i="2" s="1"/>
  <c r="U31" i="2"/>
  <c r="V31" i="2" s="1"/>
  <c r="U30" i="2"/>
  <c r="V30" i="2" s="1"/>
  <c r="U29" i="2"/>
  <c r="V29" i="2" s="1"/>
  <c r="U28" i="2"/>
  <c r="V28" i="2" s="1"/>
  <c r="U27" i="2"/>
  <c r="V27" i="2" s="1"/>
  <c r="U26" i="2"/>
  <c r="V26" i="2" s="1"/>
  <c r="U25" i="2"/>
  <c r="V25" i="2" s="1"/>
  <c r="U24" i="2"/>
  <c r="V24" i="2" s="1"/>
  <c r="U23" i="2"/>
  <c r="V23" i="2" s="1"/>
  <c r="U22" i="2"/>
  <c r="V22" i="2" s="1"/>
  <c r="U21" i="2"/>
  <c r="V21" i="2" s="1"/>
  <c r="U20" i="2"/>
  <c r="V20" i="2" s="1"/>
</calcChain>
</file>

<file path=xl/sharedStrings.xml><?xml version="1.0" encoding="utf-8"?>
<sst xmlns="http://schemas.openxmlformats.org/spreadsheetml/2006/main" count="1821" uniqueCount="750">
  <si>
    <t>GES/NO GES</t>
  </si>
  <si>
    <t xml:space="preserve">Nombre </t>
  </si>
  <si>
    <t xml:space="preserve">RUT </t>
  </si>
  <si>
    <t>DV</t>
  </si>
  <si>
    <t>Edad</t>
  </si>
  <si>
    <t>Comuna</t>
  </si>
  <si>
    <t>Tipo de Cáncer</t>
  </si>
  <si>
    <t>AÑO DG</t>
  </si>
  <si>
    <t>Fecha resultado</t>
  </si>
  <si>
    <t>CPYAD</t>
  </si>
  <si>
    <t>Etapa Clinica</t>
  </si>
  <si>
    <t>Fecha de Comité</t>
  </si>
  <si>
    <t>Indicación de Comité</t>
  </si>
  <si>
    <t>Centro de Derivación</t>
  </si>
  <si>
    <t xml:space="preserve">ESTADO DE CASO </t>
  </si>
  <si>
    <t>CAUSAL</t>
  </si>
  <si>
    <t xml:space="preserve">SEGUIMIENTO ENFERMERIA </t>
  </si>
  <si>
    <t xml:space="preserve">PERIODICIDAD DE SEGUIMIENTO </t>
  </si>
  <si>
    <t xml:space="preserve">PROFESIONAL </t>
  </si>
  <si>
    <t>FECHA DE CONTROL</t>
  </si>
  <si>
    <t xml:space="preserve">DIAS </t>
  </si>
  <si>
    <t>ESTADO</t>
  </si>
  <si>
    <t xml:space="preserve">OBSERVACIONES </t>
  </si>
  <si>
    <t>OB.1</t>
  </si>
  <si>
    <t>NO GES</t>
  </si>
  <si>
    <t>CHRISTIAN TABILO ARAYA</t>
  </si>
  <si>
    <t xml:space="preserve">Punitaqui </t>
  </si>
  <si>
    <t xml:space="preserve">SARCOMA DE KAPOSI </t>
  </si>
  <si>
    <t>SI</t>
  </si>
  <si>
    <t>Seguimiento</t>
  </si>
  <si>
    <t>OPTIMIZAR PARAMETROS INFECCIOSOS ( CARGA VIRAL Y CD4) , EVALUACION POR HEMATOLOGIA PARA DESCARTAR LINFOMA , IMGRESO A CUIDADOS PALIATIVOS . EVALUACION POR NUTRICION</t>
  </si>
  <si>
    <t>Hospital de Ovalle (HDATL)</t>
  </si>
  <si>
    <t>DE HEMATOLGOIA SE SOLCITA BP MO PARA DESCARTAR LINFOMA/ se debe representar por sarcoma y partes blandas/ caso representado a comité 12-07-2023, paciente realiza tto en extrasistema (3 ciclo de 6) paciente con anemia, SE ENTREGA RECETA CON MEDICAMENTOS (OMEPRAZOL, AC FOLICO, LEVOTIROXINA), DRA CARABALLO INDICA CONTROL CON HEMOGRAMA PARA CONTINUIDAD DE TTO CON ERITROPOYETINA Y POSTERIOR CONTROL MEDICO- CONTROL CON DRA CARABALLO EL DIA 31-'7 PACIENTE SE EALIZA TRASFUSION EN SU HOV,  CONTROL EN 15 DIAS CON EXS DE LAB + BPMO (INFORME LISTO) PACIENTE REFIERE QUE EN ESA FECHA SE ENCONTRARA EN STGO POR RELIZAACION DE QUIMIO SE AGENDA HORA PARA RETORNO EL DIA 21-08</t>
  </si>
  <si>
    <t xml:space="preserve">EXTRASISTEMA </t>
  </si>
  <si>
    <t xml:space="preserve">NORMA TAPIA CANGANA </t>
  </si>
  <si>
    <t>Ovalle</t>
  </si>
  <si>
    <t xml:space="preserve">ENFERMEDAD DE BROWEN </t>
  </si>
  <si>
    <t xml:space="preserve">CONFIRMACION </t>
  </si>
  <si>
    <t>n/a</t>
  </si>
  <si>
    <t>SE EGRESA CASO POR FALLECIMIENTO  01-09-2023</t>
  </si>
  <si>
    <t>FALLECIDO</t>
  </si>
  <si>
    <t xml:space="preserve">NO GES </t>
  </si>
  <si>
    <t>MARIO MIRANDA ARAYA</t>
  </si>
  <si>
    <t>SARCOMA</t>
  </si>
  <si>
    <t>Sospecha</t>
  </si>
  <si>
    <t>egreso por traslado a ciudasd de origen calama. 13-01-2024</t>
  </si>
  <si>
    <t>EDMUNDO MUÑOZ (-)</t>
  </si>
  <si>
    <t>Combarbala</t>
  </si>
  <si>
    <t>Cáncer de la piel</t>
  </si>
  <si>
    <t xml:space="preserve">sin BP solo clinica </t>
  </si>
  <si>
    <t>NO</t>
  </si>
  <si>
    <t>Se gestiona pab de cx menor Dr. Osman 15-06-2023</t>
  </si>
  <si>
    <t>sin clinica para sospecha diagnóstica. Se egresa de seguimiento 11/02/24</t>
  </si>
  <si>
    <t>AMABLE TAPIA TAPIA</t>
  </si>
  <si>
    <t xml:space="preserve">MONTE PATRIA </t>
  </si>
  <si>
    <t xml:space="preserve">CARCINOMA SOLIDO POBREMENTE DIFERENCIADO </t>
  </si>
  <si>
    <t>pendiente</t>
  </si>
  <si>
    <t>EN CURSO</t>
  </si>
  <si>
    <t>PENDIENTE</t>
  </si>
  <si>
    <t xml:space="preserve">PENDIENTE </t>
  </si>
  <si>
    <t xml:space="preserve">CON RESULTADOS </t>
  </si>
  <si>
    <t>CIRUGIA HOV</t>
  </si>
  <si>
    <t>AMBLE TAPIA TAPIA</t>
  </si>
  <si>
    <t>ISRAEL ASTUDILLO SALINAS</t>
  </si>
  <si>
    <t>COMBARBALA</t>
  </si>
  <si>
    <t>Carcinoma Espinocelular, Carcinoma Basocelular</t>
  </si>
  <si>
    <t>PACIENTE SIN DESEO DE CX NI TRATAMIENTO COMPLEMENTARIO, CUIDADOS PALIATIVOS EXCLUSIVOS</t>
  </si>
  <si>
    <t>Seguimiento Enf: 2/4 Paciente Fallecido.</t>
  </si>
  <si>
    <t xml:space="preserve">1 mes </t>
  </si>
  <si>
    <t>HOV</t>
  </si>
  <si>
    <t>FELISA ARAYA BAHAMONDES</t>
  </si>
  <si>
    <t>OVALLE</t>
  </si>
  <si>
    <t>MELANOMA ACRAL IN ITU.</t>
  </si>
  <si>
    <t>2021 E</t>
  </si>
  <si>
    <t>Seguimiento Enf: Paciente Fallecido.</t>
  </si>
  <si>
    <t xml:space="preserve">CIRUGIA HOV </t>
  </si>
  <si>
    <t>ERIKA DE LOURDES VARGAS MOREL</t>
  </si>
  <si>
    <t>metastasis axilar de tumor primario de extremidad superior derecha</t>
  </si>
  <si>
    <t>CUIDADOS PALIATIVOS EXCLUSIVOS EN POLI DOLOR HOV</t>
  </si>
  <si>
    <t xml:space="preserve">CUIDADOS PALIATIVOS EXCLUSIVOS. </t>
  </si>
  <si>
    <t>Seguimiento 01-03-2024</t>
  </si>
  <si>
    <t>MARTA ELENA TABILO GARCÍA</t>
  </si>
  <si>
    <t>CARCINOMA POBREMENTE DIFERENCIADO</t>
  </si>
  <si>
    <t>Tratamiento</t>
  </si>
  <si>
    <t xml:space="preserve">Corresponde solicitar CGO y Eco cardio. Instalación de CVC por HPO. Derivar a Poli oncología para
QT a título según estudios.
</t>
  </si>
  <si>
    <t>Seguimiento Enf: Según resolución comité se solicita cintigrama oseo (Listo 15/3), instalación de CVC (listo 18/3), toma de ECOcardio (Listo) y derivar a poli oncología (IC lista).  el 22/3 se informa CVC y CGO listo, UPM envía correo para solicitar hora, en espera HLS para atención. PACIENTE NO CORRESPONDE SEGUIMIENTO POR ONCO PARTES BLANDAS, CORRESPONDE A UPM.</t>
  </si>
  <si>
    <t>Con resultados</t>
  </si>
  <si>
    <t>PACIENTE NO CORRESPONDE SEGUIMIENTO POR PARTES BLANDAS, CORRESPONDE POR UPM, SE HABLA CON VERONICA (9/4) QUIEN ME CONFIRMA INFORMACIÓN SE ENCUENTRA BAJO SU SEGUIMIENTO</t>
  </si>
  <si>
    <t xml:space="preserve">JAIME ZOLUAGA DORN </t>
  </si>
  <si>
    <t>CARCINOMA ESPINOCELULAR MULTIFOCAL.</t>
  </si>
  <si>
    <t>CONFIRMACIÓN</t>
  </si>
  <si>
    <t>Paciente en ECOG 3, paciente y familia rechaza tratamiento . Corresponde alivio del dolor y cuidados paliativos exclusivos en hospital de origen.</t>
  </si>
  <si>
    <t>DETENIDO</t>
  </si>
  <si>
    <t>CPE</t>
  </si>
  <si>
    <t>Seguimiento Enf: 15/4 Paciente Fallecido.</t>
  </si>
  <si>
    <t>CADA 1 MES</t>
  </si>
  <si>
    <t xml:space="preserve"> 21-02-2024</t>
  </si>
  <si>
    <t>LUIS HIDALGO TORREJON</t>
  </si>
  <si>
    <t>OBS LESION TUMORAL PARRILLA COSTAL</t>
  </si>
  <si>
    <t xml:space="preserve">NO </t>
  </si>
  <si>
    <t xml:space="preserve">EN CURSO </t>
  </si>
  <si>
    <t>Seguimiento Enf: Se pideFCL para revisar protocolo operatorio el cual no se encuentran archivos. Dr. Manuel refiere que caso esta entregado a dra diana hurtado, se agenda con Dra Hurtado día 15-03.  Seguimiento por oncologia. Seguimiento Enfermería: 13/3 atendido por Dra Hurtado, se mantiene tto, se solicita gasometría arterial y control en 1 mes con resultados. 15/4 se traspasa información a Karlita para que lo citen. 30/5 se reitera solicitud para que sea citado, 1/7 usuario tuvo resultado sin evidencia de neoplasia con tejido fibroso.</t>
  </si>
  <si>
    <t>1 mes</t>
  </si>
  <si>
    <t>HOV (Dra. Hurtado)</t>
  </si>
  <si>
    <t>NO ONCOLÓGICO.</t>
  </si>
  <si>
    <t>JORGE ROA RIVERA</t>
  </si>
  <si>
    <t>PS: 1079508037/ 001189863</t>
  </si>
  <si>
    <t>Sarcoma Interescapular</t>
  </si>
  <si>
    <t>Etapificacion</t>
  </si>
  <si>
    <t>MOTIVOS DEL PACIENTE ( INUBICABLE)</t>
  </si>
  <si>
    <t xml:space="preserve">TELEFONO: 977042349 (UNICO NUMERO DE CONTACTO), PACIENTE EXTRANJERO COLOMBIANO, CONTROL CON RESULTADOS DE ESTUDIOS. </t>
  </si>
  <si>
    <t>PACIENTE INCONTACTABLE.</t>
  </si>
  <si>
    <t xml:space="preserve">MARTA HAYDEÉ COFRÉ SANDOVAL </t>
  </si>
  <si>
    <t>CARCINOMA ESPINOCELULAR DE DEDO ANULAR</t>
  </si>
  <si>
    <t>tratamiento</t>
  </si>
  <si>
    <t>CORRESPONDE DERIVAR A PARTES BLANDAS HLS PARA CONDUCTA QUIRURIGICA ( AMPUTACION + GC) , EVALAUCION POR HEMATOLOGIA ( ESTUDIO DE SINDROME ANEMICO ) Y PANENDOSCOPIA</t>
  </si>
  <si>
    <t>HLS</t>
  </si>
  <si>
    <r>
      <rPr>
        <sz val="11"/>
        <color theme="1"/>
        <rFont val="Calibri"/>
        <family val="2"/>
        <scheme val="minor"/>
      </rPr>
      <t xml:space="preserve">Seguimiento Enf: CX REALIZADA EL 29-1-24, el 11/3 evaluada por Dr. Romano quien toma bp linfonodo, EN ESPERA DE resultado bp. 1/4 asiste hija a consultar, bp se tomo 29/1/24, se llama a anatopato HSP donde informan que se encuentra en sistema pero pendiente resultado (aprox fines de Abril/24). 7/5 SE RECIBE RESULTADO BP, 22/5 se recibe respuesta correo HLS, paciente será citada para el 10/6. Usuaria fue presentada a comité RDT.P) Seguimiento Julio o atento comité PB. 9/7 acude familiar, usuaria en MQ3 en aislamiento, tiene hora el 17/7 en HLS para ev. biopsia. 12/7 </t>
    </r>
    <r>
      <rPr>
        <b/>
        <sz val="11"/>
        <color theme="1"/>
        <rFont val="Calibri"/>
        <family val="2"/>
        <scheme val="minor"/>
      </rPr>
      <t>se recibe noticia usuaria FALLECIDA.</t>
    </r>
  </si>
  <si>
    <t>CON RESULTADOS</t>
  </si>
  <si>
    <t>CIRUGIA HLS</t>
  </si>
  <si>
    <t>12/7 PACIENTE FALLECIDA.</t>
  </si>
  <si>
    <t>rafael rojas lobos</t>
  </si>
  <si>
    <t>Monte patria</t>
  </si>
  <si>
    <t>Lesión dermoepidérmica periareolar superior izquierda.</t>
  </si>
  <si>
    <t>HORAS DE CONTROL</t>
  </si>
  <si>
    <t>Seguimiento Enf: Último control 02/02/24 Se programara para resección y biopsia bajo anestesia local en pabellón de cirugía menor y se realiza solicitud para cirugía. 26-02-2024 Se toma bp, en espera de resultados. Pend agendar c/ resultados. Se agenda para día 28/3 con Dr. Azua, se indica control en 2 meses (Mayo/2024). 27/5 se cita a paciente con Dr. Azúa para 29/5 15:30hrs. Se evalua a paciente, Dr. Azúa decide derivar caso a poli mama, se prioriza IC a jefaLeconsultas, 18/6 se reconsulta por solicitud. Se cita a paciente con dra. alvarez para el 25/6 12:00hrs, sin embargo no asiste por caída. Se reagendará a control x matrona. fue evaluado y se mantendra en controles por poli mama con Dra. Alvarez</t>
  </si>
  <si>
    <t>HOV (Dr. Azúa y Dra. Alvarez)</t>
  </si>
  <si>
    <t>PACIENTE CONTINUARÁ ATENCIONES POR POLI MAMA, DIAGNÓSTICO NO ONCO. SE EGRESA DE BAAJO CONTROL PARTES BLANDAS.</t>
  </si>
  <si>
    <t>Luis Cortés Cortés</t>
  </si>
  <si>
    <t>Monte Patria</t>
  </si>
  <si>
    <t>MELANOMA ACRAL METASTASIS LINFONODAL</t>
  </si>
  <si>
    <t>ETAPIFICACIÓN</t>
  </si>
  <si>
    <t>HOV)</t>
  </si>
  <si>
    <t>Seguimiento Enf: 27/5 Se realiza consulta nueva, se estudia caso, paciente fue evaluado en septiembre/2023 por Dr. Ramos, posteriormente sin atenciones, se estimó toma de bp sin embargo no se llevo a cabo, el paciente consulta viernes 24/05 en urgencias visto por Dr. Miranda quien direcciona caso a la unidad con obs de lesión talar izq con compromiso inguinal. Se cita a paciente con Dr. Matíaz Azúa para el día 29/5 15:00hrs para retomar atenciones, se gestionan bateria exs preoperatorios (vencidos) a modulo oncológico. 30/5 se realiza seguimiento, paciente no asistio por que no se le comunicó hora de asistir. 7/6 se cita paciente para el 10/6 14:30hrs. Paciente evaluado por Dr. azúa, se indica toma de bp, se solicita TAC TAP, se prioriza IC a pabellón cx menor para biopsia, se coordinara toma de TAC para misma fecha y corresponde gestionar traslado con CESFAM Carén. 17/6 se recibe hora de citación para toma de bp el 19/6 14:00hrs, se gestiona orden de TAC para el día 19/6 12:00hrs, se envía correo a colega de CESFAM para gestionar traslado, me acusa recibo. P) CITAR CON RESULTADOS (TAC listo, 29/7 informe bp listo. 29/7 me informa colega enfermera de Caren que usuario falleció el 12/7. Se envia para avisar alertas.</t>
  </si>
  <si>
    <t>HOV (DR. AZÚA)</t>
  </si>
  <si>
    <r>
      <rPr>
        <sz val="11"/>
        <color theme="1"/>
        <rFont val="Calibri"/>
        <family val="2"/>
        <scheme val="minor"/>
      </rPr>
      <t xml:space="preserve">29/7 </t>
    </r>
    <r>
      <rPr>
        <b/>
        <sz val="11"/>
        <color theme="1"/>
        <rFont val="Calibri"/>
        <family val="2"/>
        <scheme val="minor"/>
      </rPr>
      <t>PACIENTE FALLECIDO el 12/7.</t>
    </r>
  </si>
  <si>
    <t>REV (JULIO)</t>
  </si>
  <si>
    <t>GABRIEL DEL TRÁNSITO TORO</t>
  </si>
  <si>
    <t>Sarcoma musculo erector de la columna</t>
  </si>
  <si>
    <r>
      <rPr>
        <sz val="11"/>
        <color theme="1"/>
        <rFont val="Calibri"/>
        <family val="2"/>
        <scheme val="minor"/>
      </rPr>
      <t xml:space="preserve">Seguimiento Enf: 22/4 tomo conocimiento de caso, paciente presentado a comité oncológico el día 9/4, producto de rechazo de paciente se presenta para cuidados paliativos exclusivos. Se cita para 24/4 entrega resolución onco. 25/4 se entrega resolución --&gt; CPE (ingresado con último control 4/3, paciente evaluada el 6/5 por dra. Rodrigues de paliativos y le deja receta por 3 meses. P) seguimiento Agosto/2024. </t>
    </r>
    <r>
      <rPr>
        <b/>
        <sz val="11"/>
        <color theme="1"/>
        <rFont val="Calibri"/>
        <family val="2"/>
        <scheme val="minor"/>
      </rPr>
      <t>27/8 paciente FALLECIDO.</t>
    </r>
  </si>
  <si>
    <t>3 meses</t>
  </si>
  <si>
    <t>HOV (Dr. Azúa)</t>
  </si>
  <si>
    <r>
      <rPr>
        <sz val="11"/>
        <color theme="1"/>
        <rFont val="Calibri"/>
        <family val="2"/>
        <scheme val="minor"/>
      </rPr>
      <t xml:space="preserve">PACIENTE EN CPE. (prox control Agosto/2024) </t>
    </r>
    <r>
      <rPr>
        <b/>
        <sz val="11"/>
        <color theme="1"/>
        <rFont val="Calibri"/>
        <family val="2"/>
        <scheme val="minor"/>
      </rPr>
      <t>27/8 PACIENTE FALLECIDO</t>
    </r>
    <r>
      <rPr>
        <sz val="11"/>
        <color theme="1"/>
        <rFont val="Calibri"/>
        <family val="2"/>
        <scheme val="minor"/>
      </rPr>
      <t>.</t>
    </r>
  </si>
  <si>
    <t>REV(JULIO)</t>
  </si>
  <si>
    <t>OSCAR PIÑONES ROJAS</t>
  </si>
  <si>
    <t>OBS: SARCOMA MUSLO IZQ</t>
  </si>
  <si>
    <r>
      <rPr>
        <sz val="11"/>
        <color theme="1"/>
        <rFont val="Calibri"/>
        <family val="2"/>
        <scheme val="minor"/>
      </rPr>
      <t xml:space="preserve">Seguimiento Enf: 18/4 Recibo conocimiento de caso, paciente derivada por Dr. Salas por obs de sarcoma en muslo izquierdo sugerente de ostiomielitis, se indican toma de examenes para creatinina (a tomar particular 19/4) y orden RM de muslo (orden la tiene paciente la dejará en modulo.  Se prioriza IC el 25/4 a TMT. El 7/5 se revisan ex lab listos en sistema y RM de muslo informada. Se cita para 16/5 09:00hrs c/dr. Azúa. 28/5 se gestiona traslado con U. movilización para 29/5 para sesión QMT. 13/6 paciente continua atenciones x digestivo. P) presentar a comité PB?? (x evolución dr. romero) Consultar dr. Azúa --&gt; me indica que corresponde presentar a digestivo. P) RESULTADOS PARA CITAR c/Dr. ROMERO X FRANCHESCA.. </t>
    </r>
    <r>
      <rPr>
        <b/>
        <sz val="11"/>
        <color theme="1"/>
        <rFont val="Calibri"/>
        <family val="2"/>
        <scheme val="minor"/>
      </rPr>
      <t>27/7 paciente fallecido.</t>
    </r>
  </si>
  <si>
    <t>HOV (DR. Azúa y Dr. Romero)</t>
  </si>
  <si>
    <r>
      <rPr>
        <sz val="11"/>
        <color theme="1"/>
        <rFont val="Calibri"/>
        <family val="2"/>
        <scheme val="minor"/>
      </rPr>
      <t xml:space="preserve">P) Seguimiento Agosto (en tto por dr. Romero). </t>
    </r>
    <r>
      <rPr>
        <b/>
        <sz val="11"/>
        <color theme="1"/>
        <rFont val="Calibri"/>
        <family val="2"/>
        <scheme val="minor"/>
      </rPr>
      <t>27/7 paciente fallecido.</t>
    </r>
  </si>
  <si>
    <t>REV (AGOSTO)</t>
  </si>
  <si>
    <t>ATHOS MILLA MIRANDA</t>
  </si>
  <si>
    <t xml:space="preserve">CARCINOMA ESPINOCELULAR DE MANO </t>
  </si>
  <si>
    <t>En vista de no compromiso axilar x imagenes, ni clinica, no justifica Bx de adenopatia axilar derecha, corresponde derivar a Cirugia Partes Blandas, para definir cirugia a realizar.</t>
  </si>
  <si>
    <r>
      <rPr>
        <sz val="11"/>
        <color theme="1"/>
        <rFont val="Calibri"/>
        <family val="2"/>
        <scheme val="minor"/>
      </rPr>
      <t xml:space="preserve">Seguimineto Enf:  Paciente evaluada el 23-02-2024 por Dr. Velasquez (vascular) , se solicita pabellon para instalación CVC (6/3 se instala cvc) Pendiente control c/ Dr. Elorsa (HLS). Pendiente Seguimiento. 15/4 asiste a nutricionista. 31/5 se realiza seguimiento, inició QMT el 27/3, actualmente en 4to ciclo (realizado 23/5), Dr. elorsa solicitó examenes sangre + escaner (aún P)), tiene control c/dr. elorsa el 5/6, debe completar 6 ciclos de QMT. Pcte cansado, come a tolerancia, sin vomitos ni diarreas. 8/8 se realiza seguimiento, usuario el 3 de julio completo 6to ciclo QMT, 12/7 se tomó TAC TAP  en HLS, tiene informe listo pendiente control c/dr. elorsa (contemplado 25/7 pero sin registro de atención), se consulta por reagendamiento con Dr. Elorsa. P) Seguimiento Octubre. </t>
    </r>
    <r>
      <rPr>
        <b/>
        <sz val="11"/>
        <color theme="1"/>
        <rFont val="Calibri"/>
        <family val="2"/>
        <scheme val="minor"/>
      </rPr>
      <t>23/9 se notifica que usuario falleció, se egresa.</t>
    </r>
  </si>
  <si>
    <t xml:space="preserve">2 meses </t>
  </si>
  <si>
    <t>ONCO HLS (Dr. Elorsa)</t>
  </si>
  <si>
    <t>23/9 paciente fallecido.</t>
  </si>
  <si>
    <t>REV (SEPTIEMBRE)</t>
  </si>
  <si>
    <t>URBERLINDA DEL ROSAR VILLALOBOS</t>
  </si>
  <si>
    <t xml:space="preserve">Melanoma </t>
  </si>
  <si>
    <t>si</t>
  </si>
  <si>
    <t>Solicitar PET-CT y RM de Cerebro. Al contar con estudios realizar solicitud de Inmunoterapia (Nivolumab) título de acuerdo a esto</t>
  </si>
  <si>
    <r>
      <rPr>
        <sz val="11"/>
        <color theme="1"/>
        <rFont val="Calibri"/>
        <family val="2"/>
        <scheme val="minor"/>
      </rPr>
      <t>Seguimiento Enf: 14-3-24 Agendar paciente para controles en HOV en Mayo 2024. Paciente en controles en cuidados paliativos y Alivio del dolor. Paciente última evaluación por Dr. Osman el 21/2 (s indicación prox control). 23/4 se cita para control con Dr. osman para el 31/5 15:00hrs, hijo confirma asistencia. 31/5 dr. osman solicita permiso administrativo para 31/5, por lo que se llama  paciente para reagendar citación para el 4/6 14:00hrs, hijo confirma citación, no asiste. 28/6 se intenta contacto sin embargo no responde, se registra en sidra. 23/7 se realiza agendamiento para el día 7/8 14:00hrs c/Dr. Osman, sin embargo NSP. P) CITAR  c/Dr. OSMAN x ultima vez. 10/9 se realiza agendamiento para el 24/9 10:00hrs c/Dr. OSMAN, s</t>
    </r>
    <r>
      <rPr>
        <b/>
        <sz val="11"/>
        <color theme="1"/>
        <rFont val="Calibri"/>
        <family val="2"/>
        <scheme val="minor"/>
      </rPr>
      <t>in embargo NSP. se egresa x inasistencias.</t>
    </r>
  </si>
  <si>
    <t xml:space="preserve"> 3 meses</t>
  </si>
  <si>
    <t>HOV (Dr. Osman) // Cirugía HLS</t>
  </si>
  <si>
    <r>
      <rPr>
        <sz val="11"/>
        <color theme="1"/>
        <rFont val="Calibri"/>
        <family val="2"/>
        <scheme val="minor"/>
      </rPr>
      <t xml:space="preserve">CITADO 24/9 10:00hrs c/Dr. OSMAN, pero NSP. </t>
    </r>
    <r>
      <rPr>
        <b/>
        <sz val="11"/>
        <color theme="1"/>
        <rFont val="Calibri"/>
        <family val="2"/>
        <scheme val="minor"/>
      </rPr>
      <t>Se egresa, corresponde agendamiento x admisión.</t>
    </r>
  </si>
  <si>
    <t>HECTOR DE JESUS ADONES JOFRE</t>
  </si>
  <si>
    <t>Sotaqui</t>
  </si>
  <si>
    <t xml:space="preserve">LESION DE PARTES BLANDAS </t>
  </si>
  <si>
    <r>
      <rPr>
        <sz val="11"/>
        <color theme="1"/>
        <rFont val="Calibri"/>
        <family val="2"/>
        <scheme val="minor"/>
      </rPr>
      <t>Seguimiento Enf: 14/3 Paciente con estudios realizados, pendiente citar para control en marzo/24 con Dr. M. Rodriguez o Dr. Azúa.  Paciente se cita para día 28/3 con Dr.Azúa a las 11:30hrs. --&gt; indica priorizar IC urologia, 8/4 se prioriza IC. 22/4 se recibe hora para urología 23/4 17:30. Le solicitan más antecedente de sus TU anteriores (Dr. Ascanio), el 2/5 gestora Karla envía correo a HLS pidiendo antecedentes. P) ser citado x urología  y posterior con Dr. Azúa. 7/8 se reciben antecedentes por correo, usuario será citado x urología y luego citar c/Dr. Azúa 9/8 se citará con urología el 12/8. 9/8 se realiza agendamiento 13/8 11:00hrs c/Dr. AZUA, se reagenda citación para el 14/8 12:00hrs c/dr. manuel R, evaluado, se decide derivar a Cx vascular (se prioriza IC, se recibe hora 21/8 09:00hrs), corresponde atencion por vascular y urología (citado 30/8 c/urologo), para luego seguimiento por partes blandas. P) CITAR EN SEPTIEMBRE/2024 c/Dr. azua. 30/9 se realiza agendamiento el 2/10 16:30hrs c/Dr. AZUA, sin embargo NSP. P) REAGENDAR. Citado 8/10 14:00hrs c/Dr AZUA, evaluado se deriva a urología y Dra Lopez lo deriva a hematología, se priorizan ambas IC's. Continuará su proceso x uro (hora con uro el 19/10).</t>
    </r>
    <r>
      <rPr>
        <b/>
        <sz val="11"/>
        <color theme="1"/>
        <rFont val="Calibri"/>
        <family val="2"/>
        <scheme val="minor"/>
      </rPr>
      <t xml:space="preserve"> Dr azua en última atención decide que no corresponden mas atenciones por partes blandas. Se egresa.</t>
    </r>
  </si>
  <si>
    <t xml:space="preserve">3 meses </t>
  </si>
  <si>
    <t>10/10 se priorizan IC a hemato y uro. P) hora // 16/10 se egresa.</t>
  </si>
  <si>
    <t>REV (OCTUBRE)</t>
  </si>
  <si>
    <t>ROSA BUGUEÑO BONILLA</t>
  </si>
  <si>
    <t>TU maligno pared torácica / LIPOMA</t>
  </si>
  <si>
    <t>N/A</t>
  </si>
  <si>
    <r>
      <rPr>
        <sz val="11"/>
        <color theme="1"/>
        <rFont val="Calibri"/>
        <family val="2"/>
        <scheme val="minor"/>
      </rPr>
      <t xml:space="preserve">Seguimiento Enf: 22/8 tomo conocimiento de caso, usuaria evaluada por Dr. Rodriguez en policlínico, usuaria asiste con biopsias particulares tomadas en Mayo/2024, una de ellas positiva para tumor maligno en zona de tórax y LIPOMA, por lo que se realiza IC a policlínico mama y a IC a policlínico partes blandas, se priorizan ambas IC y con Yasna . P) agendamiento (x admisión) c/Dr. AZUA. 27/8 se recibe hora de agendamiento 28/8 15:00hrs c/Dr. azua, evaluada, se indica que falta resultado inmunohistoquimica para presentar a COR PB. P) Consultar a paciente para que traiga bloques y solicitar IHQ en anatopato HOV (2/9 se consulta a paciente para que traiga resultado IHQ, la trae 5/9) 6/9 se cita para informe comité 12/9 11:00hrs, luego presentar a COR PB, sin embargo se cancela poli. P) reagendar cupo para comité oncológico. 23/9 se reagenda cupo para el 25/9 14:00hrs para comité onco, se confecciona informe comité. P) PRESENTAR A COR PB. (26/9 usuaria informa en modulo que quiere ser derivada su proceso a HLS c/Dr. TRUJILLO, P) CONSULTAR C/DR MANUEL). 8/10 recibo informe comite. P) presentar a COR PB. 15/10 se cita para el 15/10 14:00hrs entrega resolución,  </t>
    </r>
    <r>
      <rPr>
        <b/>
        <sz val="11"/>
        <color theme="1"/>
        <rFont val="Calibri"/>
        <family val="2"/>
        <scheme val="minor"/>
      </rPr>
      <t>16/10 evaluada, se define continuar atenciones por poli mama (ya ingresada y Vero en conocimiento), se ingresó a CPYAD. Se egresa.</t>
    </r>
  </si>
  <si>
    <t>HOV (DR. AZUA / MANUEL R.)</t>
  </si>
  <si>
    <t>15/10 evaluada se entrega resolución, continuará por UPM. Se egresa.</t>
  </si>
  <si>
    <t>ORLANDO ORREGO GODOY</t>
  </si>
  <si>
    <t>K</t>
  </si>
  <si>
    <t>CA DE PIEL</t>
  </si>
  <si>
    <r>
      <rPr>
        <sz val="11"/>
        <color theme="1"/>
        <rFont val="Calibri"/>
        <family val="2"/>
        <scheme val="minor"/>
      </rPr>
      <t xml:space="preserve">Seguimiento Enf: Tomo conocimiento de caso, consulta nueva, se trata de usuario que fue evaluado desde urgencias por Dr. Azúa consultando por epigastralgia, distención abdominal, se da de alta con indicación de seguimiento por oncología, se solicitan laboratorios (gestionados por H.Ovalle), eco tiroides + EDA + Colonoscopia (se realizarán particular), paciente con antecedentes de CA de piel. Corresponde citar a poli Cx PB con Dr. Azúa con resultados de examenes solicitados. 13/6 se realiza seguimiento, usuario se realizó estudios, vendrá el Lunes a dejarlos en módulo onco, además se inscribió en CESFAM F.Jorge donde se está viendo patología. 18/6 se reciben resultados de estudios solicitados, corresponde Citar con Dr. Azúa. Se cita a usuario para el 26/6 14:00hrs c/Dr. Azúa, paciente evaluado, se solicita estudio APE (se toma el 28/6) y tiene toma de bp particular en FALP el 1/7, 12/7 se realiza seguimiento, se tomo estudios, le indico que acuda a modulo oncológico, los trae. 17/7 se realiza agendamiento para el 19/7 10:30hrs c/dr. Azúa, se cancela poli x dr. azúa . 22/7 se reagenda para control 22/7 14:30hrs, es evaluado, se plantea Presentar a COR PB e IC a digestivo (no en sistema). 5/8 se agenda para confección de comité el 8/8 12:30hrs, luego presentar a COR PB. 2/9 se guarda nuevamente cupo para comité el 5/9 16:30hrs c/Dr. MAnuel R, se define derivar a digestivo. </t>
    </r>
    <r>
      <rPr>
        <b/>
        <sz val="11"/>
        <color theme="1"/>
        <rFont val="Calibri"/>
        <family val="2"/>
        <scheme val="minor"/>
      </rPr>
      <t>P) pasar caso a franchesca. 17/10 se pasa caso a digestivo (danisa). se egresa de partes blandas, continuará por digestivo.</t>
    </r>
  </si>
  <si>
    <r>
      <rPr>
        <sz val="11"/>
        <color theme="1"/>
        <rFont val="Calibri"/>
        <family val="2"/>
        <scheme val="minor"/>
      </rPr>
      <t xml:space="preserve">P) pasar caso a franchesca para digestivo. </t>
    </r>
    <r>
      <rPr>
        <b/>
        <sz val="11"/>
        <color theme="1"/>
        <rFont val="Calibri"/>
        <family val="2"/>
        <scheme val="minor"/>
      </rPr>
      <t>17/10 se pasa caso a danisa, continuará por digestivo. Se egresa de PB.</t>
    </r>
  </si>
  <si>
    <r>
      <rPr>
        <sz val="11"/>
        <color theme="1"/>
        <rFont val="Calibri"/>
        <family val="2"/>
        <scheme val="minor"/>
      </rPr>
      <t>GABRIEL ENRIQUE</t>
    </r>
    <r>
      <rPr>
        <b/>
        <sz val="11"/>
        <color rgb="FFFFFFFF"/>
        <rFont val="Calibri"/>
        <family val="2"/>
        <scheme val="minor"/>
      </rPr>
      <t> </t>
    </r>
    <r>
      <rPr>
        <sz val="11"/>
        <color theme="1"/>
        <rFont val="Calibri"/>
        <family val="2"/>
        <scheme val="minor"/>
      </rPr>
      <t>ADONES</t>
    </r>
    <r>
      <rPr>
        <b/>
        <sz val="11"/>
        <color rgb="FFFFFFFF"/>
        <rFont val="Calibri"/>
        <family val="2"/>
        <scheme val="minor"/>
      </rPr>
      <t> </t>
    </r>
    <r>
      <rPr>
        <sz val="11"/>
        <color theme="1"/>
        <rFont val="Calibri"/>
        <family val="2"/>
        <scheme val="minor"/>
      </rPr>
      <t>JOFRE</t>
    </r>
  </si>
  <si>
    <t xml:space="preserve">TUMOR DE PELVIS </t>
  </si>
  <si>
    <t>Corresponde derivar al HLS para estudio histológico (Biopsia de la lesión). Y representar.</t>
  </si>
  <si>
    <r>
      <rPr>
        <sz val="11"/>
        <color theme="1"/>
        <rFont val="Calibri"/>
        <family val="2"/>
        <scheme val="minor"/>
      </rPr>
      <t xml:space="preserve">Seguimiento Enf: fecha tentativa de cirugia para primera semana de marzo. Seguimiento 25/3 me comunico con hija, que informa don Gabriel aún no ha tenido cx, se encuentra en lista de espera y no ha recibido llamado. 2/4 se reenvia correo para hora de citación por HLS, 9/4 me responden correo afirmando que última atención fue en 21/2 por Dr.Pablo Araya y que se encuentra en espera de int.qx. Pendiente seguimiento. 27/5 Se realiza seguimiento, fue operado el 16/5 en HLS por Dr. Chaparro, donde se toma bp operatoria (desde 20/5 en HSP. priorizada), se mantiene en curaciones c/7 dias en HLS, fue dado de Alta 21/5, en espera de resultado de biopsia para citar informar HLS y representar a comité. 17/6 se consulta a HSP por biopsia. 25/6 se consulta por biopsia, se recibe, se envia correo a HLS y se sube a sidra. 28/6 me responden correo, usuaria se presentará a comité PB x HLS el 3/7 y será citado postpresentación para resolución. 15/7 se realiza seguimiento, estaba citada el 5/7 c/dr. chaparro pero NSP por pabellón, tiene hora reagendada para el 23/7 c/Dr. Chaparro. Corresponde por resolución seguimiento en HOV, 24/7 fue visto en serena y se deriva a HOV  29/7 citado 29/7 15:00hrs, es evaluado, se indica eco testicular (tiene hora 13/8 en HLS), luego CITAR c/RESULTADOS. 14/8 ya se realizo estudio (P) informe 27/8 aun pend. se prioriza con gestoras HLS.) 4/9  se recibe informe de estudio. 6/9 se cita para el 12/9 15:00hrs con Dr. azua, pero se cancela. 23/9 se reagenda cupo para el día 25/9 15:00hrs c/Dr. Manuel, evaluado, Dr no vio eco testicular pero se le informa, se hará IC a uro (PEND.) 14/10 evaluado se desestima IC a uro, </t>
    </r>
    <r>
      <rPr>
        <b/>
        <sz val="11"/>
        <color theme="1"/>
        <rFont val="Calibri"/>
        <family val="2"/>
        <scheme val="minor"/>
      </rPr>
      <t>se da de alta de PB y continuar por cx general, se envia correo solicitando atención. Se egresa.</t>
    </r>
  </si>
  <si>
    <t>CIRUGIA HLS (Dr. Chaparro) y HOV (Dr. Azúa)</t>
  </si>
  <si>
    <t>21/10 se egresa de bajo control PB, continaur por cirugia general.</t>
  </si>
  <si>
    <t>MARIA GALLARDO GALLARDO</t>
  </si>
  <si>
    <t>MONTE PATRIA</t>
  </si>
  <si>
    <t>LIPOSARCOMA FUSADO con MTT HEPATICA</t>
  </si>
  <si>
    <t>HORAS DE CONTROl</t>
  </si>
  <si>
    <r>
      <rPr>
        <sz val="11"/>
        <color theme="1"/>
        <rFont val="Calibri"/>
        <family val="2"/>
        <scheme val="minor"/>
      </rPr>
      <t xml:space="preserve">Seguimiento Enf: 17/10 tomo conocimiento de caso, usuaria evaluada por extrasistema en FALP, se recibe documentación con informe anatomopatológico positivo para sarcoma de celulas fusadas con metástasis hepática. Se conversa caso en unidad, médico jefe oncología confecciona IC a box cirugia adulto partes blandas, se prioriza IC con jefaLEconsultas y se envia correo correspondiente. Me comunico vía telefónica con hija de usuaria para que acuda a modulo oncológico para entregar documentación y estudios de extrasistema y subir a ficha clínica. P) agendamiento x admisión c/dr Azua. 21/10 se da aviso que usuaria en malas condiciones no asistirá  apoli, debería quedar en CPE. P) CONSULTAR DR AZUA. </t>
    </r>
    <r>
      <rPr>
        <b/>
        <sz val="11"/>
        <color theme="1"/>
        <rFont val="Calibri"/>
        <family val="2"/>
        <scheme val="minor"/>
      </rPr>
      <t>23/10 se da aviso paciente fallecida.</t>
    </r>
  </si>
  <si>
    <t>HOV (DR AZUA)</t>
  </si>
  <si>
    <t>23/10 paciente fallecida.</t>
  </si>
  <si>
    <t>ELOINA AREDONDO MELGAR</t>
  </si>
  <si>
    <t>TUMOR DESMOIDES (benigno)</t>
  </si>
  <si>
    <t>pend.</t>
  </si>
  <si>
    <r>
      <rPr>
        <sz val="11"/>
        <color theme="1"/>
        <rFont val="Calibri"/>
        <family val="2"/>
        <scheme val="minor"/>
      </rPr>
      <t xml:space="preserve">Seguimiento Enf: 31-8-23 plan: se realiza derivación a policlínico de cirugía de mama y partes blandas del HLS para evaluación y planificar cirugía resectiva definitiva. Se notifica HLS por caso de usuaria. HLS contesta correo refieriendo que usuaria será citada a la brevedad. 27/5 Se realiza seguimiento, pcte último control el 7/5 en HLS por dra. Danilova, se evaluan RX's sin malignidad por l oque se encuentra en espera llamado para resolución qx, resección de TU , pcte en buenas condiciones, sin dolor. 29/7 se realiza seguimiento usuaria en espera de resolución qx, primero debe ver a Cx plastico en HLS, se prioriza IC, luego tendrá control con Dra. Danilova, usuaria tiene TU benigno. 30/7 se recibe hora citación c/ Cx plastica en HLS para el 26/8 c/Dr. Jaramillo. </t>
    </r>
    <r>
      <rPr>
        <b/>
        <sz val="11"/>
        <color theme="1"/>
        <rFont val="Calibri"/>
        <family val="2"/>
        <scheme val="minor"/>
      </rPr>
      <t>22/11 seguimiento, usuaria en controles HLS, se egresa x tu benigno de conocimiento.</t>
    </r>
  </si>
  <si>
    <t>22/11 seguimiento, tu benigno en atenciones x hls y cx mama, se egresa.</t>
  </si>
  <si>
    <t>ELSA ELIANA PIZARRO URQUIETA</t>
  </si>
  <si>
    <t xml:space="preserve">Ovalle </t>
  </si>
  <si>
    <t>SARCOMA DE RECTO OP 2019</t>
  </si>
  <si>
    <t>Debido a que paciente rechaza resolución de comité por colonoscopia se decide realizar colecistectomia abierta.</t>
  </si>
  <si>
    <t>RESULTADOS EXAMENES</t>
  </si>
  <si>
    <r>
      <rPr>
        <sz val="11"/>
        <color theme="1"/>
        <rFont val="Calibri"/>
        <family val="2"/>
        <scheme val="minor"/>
      </rPr>
      <t xml:space="preserve">Seguimiento enf:en espera de colecistectomia abierta, retrasada por lista de espera en unidad preqx actualmente atendiendo pacientes en lista de abril 2023 (paciente ingresada noviembre 2023). Paciente de Alta x dr.Osman en diciembre/2023 (manchas rostro, al ex maculas y manchas color café claro), luego en febrero/2024 dr.Azúa indica que debe esperar colecistectomia abierta. P) seguimiento Noviembre </t>
    </r>
    <r>
      <rPr>
        <b/>
        <sz val="11"/>
        <color theme="1"/>
        <rFont val="Calibri"/>
        <family val="2"/>
        <scheme val="minor"/>
      </rPr>
      <t>22/11 seguimiento, usuaria en controles x CA de recto, se egresa de partes blandas.</t>
    </r>
  </si>
  <si>
    <r>
      <rPr>
        <sz val="11"/>
        <color theme="1"/>
        <rFont val="Calibri"/>
        <family val="2"/>
        <scheme val="minor"/>
      </rPr>
      <t xml:space="preserve">PACIENTE CPE, en espera de colecistectomia abierta. </t>
    </r>
    <r>
      <rPr>
        <b/>
        <sz val="11"/>
        <color theme="1"/>
        <rFont val="Calibri"/>
        <family val="2"/>
        <scheme val="minor"/>
      </rPr>
      <t>22/11 se egresa partes blandas (descartado x dr osman y en sgmto x CA de recto)</t>
    </r>
  </si>
  <si>
    <t xml:space="preserve">JOSE ANJARI CARVAJAL </t>
  </si>
  <si>
    <t xml:space="preserve">confrimación </t>
  </si>
  <si>
    <t>n/A</t>
  </si>
  <si>
    <r>
      <rPr>
        <sz val="11"/>
        <color theme="1"/>
        <rFont val="Calibri"/>
        <family val="2"/>
        <scheme val="minor"/>
      </rPr>
      <t>Seguimiento Enf: Decisión de último comité oncológico decide controlar por Urología, Control en Urología cada 3 meses. Último control: 28-02-24. p)consultar con Karlita para citar en Mayo/2024 (se habla 15/4), paciente cumpliendo tto en HLS. 30/5 se estudia caso, se realiza priorización IC a dermatología, también se solicita a gestora urología para que pueda ser citado a su control correspondiente. 17/6 paciente fue evaluado el 10/6 por Dr. Osman, se indica continuar tratamiento por ITS y</t>
    </r>
    <r>
      <rPr>
        <b/>
        <sz val="11"/>
        <color theme="1"/>
        <rFont val="Calibri"/>
        <family val="2"/>
        <scheme val="minor"/>
      </rPr>
      <t xml:space="preserve"> se descarta SARCOMA KAPOSI.</t>
    </r>
    <r>
      <rPr>
        <sz val="11"/>
        <color theme="1"/>
        <rFont val="Calibri"/>
        <family val="2"/>
        <scheme val="minor"/>
      </rPr>
      <t xml:space="preserve">. 27/8 se realiza seguimiento, usuario completo tto por ITS, le corresponde agendamiento por urología (7/9 se consulta a Karla para agendar). Usuario fue citado y NSP. </t>
    </r>
    <r>
      <rPr>
        <b/>
        <sz val="11"/>
        <color theme="1"/>
        <rFont val="Calibri"/>
        <family val="2"/>
        <scheme val="minor"/>
      </rPr>
      <t>Se egresa usuario, corresponde x urología</t>
    </r>
  </si>
  <si>
    <t>Urología HOV (Dr. Acuña) / Dr. Osman HOV</t>
  </si>
  <si>
    <t>En controles por poli ITS por Ges-18 // P) CONSULTAR x agendamiento URO. Se egresa corresponde x uro.</t>
  </si>
  <si>
    <t>RAÚL VALENZUELA VALENZUELA</t>
  </si>
  <si>
    <t>k</t>
  </si>
  <si>
    <t>CARCINOMA BASOCELULAR EN REGION ESCAPULAR</t>
  </si>
  <si>
    <r>
      <rPr>
        <sz val="11"/>
        <color theme="1"/>
        <rFont val="Calibri"/>
        <family val="2"/>
        <scheme val="minor"/>
      </rPr>
      <t xml:space="preserve">Seguimiento Enf: 27/8 tomo conocimiento de caso, usuario tuvo evaluaciones previas por dermatología en 2021, fue evaluado por dermatologo quien tomó biopsia positiva para carcinoma basocelular en región escapular, a la cual le realizó electrocoagulación y curetaje, sin continuar seguimiento hasta la actualidad. Me comunico con hija de usuario vía telefónica, del interior solo puede acudir L-M-V. P) CITAR c/DR. OSMAN para rescate. 23/10 se realiza agendamiento para el día 08/11 15:00hrs c/Dr Osman, pero NSP. P) REAGENDAR. </t>
    </r>
    <r>
      <rPr>
        <b/>
        <sz val="11"/>
        <color theme="1"/>
        <rFont val="Calibri"/>
        <family val="2"/>
        <scheme val="minor"/>
      </rPr>
      <t>26/12 se revisa caso, usuario fallecido el 04/12.</t>
    </r>
  </si>
  <si>
    <t>HOV (DR. OSMAN // DR. ROMERO)</t>
  </si>
  <si>
    <r>
      <rPr>
        <sz val="11"/>
        <color theme="1"/>
        <rFont val="Calibri"/>
        <family val="2"/>
        <scheme val="minor"/>
      </rPr>
      <t xml:space="preserve">CITADO 08/11 15:00hrs c/Dr OSMAN, pero NSP. P) REAGENDAR. </t>
    </r>
    <r>
      <rPr>
        <b/>
        <sz val="11"/>
        <color theme="1"/>
        <rFont val="Calibri"/>
        <family val="2"/>
        <scheme val="minor"/>
      </rPr>
      <t>26/12 usuario fallecido el 04/12/24.</t>
    </r>
  </si>
  <si>
    <t>REV (NOVIEMBRE)</t>
  </si>
  <si>
    <t>MARGARITA AURORA DUBO PERALTA</t>
  </si>
  <si>
    <t>Melanoma</t>
  </si>
  <si>
    <r>
      <rPr>
        <sz val="11"/>
        <color theme="1"/>
        <rFont val="Calibri"/>
        <family val="2"/>
        <scheme val="minor"/>
      </rPr>
      <t>Seguimiento Enf: Paciente presentado a comité 20-02-2024 donde se rechaza atenciones y ingresa CPE. 30/5 Se realiza seguimiento, consulta repetida contesta hija de paciente, quien refiere que en HLS estuvo viendosé por TU en colon y TU en riñon, fue dada de alta en noviembre por HLS al rechazar tto y resolución qx, está en atenciones por CPYAD y por poli TACO en HOV, en febrero dejaron orden en procedimiento ingresando lista espera, paciente se encuentra regular de salud, con deposiciones sanguinolentas en atenciones por urgencia pero en buenas condiciones por lo que refiere, paciente en atenciones poli TACO se solicito colonoscopia, hoy se consulta a lista espera proce y se envía correo para priorizar. 13/6 me comunica lista espera proce que orden no se encuentra en sus registros, se gestiona orden de colonoscopia y se prioriza. 12/7 fue evaluado por Dr. Rosendo, se deriva a cirugía (será citado con Manuel R.) por neoplasia. Continuará tto con cx digestiva, 25/7 se realiza estudios y se descarta CA gastrico, se confirma metastasis por melanoma. 16/8 se realiza agendamiento para el 21/8 15:00hrs, es evaluada, se define mantener conducta CPE, se consulta a CPYAD para control. P) Mantener controles por CPYAD.</t>
    </r>
    <r>
      <rPr>
        <b/>
        <sz val="11"/>
        <color theme="1"/>
        <rFont val="Calibri"/>
        <family val="2"/>
        <scheme val="minor"/>
      </rPr>
      <t>09/12 paciente fallecido. 26/12 se envia solicitud fallecimiento.</t>
    </r>
  </si>
  <si>
    <t>POLI TACO HOV // CX digestiva // HOV Dr. Azúa</t>
  </si>
  <si>
    <r>
      <rPr>
        <sz val="11"/>
        <color theme="1"/>
        <rFont val="Calibri"/>
        <family val="2"/>
        <scheme val="minor"/>
      </rPr>
      <t>P) controles por CPYAD.</t>
    </r>
    <r>
      <rPr>
        <b/>
        <sz val="11"/>
        <color theme="1"/>
        <rFont val="Calibri"/>
        <family val="2"/>
        <scheme val="minor"/>
      </rPr>
      <t xml:space="preserve"> En CPE. 26/12 el 9/12 paciente fallecida.</t>
    </r>
  </si>
  <si>
    <t>PATRICIO BARRAZA ALFARO</t>
  </si>
  <si>
    <t>NEOPLASIA  GANGLIO SUPRACLAVIVULAR LINFOPROLIFERATIVO</t>
  </si>
  <si>
    <t>DIAGNOSTICO</t>
  </si>
  <si>
    <t>hospitalizado, citar al alta//4-425, usuario ya de alta, citar con dr azua// fallecido 17-3-25 , se envio solicitud de  alerta por correo</t>
  </si>
  <si>
    <t>PACIENTE FALLECIDA</t>
  </si>
  <si>
    <t>cesar carvajal carvajal</t>
  </si>
  <si>
    <t>BASSAN JOUBARA MUSSETT</t>
  </si>
  <si>
    <t>TU DE PARTES BLANDAS (Supraclavicular izq)</t>
  </si>
  <si>
    <r>
      <rPr>
        <sz val="11"/>
        <color theme="1"/>
        <rFont val="Calibri"/>
        <family val="2"/>
        <scheme val="minor"/>
      </rPr>
      <t>Seguimiento Enf: 25/10 tomo conocimiento de caso, usuario es evaluado en consulta partes blandas, con observación de TU partes blandas supraclavicular izquierda, se solicita estudio ecografia partes blandas de hombro izquierdo. Se entrega orden en modulo oncológico para priorización y corresponde agendamiento con cirujano con resultados. P) citar c/resultados. 15/11 se recibe resultado informado, se cita para el día 20/11 15:00hrs c/Dr AZUA, evaluado se solicita RM y se gestionan exs sangre (priorizados x modulo). 13/12 se recibe RM informada. 18/12 se cita para el día 20/12 14:3</t>
    </r>
    <r>
      <rPr>
        <sz val="11"/>
        <rFont val="Calibri"/>
        <family val="2"/>
        <scheme val="minor"/>
      </rPr>
      <t>0hrs c/Dr Azua, evaluado se entrega orden de EDA, TAC cuello torax abd pelvis, discutir c/ CyC vs trucut vs cirugía?. (consultar Dr. Azua) P) CITAR c/resultados (tac, 08/01 se toma tac, pend inf.</t>
    </r>
    <r>
      <rPr>
        <sz val="11"/>
        <color theme="1"/>
        <rFont val="Calibri"/>
        <family val="2"/>
        <scheme val="minor"/>
      </rPr>
      <t xml:space="preserve"> y eda)</t>
    </r>
    <r>
      <rPr>
        <sz val="11"/>
        <rFont val="Calibri"/>
        <family val="2"/>
        <scheme val="minor"/>
      </rPr>
      <t xml:space="preserve"> --&gt; 14/01 se consulta Dr. Azua, se indica citar para definir cirugía. --&gt; 17/01 se realiza agendamiento para el día 22/01 15:00hrs c/Dr AZUA, evaluado se define cirugía, dr azua confecciona set qx y me lo entrega, lo entrego en unidad prequirúrgica. P) INT QX.</t>
    </r>
    <r>
      <rPr>
        <b/>
        <sz val="11"/>
        <color theme="4"/>
        <rFont val="Calibri"/>
        <family val="2"/>
        <scheme val="minor"/>
      </rPr>
      <t xml:space="preserve"> pcte operado, control con Dr. Azua en 04/03 entrega resultado de bp benigna y control en 2 semanas para evaluar herida//25-3 control en 3 meses</t>
    </r>
  </si>
  <si>
    <t>p) control en 3 meses</t>
  </si>
  <si>
    <t>REV (MARZO)</t>
  </si>
  <si>
    <t>LLAMAR PARA VER  SI LO CONTROLARON EN HLS</t>
  </si>
  <si>
    <t>MARIA ZEPEDA VALDIVIA</t>
  </si>
  <si>
    <t xml:space="preserve">CARCINOMA EPSINOCELULAR BRAZO IZQUIERDO </t>
  </si>
  <si>
    <t>CONFIRMACION</t>
  </si>
  <si>
    <t>NA</t>
  </si>
  <si>
    <t>TOMO CONOCIMIENTO DE CASO EN BAJO CONTROL GLOBAL, SE AGENDA PACIENTE CON DR. OSMAN PARA REVISION DE BP (+). Ampliacion de margenes??</t>
  </si>
  <si>
    <t>3 MESES</t>
  </si>
  <si>
    <t>DR. OSMAN</t>
  </si>
  <si>
    <t>29--04-2024</t>
  </si>
  <si>
    <t>P) VER FECHA PROXIMO CONTROL</t>
  </si>
  <si>
    <t>REV (JUNIO)</t>
  </si>
  <si>
    <t>preguntar x segumiento en bajo control</t>
  </si>
  <si>
    <t xml:space="preserve">FALLECIDA </t>
  </si>
  <si>
    <t>ERIKA DEL CARMEN ARELLANO TORRES</t>
  </si>
  <si>
    <t>CARCINOMA BASOCELULAR NODULAR ulcerado, pigmentado, infiltrante en dermis reticular</t>
  </si>
  <si>
    <t>Seguimiento Enf: Paciente evaluado por Dr. Osman el 23-2-24, al control sin signos de recidiva, se indica control en Agosto/2024 y uso de Prosil barra en cicatriz. 23/7 se realiza agendamiento para el día 2/8 14:00hrs c/Dr. Osman, es evaluada, se indica control anual y P) ingreso por IPD a cuidados paliativos por dolor (5/8 Dr. Miranda hace IPD y entrego a GES) . P) CITAR EN AGOSTO/2025</t>
  </si>
  <si>
    <t>1 año</t>
  </si>
  <si>
    <t>HOV (Dr. Osman)</t>
  </si>
  <si>
    <t>P) CITAR EN AGOSTO/2025 c/Dr. Osman</t>
  </si>
  <si>
    <t>REV (ENERO)</t>
  </si>
  <si>
    <t>ALTA X OSMAN</t>
  </si>
  <si>
    <t>BENITA DEL ROSARIO, CASTILLO GÓMEZ</t>
  </si>
  <si>
    <t>FALLECIDA 04/10/2025 08:11</t>
  </si>
  <si>
    <t>BENITO TOLEDO PUELLES</t>
  </si>
  <si>
    <t>FALLECIDO EL 19/10/2025</t>
  </si>
  <si>
    <t>VÍCTOR MARTÍNEZ GARCÉS</t>
  </si>
  <si>
    <t>FALLECIDO 01/10/2025</t>
  </si>
  <si>
    <t>FRANCISCO PÉREZ ESPINOZA</t>
  </si>
  <si>
    <t>FALLECIDO 28/12/2025</t>
  </si>
  <si>
    <t>GERMAN PASTEN GUERRERO</t>
  </si>
  <si>
    <t xml:space="preserve">FALLECIDO  X HEMATOLOGIA </t>
  </si>
  <si>
    <t xml:space="preserve">HILARIO GALLARDO LEON </t>
  </si>
  <si>
    <t>CEC 2020</t>
  </si>
  <si>
    <t>SEGUIMIENTO</t>
  </si>
  <si>
    <t>S/C</t>
  </si>
  <si>
    <t>PCTE CON CEC DESDE 2020 CON ATENCIONE SIRREGULARES PO DECISIÓN PROPIA , EVALUADO EN 2025 OSMAN INDICA ALTA</t>
  </si>
  <si>
    <t>ANUAL</t>
  </si>
  <si>
    <t xml:space="preserve">DR. OSMAN </t>
  </si>
  <si>
    <t>ALTA</t>
  </si>
  <si>
    <t xml:space="preserve">LEONEL BORQUEZ MICHEA </t>
  </si>
  <si>
    <t>fallecio</t>
  </si>
  <si>
    <t>pcte hospializaod y presentado a comite en espera de qmt pero con evolucion torpida nunca se pudo efectuar tto.</t>
  </si>
  <si>
    <t>MICHAEL TORRES TAPIA</t>
  </si>
  <si>
    <t>fallecido</t>
  </si>
  <si>
    <t xml:space="preserve">RUBEN GAMBOA JOFRE </t>
  </si>
  <si>
    <t>EGRESADO EL 18/06/2025</t>
  </si>
  <si>
    <t>RAMÓN ALFARO GARCÍA</t>
  </si>
  <si>
    <t> </t>
  </si>
  <si>
    <t>PCTE EGRESADO 16-06-2025</t>
  </si>
  <si>
    <t>PATRICIA ERNESTINA  AGUIRRE  ARAYA</t>
  </si>
  <si>
    <t>LUZ DE JESUS ROJAS ARAYA</t>
  </si>
  <si>
    <t>CA ESPINOCELULAR DORSO LUMBAR</t>
  </si>
  <si>
    <t>EVALUAR POR UROLOGIA POR TU RENAL Y PB PARA EVALUAR RESECCION QX</t>
  </si>
  <si>
    <t>HLS / HOV</t>
  </si>
  <si>
    <t>CONTROL PENDIENTE CON DERMATO</t>
  </si>
  <si>
    <t>PCTE CON EXTIRPACION DE LESION, QUE COSTO CICATRIZAR, SE VIO POR EXTRASISTEMA Y AL VOLVER A CONTROL CON DERMATOLOGO LESION 100% CICATRIZADA SIN RECIDIVA, DEJA CONTROL EN  1 MES</t>
  </si>
  <si>
    <t>1 MES</t>
  </si>
  <si>
    <t>CITAR AGOSTO 2025</t>
  </si>
  <si>
    <t>PENDIENTE COMITE</t>
  </si>
  <si>
    <t>NOMBRE</t>
  </si>
  <si>
    <t>RUN</t>
  </si>
  <si>
    <t>COMITE</t>
  </si>
  <si>
    <t>INOCENCIA DE JESUS ROSA</t>
  </si>
  <si>
    <t xml:space="preserve">PRESENTAR MARTES Y CITAR A POLI PARA ENTREGA DE RESOLUCION </t>
  </si>
  <si>
    <t>HECTOR OPAZO PACHECO</t>
  </si>
  <si>
    <t>JUAN ZARRICUETA ALVARADO</t>
  </si>
  <si>
    <t xml:space="preserve">PATRICIA CORTES CORTES </t>
  </si>
  <si>
    <t>PEDIR CUPO INFORME Y AGENDAR LUNES 26/01</t>
  </si>
  <si>
    <t>RUBEN GUTIERREZ SOLAR</t>
  </si>
  <si>
    <t>PIEL</t>
  </si>
  <si>
    <t>PEDIR CUPO INFORME Y AGENDAR LUNES 26/02</t>
  </si>
  <si>
    <t>AMABLE BORQUEZ CORTES</t>
  </si>
  <si>
    <t>PEDIR CUPO INFORME Y AGENDAR LUNES 26/03</t>
  </si>
  <si>
    <t>N°</t>
  </si>
  <si>
    <t>FN</t>
  </si>
  <si>
    <t>MEDICO</t>
  </si>
  <si>
    <t>ULT CONTROL</t>
  </si>
  <si>
    <t xml:space="preserve">Fecha proximo Control </t>
  </si>
  <si>
    <t>Dias Disponibles</t>
  </si>
  <si>
    <t>Estado</t>
  </si>
  <si>
    <t>OBSERVACIÓN</t>
  </si>
  <si>
    <t>P_ CX</t>
  </si>
  <si>
    <t>REVISION</t>
  </si>
  <si>
    <t>Nota</t>
  </si>
  <si>
    <t>Abel Bugueño Talamilla</t>
  </si>
  <si>
    <t>ETAPIFICACION</t>
  </si>
  <si>
    <t xml:space="preserve">PCTE NO CONTESTA TELEFONOS </t>
  </si>
  <si>
    <t>PACIENTE CON ANTEC 2020 DE CIRUGÍA POR CA. ESPINOCELULAR DE EXTREMIDAD INFERIOR DERECHA EN HLS.
ACTUALMENTE CON ADENOPATIAS SOSPECHOSAS BILATERALES CONSTATADAS POR TAC RECIENTE.
FUE AGENDADO ERRONEAMENTE A CONSULTA DE CABEZA Y CUELLO.
SOLICITO A GESTIÓN ONCOLOGICA AGENDAR CON PARTES BLANDAS.</t>
  </si>
  <si>
    <t>DR. AZUA</t>
  </si>
  <si>
    <t>RESCARTAR PACIENTE</t>
  </si>
  <si>
    <t>ALIRO YAÑEZ YAÑEZ</t>
  </si>
  <si>
    <t>TULAHUEN</t>
  </si>
  <si>
    <t>CBC BRAZO IZQUIERDO COMPONENTE ESCAMOSO  OPERADO</t>
  </si>
  <si>
    <t>PACIENTE OPERADO DE CBC BRAZO IZQUIERDO EN SEGUIMIENTO. EVALUADO 30/03 POR DR. AZUA INDICA CONTROL ANUAL</t>
  </si>
  <si>
    <t>1 AÑO</t>
  </si>
  <si>
    <t>CONTROL MARZO 2026</t>
  </si>
  <si>
    <t>SARCOMA DE MUSLO</t>
  </si>
  <si>
    <t>DIAGNSOTICO</t>
  </si>
  <si>
    <t>PENDIENTE PRESENTAR A COMITE</t>
  </si>
  <si>
    <t>PCTE EVALUADO POR DR. AZUA QUIEN INDICA PRESENTAR A COMITE DE SARCOMA</t>
  </si>
  <si>
    <t>SIN CONTROL</t>
  </si>
  <si>
    <t>PRESENTAR A COMITE</t>
  </si>
  <si>
    <t>Representar Comite Oncologico</t>
  </si>
  <si>
    <t>ANDREA DEL CARMEN DÍAZ CORTÉS</t>
  </si>
  <si>
    <t>MELANOMAPLANTAR IZQUIERDO OPERADO</t>
  </si>
  <si>
    <t>CIRUGIA Y SEGUIMIENTO</t>
  </si>
  <si>
    <t>EVALUADA EL 2710 CON RNM DOND ENO EVIDENCIA LESIONES ONCOLOGICAS. dR. AZUA INDICA CONTROL EN 6 MESES</t>
  </si>
  <si>
    <t>6 MESES</t>
  </si>
  <si>
    <t>CONTROL ABRIL 2026</t>
  </si>
  <si>
    <t>Aníbal Flores Araya</t>
  </si>
  <si>
    <t xml:space="preserve">CARCINOMA EN TORAX ANTERIOR </t>
  </si>
  <si>
    <t>TRATAMIENTO</t>
  </si>
  <si>
    <t>CIRUGIA Y REPRESENTAR CON BP</t>
  </si>
  <si>
    <t>OPERADO RECIENTEMENTE, EN ESPERA DE RESULTADO DE BIOPSIA PARA REPRESENTAR</t>
  </si>
  <si>
    <t>CONTROL CON RESULTADO DE BP</t>
  </si>
  <si>
    <t>ANTONIO CARVAJAL LOPEZ</t>
  </si>
  <si>
    <t>CARCINOMA EPIDERMOIDE PIE D° MTT</t>
  </si>
  <si>
    <t>DIFIERE AGENDAMIENTOS</t>
  </si>
  <si>
    <t>PACIENTE PENDIENTE CONTROL, HA RECHAZADO HORAS EN 5 OPORTUNIDADES. HIJO INDICA QUE ASISTIRA Y NO SE PRESENTA</t>
  </si>
  <si>
    <t>RESCATAR PACIENTE PARA CONTROL</t>
  </si>
  <si>
    <t>ARMANDO CONTRERAS CARVAJAl</t>
  </si>
  <si>
    <t>PUNITAQUI</t>
  </si>
  <si>
    <t xml:space="preserve">MELANOMA ACRAL ORTEJO PIE </t>
  </si>
  <si>
    <t>INMUNOTERAPIA</t>
  </si>
  <si>
    <t>PACIENTE PRESENTADO A COMITE QUIEN SE DERIVO A HLS PARA INMUNOTERAPIA, NO HA SIDO CONTRAREFERIDO</t>
  </si>
  <si>
    <t>CONTRARREFERIDO</t>
  </si>
  <si>
    <t>SEGUIMIENTO DE ENFERMERIA</t>
  </si>
  <si>
    <t>DAVID RIVERA RIVERA</t>
  </si>
  <si>
    <t>SARCOMA INGUINAL IZQUIERDO OPERADO</t>
  </si>
  <si>
    <t>CIRUGIA / RADIOTERAPIA</t>
  </si>
  <si>
    <t>EN ESPERA DE COLONO</t>
  </si>
  <si>
    <t>PACIENTE OPERADO Y CON RADIOTERAPIA, S EMANTIENE EN SEGUIMIENTO POR HOV. EVALUADO EN JULIO CON DR. AZUA QUIEN INDICA COLONOSCOPIA, SE SOLICITA PRIORIZACION Y SE AGENDA PARA EL 16/11/2025; PERO SE CANCELA POR FALTA DE MEDICO. PEND) REAGENDAR</t>
  </si>
  <si>
    <t>PENDIENTE EDA</t>
  </si>
  <si>
    <t>ENRIQUE ZAMBRA BARRAZA</t>
  </si>
  <si>
    <t>CARCINOMA ESCAMOSO DORSO MANO IZQUIERDA</t>
  </si>
  <si>
    <t>RDT</t>
  </si>
  <si>
    <t>NO ASISTE</t>
  </si>
  <si>
    <t>24/02/2025 DONDE INDICA EDA, COLONO, TAC TAP Y EXAMENES. S ELLAMA EN 3 OPORTUNIDADES PARA TOMA DE EXAMENES, PACIENTE NO ASISTE, SE TOMAN DE POR CONSULTORIO, NO ASISTE A EDA Y TOMA DE TAC. SE LLAMAR APARA DEFINIR SEGUIMIENTO</t>
  </si>
  <si>
    <t>LLAMAR PARA RESCATE</t>
  </si>
  <si>
    <t xml:space="preserve">BLADIMIR CASTILLO VALDERRAMA </t>
  </si>
  <si>
    <t>MELANOMA ACRAL TALON PIE D°</t>
  </si>
  <si>
    <t>DERIVACION A HLS PARA CIRUGIA</t>
  </si>
  <si>
    <t>PACIENTE DERIVADO A HLS PARA Cx, CON RESECCION Y PET REALIZADO POR HLS. ACTUALMENTE EN CONTROL. PENDIENTE CONTROL DE OCTUBRE</t>
  </si>
  <si>
    <t xml:space="preserve">HUMBERTO RAMOS MORGADO </t>
  </si>
  <si>
    <t>SARCOMA FUSOCELULAR SINOVIAL DE BAJO GRADO OPERADO</t>
  </si>
  <si>
    <t>RT CURATIVA NEOAVYUDANTE</t>
  </si>
  <si>
    <t>PCTE CON RT NEOAVYUDANTE EN HCVB Y CONTRARREFERIDO A HLS. ACTUALMENTE CON CONTROLES POR AMBOS HOSPITALES. EVALAUDO POR DR AZUA EN JULIO/2025 INDICA CONTROL EN 6 MESES</t>
  </si>
  <si>
    <t>CITAR A CONTROL</t>
  </si>
  <si>
    <t>CARMEN PIZARRO JOFRE</t>
  </si>
  <si>
    <t>CHAÑARAL</t>
  </si>
  <si>
    <t xml:space="preserve">CBC PARPEBRAL IZQUIERDO </t>
  </si>
  <si>
    <t>PACIENTE CON RESULTADO DE BP, EVALUADA POR DR. OSMAN QUIEN INDICA EVALUACION CADA 6 MESES</t>
  </si>
  <si>
    <t>7 MESES</t>
  </si>
  <si>
    <t>CONTROL EN JUNIO 2026</t>
  </si>
  <si>
    <t>NEOPLASIA
FUSOCELULAR, MESENQUIMÁTICA, DE LA PARED ABDOMINAL</t>
  </si>
  <si>
    <t>PENDIENTE PRESENTACION A COMITE</t>
  </si>
  <si>
    <t>PCE CON TUNMOR ABDOMINAL QUE FUE OPERADA CON BIOPSIA INTRAOPERATORIA, SE DEBE PRESENTAR A COMITE PARA ESPCIFICAR ESTUDIOS DE BIOLOGIAMOLECULAR</t>
  </si>
  <si>
    <t>ENTREGAR RESOLUCION DE COMITE: SEGUIMIENTO</t>
  </si>
  <si>
    <t>CELESTINO ALFARO MUÑOZ</t>
  </si>
  <si>
    <t>CBC PREESTERNAL</t>
  </si>
  <si>
    <t>PACIENTE CON BP POSITIVA EVALUADO DESDE EL 2024 POR DR. OSMA, RECIENTEMENTE CONTROL EL 02/09/2025 PIEL SIN LESIONE SY DEJA OCNTROL EN 1 AÑO</t>
  </si>
  <si>
    <t>CONTROL SEPTIEMBRE 2026</t>
  </si>
  <si>
    <t>IRELBA PLAZA ARAYA</t>
  </si>
  <si>
    <t>LA SERENA</t>
  </si>
  <si>
    <t>CARCINOMA CUTANEO DE CELULAS ESCAMOSAS ESTADIO IV (T3 N3 M0)</t>
  </si>
  <si>
    <t xml:space="preserve">RT PALIATIVA </t>
  </si>
  <si>
    <t>CLINICA IRAM / HLS</t>
  </si>
  <si>
    <t>PCTE OPERADA POR EXTRASISTEMA LESION EN MANO, QUE EVOLUCIONO CON MTT AXILAR, TUVO VACIAMIENTO GANGLIONAR Y SE PRESENTO A COMITE PARA RT EN 3 OCASIONES, FINALMENTE PRESENTADA POR POLI DOLOR DE HLS QUIEN SOLICITO RT PALIATIVA. SE DERIVA A CLINCIA IRAM PERO PRESENTA CELULITIS Y LENFEDEMA. PENDIENT EHACER SEGUIMIENTO DE CASO</t>
  </si>
  <si>
    <t>2 MESES</t>
  </si>
  <si>
    <t>SEGUIMIENTO POR ENFERMERIA Y EVALUAR CONTROL CON CIRUJANO</t>
  </si>
  <si>
    <t>DAVID COFRE TAPIA</t>
  </si>
  <si>
    <t>TUMOR DORSAL OPERADO (ANGILIPOMA)</t>
  </si>
  <si>
    <t>EN ESPERA DE HORA POLI PB</t>
  </si>
  <si>
    <t xml:space="preserve">PACIENTE OPERADO Y CON BP DE TUMOR DORSAL CON REUSLTADO DE ANGILOPOMA, SE PRESENTA A COMITE E INDICAN SEGUIMIENTO. ADEMAS TIENE PENDIENTE NUEVA CIRUGIA PARA DRENAJE DE COLECCION. </t>
  </si>
  <si>
    <t>CADA 3 MESES</t>
  </si>
  <si>
    <t xml:space="preserve">PENDIENTE CONTROL CONTAC </t>
  </si>
  <si>
    <t>Pendiente Revisar TC</t>
  </si>
  <si>
    <t>JORGE GODOY CARVAJAL</t>
  </si>
  <si>
    <t>SARCOMA DE PARTES BLANDAS ANTEBRAZO DERECHO.</t>
  </si>
  <si>
    <t>RT-QMT PALIATIVA</t>
  </si>
  <si>
    <t>PCTE TRATADOO Y OPERADO EN FALP POR SARCOMA DE ATB DERECHO, RECIDIVADO QUE E SPRESENTADO A COMITE IV REGION DE PB SE INDCIA QMT PALIATIVA. PENDIENTE OCNTROL POR ENFERMERIA</t>
  </si>
  <si>
    <t>DR. AZUA /</t>
  </si>
  <si>
    <t>SEGUIMIENTO DE EFERMERIA</t>
  </si>
  <si>
    <t>EDMUNDO ANTONIO TABILO TABILO</t>
  </si>
  <si>
    <t>TABALI</t>
  </si>
  <si>
    <t>CARCINOMA ESPINOCELULAR MUSLO IZQ</t>
  </si>
  <si>
    <t>EN ESPERA DE EVALUACION POR CIRUGIA // SIN IC</t>
  </si>
  <si>
    <t>PACIENTE CON ANTECEDENTES DE CA EVALUADO POR DR OSMAN QUIEN INDICA CONTROL EN 6 MESES // PENDIENTE EVALUACION POR CIRUGIA PARA AMPLIACION DE MARGENES</t>
  </si>
  <si>
    <t>CONTROL 6 MESES</t>
  </si>
  <si>
    <t>CONTROL ABRIL 2026 / EVALUACION CON CX???</t>
  </si>
  <si>
    <t>JUANA VEGA RIQUELME</t>
  </si>
  <si>
    <t>MELANOMA ACRAL METASTASICO DERECHO. T4B N3 M1B.</t>
  </si>
  <si>
    <t>INMUNOTERAPIA // DETERMINACION DE BRAF // EVALUAR ESTUDIO CLINICO // POLI CPYAD // EVALUACION POR TMT POR FX POSIBLE MTT</t>
  </si>
  <si>
    <t>PENDIENTE EVALAUCION POR TMT</t>
  </si>
  <si>
    <t>PCTE EVALUAD AEN PRIMERA INSTANCIA POR DERMATOLOGO WUIEN DERIVA A CIRUJANO DE PC, PACIENTE YA CON MTT GABGLIONAR. SE PRESENTA A COMITE E INDICAN INMUNOTERPIA PALIATIVA. E IC A TMT AUN SIN EVALUACION. PENDIENTE PRIORIZAR</t>
  </si>
  <si>
    <t>PRIORIZAR IC TMT</t>
  </si>
  <si>
    <t>EDUARDO MOLINA MOLINA</t>
  </si>
  <si>
    <t>ENFERMEDAD DE BOWEN</t>
  </si>
  <si>
    <t>SOLO QUIERE ATENCION POR VASCULAR</t>
  </si>
  <si>
    <t>PACIENTE EVALUADO EN 2019, SIN NIGNUNA OTRA ATENCION, INGRESA NUEVAMENTE PARA PEDIR IC A VASCULAR.</t>
  </si>
  <si>
    <t>1 AÑO? ALTA?</t>
  </si>
  <si>
    <t>DR, OSMAN</t>
  </si>
  <si>
    <t>ELIANA CORTES GALLARDO</t>
  </si>
  <si>
    <t>MELANOMA IN SITU</t>
  </si>
  <si>
    <t>PACIENTE EN CONTROLES, ULTIMA EVALUACION EN FEB/2026 DOCTOR INDCIA CONTROL EN AGOSTO 2026</t>
  </si>
  <si>
    <t>CONTROL AGOSTO</t>
  </si>
  <si>
    <t>MARGARITA CASTILLO CUELLO</t>
  </si>
  <si>
    <t>CEC INTERESCAPULAR T2N0M0</t>
  </si>
  <si>
    <t>SEGUIMNIENTO POR HOSPITAL DE ORIGEN SIN BENEFICIO DE RT</t>
  </si>
  <si>
    <t>PENDIENTE OCNTROL CON TAC</t>
  </si>
  <si>
    <t>PCTE EVALAUD AY PRESENTADA A COMITE EN 2024 POR CEC QUIEN ES EVALAUD APOR CIRUJANO DE PB EN JULIO E INDICA OCNTROL CON IMAGENES. SE SOLICITA NUEVO TAC PARA CONTROL EN ENERO 2026</t>
  </si>
  <si>
    <t xml:space="preserve">DR. AZUA </t>
  </si>
  <si>
    <t>CITAR CON TAC INFORMADO</t>
  </si>
  <si>
    <t>MICHAEL MARIN ALVAREZ</t>
  </si>
  <si>
    <t>LIPOMA GIGANTE MUSLO IZQUIERDO</t>
  </si>
  <si>
    <t>BIOPSIA EXCISIONAL Y REPRESENTAR</t>
  </si>
  <si>
    <t xml:space="preserve">EVALUADO POR DOCTOR AZUA, SE REALIZA INTERVENCION QX, SE MAND AA BIOPSIA CON RESULTADO DE PILOMA. SE DEJA OCNTROL EN 6 MESES </t>
  </si>
  <si>
    <t>CITAR ENERO 2026</t>
  </si>
  <si>
    <t xml:space="preserve">OBDULIA MAGDALENA TORRES PADILLA </t>
  </si>
  <si>
    <t xml:space="preserve">SARCOMA PLEOMORFIO GRADO IV EN AREA DORSAL </t>
  </si>
  <si>
    <t>SARCOMA PLEOMORFIO GRADO IV EN AREA DORSAL QUE REQUERIO 11 SESIONES DE CIRUGIA Y RT. PACIENTE INDICA QUE SEGUIRA ATENCIONES POR HLS. SOLO ATENCIONES EN CPYAD POR HOV Y CORDIANCION DE EXAMENES.</t>
  </si>
  <si>
    <t>SEGUIMIENTO ENFERMERIA</t>
  </si>
  <si>
    <t>OLGA CANIVILO BARRAZA</t>
  </si>
  <si>
    <t>SARCOM ALATO GRADO PIERNA IZQUIERDA</t>
  </si>
  <si>
    <t>PCTE CON DIAGNSOTICO DE SARCOMA QUE N 2023 FUE DERIVADA A HLS PARA EVALUACION DE DR. LIMA. SIN ATENCIONES DESDE 2023.</t>
  </si>
  <si>
    <t>ERCIRIA CARVAJAL CARVAJAL</t>
  </si>
  <si>
    <t>CARCINOMA DEDO INDICE</t>
  </si>
  <si>
    <t>HORAS POLI PB</t>
  </si>
  <si>
    <t>PACIENTE CON BIOPSIA (+), DOCTOR AZUA EVALUA, ENTREGA BIOPSIA (+) E INDICA TAC TAP. 09/01/26 TAC INFORMADO, SE AGENDO PARA INFORME DE COMITE.  SE PRESENTA A COMITE INDICAN RESECCION DE PRIMARIO Y DISECCIONA XILAR IPSILATERAL. SE CITA A POLI PACIENTE ACEPTA CIRUGIA FIRMA CI SE DEJA EN FE</t>
  </si>
  <si>
    <t>RESECCION DE PRIMARIO + DISECCION AXILAR</t>
  </si>
  <si>
    <t>8846116-</t>
  </si>
  <si>
    <t xml:space="preserve">LIPOMA MUSLO Y RODILLA </t>
  </si>
  <si>
    <t>BIOPSIA EXCISIONAL Y REPRESENTACION CON BIOPSIA</t>
  </si>
  <si>
    <t>PCTE PRESENTADA A COMITE DE PB INDICAN CIRUGIA. OPERADA EN HOV POSTERIOR PRESENTA INFECCION DE HERID AOPERATORIA SIENDO HOSPITALIZAD AY DADA DE ALTA EL 19/01/26. ACTUALMENTE CON RESUTLADO DE BIOPSIA SE REPRESENTARA A COMITE DE PB</t>
  </si>
  <si>
    <t>PENDIENTE ENTREGAR RESOLUCION DE COMITE: SEGUIMIENTO</t>
  </si>
  <si>
    <t>FRANCISCO ROJAS CABRERA</t>
  </si>
  <si>
    <t>CARCINOMA BASOCELULAR NODULAR DE LA PIEL, ULCERADA E INFILTRANTE HASTA DERMIS RETICULAR. ZONA NASOENIANA DERECHA</t>
  </si>
  <si>
    <t>PACIENTE CON BP (+) CON EVALUACION DEBP POR DERMATOLOGO DEJA CONTROL EN 6 MESES</t>
  </si>
  <si>
    <t>AGENDAR JUNIO 2026</t>
  </si>
  <si>
    <t xml:space="preserve">GABRIEL LARA GALLEGUILLOS </t>
  </si>
  <si>
    <t>CARCINOMA ESPINOCELULAR GLUTEO DERECHO OPERADO</t>
  </si>
  <si>
    <t>SEGUIMIENTO EN HOV</t>
  </si>
  <si>
    <t>PCTE CON CA ESPINOCELUALR DE GLUTEO QUE REQUIRIO AMPLIACION DE MARGENES, NUEVAMENTE PRESENTAOD A COMITE Y QUEDA EN SEGUIMIENTO.</t>
  </si>
  <si>
    <t>AGENDAR SEPTIEMBRE 2026</t>
  </si>
  <si>
    <t>GEORGINA OLMEÑO PASTÉN</t>
  </si>
  <si>
    <t>MELANOMA INVASOR DEDO PULGAR DERECHO</t>
  </si>
  <si>
    <t>RESECCION DE PRIMARIO + GANGLIO CENTINELA</t>
  </si>
  <si>
    <t xml:space="preserve">PCTE OPERADA EN DICIEMBRE 2025 EN HLS, ACTUALMENTE EN ESPERA DE EVALUAICON PO CON RETIRO DE DRENAJE Y RESULTADO DE BP </t>
  </si>
  <si>
    <t xml:space="preserve">PEDRO NOLASCO AGUILERA ZEPEDA </t>
  </si>
  <si>
    <t xml:space="preserve">ESPINOCEULAR </t>
  </si>
  <si>
    <t xml:space="preserve">CONTROL 3M CON EXAMNES </t>
  </si>
  <si>
    <t>GUSTAVO MUÑOZ ADAROS</t>
  </si>
  <si>
    <t>BENJAMIN GONZALEZ ARANCIBIA</t>
  </si>
  <si>
    <t>TUMOR FUSOCELULAR DERMO-HIPODERMICO</t>
  </si>
  <si>
    <t xml:space="preserve">RECHAZA CONTROLES </t>
  </si>
  <si>
    <t>PCTE EVALAUDO Y OPERADO POR DR. AXZUA QUIEN TOMA BIOPSIA. SE RESCATA RESULTADO Y SE CITA A PACIENTE, PERO CUIDADOR INDICA QUE SE ENCUENTRA NE SERENA Y NO PUEDE ASISTIR. DIFIERE CONTROLES</t>
  </si>
  <si>
    <t>CITAR PARA RESULTADO DE BP</t>
  </si>
  <si>
    <t>REVISAR</t>
  </si>
  <si>
    <t>Citar</t>
  </si>
  <si>
    <t>HERMAN GERALDO ROJAS GALLARDO</t>
  </si>
  <si>
    <t>LIPOSARCOMA OPERADO</t>
  </si>
  <si>
    <t>NO SE HA TOMADO TAC TAP</t>
  </si>
  <si>
    <t>PCTE DERIVADO A RT NEOAVYUDANTE EN HCV Y POSTERIOMENTE CONTRARREFERIDO A HLS, EN HOV PARA SEGUIMIENTO. EVALUADO EN OCTUBRE CON DR. AZUA QUIEN INDIC ATAC TAP AUN NO TOMADO (21/01/2026)</t>
  </si>
  <si>
    <t>RETOMAR ATENCIONES CON TAC TAP</t>
  </si>
  <si>
    <t>JOSE SIRVENT MOLINA</t>
  </si>
  <si>
    <t>LIMARI</t>
  </si>
  <si>
    <t xml:space="preserve">CARCINOMA EPIDERMOIDE DE TIPO QUERATOACANTOMA ANTB </t>
  </si>
  <si>
    <t>SOLICITAR EVALUACION POR PB POR RETRASO DE DERMATOLOGIA</t>
  </si>
  <si>
    <t xml:space="preserve">PCTE EVALUADO POR DERMATOLOGIA, QUIEN TRAE BP DE EXTRASISTEMA, MEDICO INDICA AGENDMAIENTO PARA CIRUGIA MENOR, SE VUELVE A CITAR PERO SIGUE SIN LLAMADO POR DERMATOLOGO. SE DERIVARA A PB </t>
  </si>
  <si>
    <t>DR. OSMAN / DR. AZUA</t>
  </si>
  <si>
    <t>SOLICITAR HORA URGENTE CON DR. AZUA</t>
  </si>
  <si>
    <t>OSIRIS LORCA LORCA</t>
  </si>
  <si>
    <t>CARCINOMA ESPINOCELULAR IN SITU ASOCIADO A QUERATOSIS SEBORREICA. PUBIS</t>
  </si>
  <si>
    <t xml:space="preserve">PCTE EVALUADA POR DR. MANUEL RODRIGUEZ EN AGOSTO 2025 POR BP PSOITIVA INDCIA PRESENTARA A OCMITE ADEMAS S EPESQUIZA ADENOPATI AY HERNIA INGUINAL. PACIENTE SOLO QUIERE OPERARSE DE HERNIA, NO LE INTERESA CONTROL POR CANCER </t>
  </si>
  <si>
    <t>EVALUAR CASO URGENTE // ACTUALIZAR IMAGENES Y PRESENTAR CASO A COMITE</t>
  </si>
  <si>
    <t>Revisar FC</t>
  </si>
  <si>
    <t>PEDRO JOSÉ ÁVILA FERNÁNDEZ</t>
  </si>
  <si>
    <t xml:space="preserve">CONTROL CON RESULTADOS, SE REALIZA CX MENOR PERO NO SE ENCUENTRA BP // REVISAR CON ANATOMIA </t>
  </si>
  <si>
    <t>ARCADIO CASTILLO GOMEZ</t>
  </si>
  <si>
    <t>CARCINOMA ESCAMOSO ULCERADO INVASOR MANO</t>
  </si>
  <si>
    <t>EVALUAR POR CIRUGIA PARA DISECCION AXILAR O REEVALUAR BIOPSIA</t>
  </si>
  <si>
    <t>PACIENTE CON BIOPSIA POR EXTRASISTEMA SE PRESENTA A COR INDICAN EVALUAR DISECCION AXILAR. ES EVALUADO POR CIRUJANO DE CYC QUIEN INDIC ANO HAY DISEMINACION. SE PRESENTA A COMITE E INDICAN REPRESENTAR CON DATOS COMPLETOS DE BIOPSIA. ES EVALUADO POR DOCTOR AZUA QUINE INDICA TAC PARA REPRESENTAR. SE TOMA TAC EL 29/12. PRESENTADO A COMITE INDICA VACIAMIENTO IPSILATERAL. DOCTR ENTREGA RESOLUCION CEDE A OPERARSE// PENDIENTE VER CASO CON OYARZUN</t>
  </si>
  <si>
    <t>CIRUGIA PENDIENTE</t>
  </si>
  <si>
    <t>Programar Lunes 23/02</t>
  </si>
  <si>
    <t>ISMAEL ROJAS CARVAJAL</t>
  </si>
  <si>
    <t>ECE TENAR IZQUIERDA</t>
  </si>
  <si>
    <t>PENDIENTE CONTROL</t>
  </si>
  <si>
    <t xml:space="preserve">PACIENTE CON CEC TENAR IZQ , SE AMPLAIRON MARGENES Y EN CONTROL SE EVALUA CICATRIZ OK, SIN RECIDIVA. SE EXTIRPAN VERRUGAS FACIALES. </t>
  </si>
  <si>
    <t>CITAR ABRIL 2026</t>
  </si>
  <si>
    <t>CECILIA DEL CARMEN NAVARRETE ARACENA</t>
  </si>
  <si>
    <t>DERMATOFIBROSARCOMA BRAZO IZQUIERDO CON RECIDIVA</t>
  </si>
  <si>
    <t>AMPLIACION DE MARGENES</t>
  </si>
  <si>
    <t>EN ESPERA DE CIRUGIA</t>
  </si>
  <si>
    <t>PACIENTE CON DERMATOFIBROSARCOMA EN BRAZO IZQUIERDO CON RECIDIVA, SE TOMAN EXAMENE SY S EPRESENTA A COMITE INDICANDO AMPLIACION DE MARGENES</t>
  </si>
  <si>
    <t>Pendiente Programar.</t>
  </si>
  <si>
    <t xml:space="preserve">JESSICA GUARDIA ROJAS </t>
  </si>
  <si>
    <t xml:space="preserve">CORRESPONDE PRESENTAR </t>
  </si>
  <si>
    <t xml:space="preserve">PRESENTAR A COMITE PARA APLIACION DE MARGENES </t>
  </si>
  <si>
    <t>CÉSAR CARVAJAL CARVAJAL</t>
  </si>
  <si>
    <t xml:space="preserve">LESION EN DORSO MANO </t>
  </si>
  <si>
    <t>SOSPECHA</t>
  </si>
  <si>
    <t>EN ESPERA DE HORA DE BP</t>
  </si>
  <si>
    <t xml:space="preserve">PACIENTE EVALUADO POR DR. AZUA QUIEN DERIVA A DERMATOLOGIA PARA NUEVA BIOPSIA. ES EVALUADO POR OSMAN EL </t>
  </si>
  <si>
    <t>DR. AZUA / DR. OSMAN</t>
  </si>
  <si>
    <t>EN ESPERA DE BP</t>
  </si>
  <si>
    <t>Cirugia Menor.</t>
  </si>
  <si>
    <t>EDUARDO AGUIRRE CARMONA</t>
  </si>
  <si>
    <t>CARCINOMA ESPINOCELULAR INFILTRANTE DORSAL INTERESCAPULA</t>
  </si>
  <si>
    <t>PASE CARDIOLOGICO: PEND ECO STRESS FARMACOLOGICO</t>
  </si>
  <si>
    <t>PACIENTE PRESENTADO A COMITE DE PB DONDE SE DECIDE AMPLIACION DE MARGENES, SE DERIVA A PREQUIRURGICA DONDE ANESTESIA SOLICITA PASE CARDIOLOGIOC. ES EVALUADO POR CARDIOP CON 3 INASISTENCIAS PREVIAS, SOLICITAN ECO STRES FARMACOLOGICO</t>
  </si>
  <si>
    <t>PASE OK PENDIENTE CIRUGIA</t>
  </si>
  <si>
    <t xml:space="preserve">LIPOSARCOMA RODILLA </t>
  </si>
  <si>
    <t>PCTE CON BP TOMADA EN HLS YA INFORMADA, PENDIENT EPRESENTACION A COMITE EL 27/01/2026 . SE CITA A CONTROL EL 17/02 CON DR. AZUA</t>
  </si>
  <si>
    <t>ENTREGAR RESOLUCION DE COMITE</t>
  </si>
  <si>
    <t>Citar, entregar Resolucion.</t>
  </si>
  <si>
    <t xml:space="preserve">JAIME ANDRÉS ARDILES ACEITUNO </t>
  </si>
  <si>
    <t>ARCINOMA
ESPINOCELULAR	INFILTRANTE	MODERADAMENTE	DIFERENCIADO	Y	ULCERADO CLAVICULAR DERECHO</t>
  </si>
  <si>
    <t>PCTE CON BIOPSIA POR DERMATOLOGO INDICA CEC CLAVICULAR DERECHO, AMPLIA MARGENES INSUFICIENTES, SE DERIVA A CYC QUIEN PRESENTANA C OMITE Y DECIDEN AMPLAIR MARGENES CON PREVIA ETAPIFICACION. SET QX EN MQ1???</t>
  </si>
  <si>
    <t>NO SE TIENE SET QX // CITAR URGENTE</t>
  </si>
  <si>
    <t>Citar Etapificar</t>
  </si>
  <si>
    <t>JUAN CORTES CORTES</t>
  </si>
  <si>
    <t>SOSPECHA MELANOMA PALMA MANO</t>
  </si>
  <si>
    <t>PENDIENT EBP DE PALMA</t>
  </si>
  <si>
    <t xml:space="preserve">PCTE EVALUADO POR DERMATOLOGO Y DR. DE PB QUIEN INDICA BP DE ZONA PALMAR, PACIENTE ACCEDE A BP AUN EN ESPERA DE PROCEDIMIENTO </t>
  </si>
  <si>
    <t xml:space="preserve">VER TOMA DE BIOPSIA </t>
  </si>
  <si>
    <t>CBC DEDO MANO IZQUIERDA // SARCOMA</t>
  </si>
  <si>
    <t>CEC PECTORAL</t>
  </si>
  <si>
    <t>PCTE EVALUADO POR DR. AZUA QUIEN INDICA PRESENTAR A COMITE DE PIEL, PENDIENTE SUBIR INFORME DE PET-CT TOMADO SABADO 17/01</t>
  </si>
  <si>
    <t>REALIZAR SET QX</t>
  </si>
  <si>
    <t xml:space="preserve">SI </t>
  </si>
  <si>
    <t>LUIS  DIAZ PAREDES</t>
  </si>
  <si>
    <t xml:space="preserve">MELANOMA OPERADO </t>
  </si>
  <si>
    <t xml:space="preserve">SEGUIMIENTO HOSPITALORIGEN CON PET-CT </t>
  </si>
  <si>
    <t>PCTE CON DG D EMELANOMA OPERADO MAS LINFADENECTOMIA AXILAR IZQUIERDA EN 2020. SE DEJA EN SEGUIMIENTO Y RESPRESENTADO EN 2023 DOND EINDICAN SEGUIMIENTO POR HOSPITAL DE ORIGEN. EVALUADO EN OCTUBRE POR DR. AZUA QUIEN DEJ AOCNTROL EN 6 MESES. ACTUALMENTE EN CONTROL Y TTO POR CA DE COLON</t>
  </si>
  <si>
    <t xml:space="preserve">LUIS 	GONZALO 	HUERTA 	HUERTA </t>
  </si>
  <si>
    <t>CBC ESCAPULAR IZQ</t>
  </si>
  <si>
    <t>PCTE CONTROL POST OP CBC DORSO CONTROL EN 1 AÑO</t>
  </si>
  <si>
    <t>CITAR FEB 2027</t>
  </si>
  <si>
    <t>ALEX BELTRAN PASTENES</t>
  </si>
  <si>
    <t>LOS LEICES</t>
  </si>
  <si>
    <t>SCHWANNOMA OPERADO</t>
  </si>
  <si>
    <t>HORAS CONTROL</t>
  </si>
  <si>
    <t>PACIENTE CON DIGANOSTICO DEFINIDO POR BP SE PRESENTA A COMITE INDICANDO SEGUIMIENTO</t>
  </si>
  <si>
    <t>CONTROL EN NOVIEMBRE 2025</t>
  </si>
  <si>
    <t xml:space="preserve">MARCOS AURELIO ALFARO </t>
  </si>
  <si>
    <t xml:space="preserve">CONDROSARCOMA DE INDICE </t>
  </si>
  <si>
    <t>SEGUIMIENTO POR TMT HOSPITAL DE ORIGEN</t>
  </si>
  <si>
    <t xml:space="preserve">SIN CONTROLES POR TMT </t>
  </si>
  <si>
    <t>PCTE SE PRESENTA COMITE EN DFERENTES OCASIONES DONDE SE INDCIA CIRUGIA, SE REALIZ AY FINAMENTE OCN RESULTADO DE BIOPSIA SE INDICA SEGUIMIENT POR TMT OVALLE</t>
  </si>
  <si>
    <t>TMT</t>
  </si>
  <si>
    <t>SEGUIMIENTO DE ENFERMERIA Y SOLICITAR HORA CON TMT</t>
  </si>
  <si>
    <t>PCTE NUEVO</t>
  </si>
  <si>
    <t>ELOISA ROBLES ROBLES</t>
  </si>
  <si>
    <t>CARCINOMA ESPINOCELULAR PIERNA DERECHA T2N0M0 ETAPA II</t>
  </si>
  <si>
    <t>PACIENTE CON DIAGNOSTICO DE CARCINOMA ESPINOCELULAR EN ZONA INGUINAL, SE PRESENTO A COMITE INDICANDO SEGUIMIENTO, SE LE ENTREGA RESOLUCION Y DEJA OCNTROL EN DICIEMBRE</t>
  </si>
  <si>
    <t>4 MESES</t>
  </si>
  <si>
    <t>CONTROL DICIEMBRE 2025</t>
  </si>
  <si>
    <t>ELVIRA DEL ROSARIO  RAMOS CORTES</t>
  </si>
  <si>
    <t>CARCINOMA BASOCELULAR ALA NASAL DERECHA</t>
  </si>
  <si>
    <t>CONTROL</t>
  </si>
  <si>
    <t>PACIENTE CON CBC DE ALA NASAL DERECHA EVALUADA EN MARZO DE 2025, DOCTOR DEJA UNGUENTOCON CONTROL EN 1 MES</t>
  </si>
  <si>
    <t>CONTROL ABRIL 2025</t>
  </si>
  <si>
    <t>Maria Araya Mery</t>
  </si>
  <si>
    <t>CEC BRAZO DERECHO</t>
  </si>
  <si>
    <t>PCTE EVALUAD APOR DERMATOLOGIA EL 09/01/2026 QUIEN INDICA ONTROL EN 1 AÑO</t>
  </si>
  <si>
    <t>CITAR ENERO 2027</t>
  </si>
  <si>
    <t>MARIA CASTILLO FLORES</t>
  </si>
  <si>
    <t>CEC OPERADO</t>
  </si>
  <si>
    <t>EVALUADA MABAS BIOPSIAS PRIMERA DE CEC SIN SIGNOS DE RECIDIVA, SEGUNDA BP VERRUGA. DR. AZUA INDICA SEGUIMIENTO POR DERMATOLOGIA, PACIENTE NO LE GUSTA DR. OSMAN. VERIFICAR SI SEGUIRA ATENCION CON DERMATO</t>
  </si>
  <si>
    <t>CITAR MAYO 2026</t>
  </si>
  <si>
    <t>MARÍA VALDIVIA CAMPILLAY</t>
  </si>
  <si>
    <t xml:space="preserve">TUMOR DESMOIDES OPERADO </t>
  </si>
  <si>
    <t xml:space="preserve">PCTE CON EVALUACION POR SEGUIMIENTO DE TUMOR. QUIEN SE ENCUENTRA ACTUALMENTE EMBARAZADA </t>
  </si>
  <si>
    <t>CITAR JUNIO 2026</t>
  </si>
  <si>
    <t>MARIELA AGUILERA ARAYA</t>
  </si>
  <si>
    <t xml:space="preserve">PACIENTE SIN EVALUACION POR DERMATOLOGO NI CIRUJANO, SE DEJA IMPRESA IC SOLICITAR AGENDAMIENTO </t>
  </si>
  <si>
    <t xml:space="preserve">CEC INFILTRANTE DERMIS RETICULAR </t>
  </si>
  <si>
    <t>DETENIDA</t>
  </si>
  <si>
    <t>PENDIENTE CONTROL CON DERMATOLOGIA</t>
  </si>
  <si>
    <t>PACIENTE SE TOMA BIOPSIA EN OPERATIVO PENDIENTE EVALUACION DE RESULTADO</t>
  </si>
  <si>
    <t>CITAR CON OSMAN VER IC</t>
  </si>
  <si>
    <t>ERCIRA JIMENEZ ROJAS</t>
  </si>
  <si>
    <t xml:space="preserve">CARCINOMA BASOCELULAR MALAR D° </t>
  </si>
  <si>
    <t>CX MENOR</t>
  </si>
  <si>
    <t>PACIENTE EN ESPERA DE RESECCION DE NUEVA LESION EN ZONA MALAR D°, SE LLAMARA PARA RETOMAR ATENCIONES</t>
  </si>
  <si>
    <t>AGENDAR PARA CX MENOR</t>
  </si>
  <si>
    <t>MILA GAJARDO MEDINA</t>
  </si>
  <si>
    <t>RECOLETA</t>
  </si>
  <si>
    <t>MELANOMA IN SITU PIERNA DERECHA</t>
  </si>
  <si>
    <t>SEGUIMIENTO POR DERMATOLOGIA C/6 MESES</t>
  </si>
  <si>
    <t>PCTE DIAGNSOTICADA POR DERMATOLOGO, DERIVADA A CIRUJANO DE PARTES BLANDAS, SE OPERA Y SE REALIZA INJERTO. SE REPRESENTA A COMITE CON RESULTADO DE BIOPSIA CON AMRGNEES QX LIBRES. SE INDICA SEGUIMIENTO POR DERMATOLOGIA CADA 6 MESES. CIRUJANO DE PB ENTREGA RESOLUCION Y SE CITARA EN 6 MESES COND ERMATOLOGO</t>
  </si>
  <si>
    <t>CITARE JULIO 2026</t>
  </si>
  <si>
    <t>MIRIAM MAGALI DEL CA GARNICA CLAROT</t>
  </si>
  <si>
    <t xml:space="preserve">CARCINOMA EPIDERMOIDE BIEN DIFERENCIADO ANTEBRAZO DERECHO // CARCINOMA CELULAS DE MERKEL EN GANGLIOS </t>
  </si>
  <si>
    <t>RNM CEREBRO Y ABDOMEN // IC A ONCOLOGIA PARA INMUNOTERAPIA // CPYAD</t>
  </si>
  <si>
    <t>PCTE CON DIAGNOSTICOS DE CARCINOMA EPIDERMOIDE EN ATB DERECHO SE PRESENTA A COMITE SE REALIZA RESECCION Y SE OSLICITA RT; PERO SE DESESTIMA E INDICAN SEGUIMIENTO EN HOSPITAL DE ORIGEN. PACIENTE CON ADENOPATIA SINGUINALES SE REALIZA BP CON RESULTADOS DE CELULAS DE MERKEL SE VUELVE A PRESENTAR A COMITE Y SE INDICA INMUNOTERAPIA, SE DERIVA A HLS CON RNM DE CERERBO Y ABDOMEN</t>
  </si>
  <si>
    <t>CONTRARREFERENCIA</t>
  </si>
  <si>
    <t>NANCY ORFELINA PINILLA PINILLA</t>
  </si>
  <si>
    <t>TALHUEN</t>
  </si>
  <si>
    <t>CARCINOMA EPIDERMOIDE DE LA PIEL, TIPO QUERATOACANTOMA, QUERATINIZANTE BIEN DIFERENCIADO</t>
  </si>
  <si>
    <t>PENDIENTE CONTROL CON DERMATOLOGO</t>
  </si>
  <si>
    <t>PCTE LLAMADA REITERADAS VECES PARA RESULTADO DE BIOPSIA, ASISTE A CUARTO LLAMADO CON DERMATOLOGO QUIEN DEJA UNGUENTO Y PENDIENTE CONTROL</t>
  </si>
  <si>
    <t>LLAMAR PARA CONTROL</t>
  </si>
  <si>
    <t xml:space="preserve">NATALIA ROSARIO MILLA HIDALGO </t>
  </si>
  <si>
    <t>CARCINOMA EPIDERMOIDE ALA NASAL</t>
  </si>
  <si>
    <t>CONTROL EN 3 MESES</t>
  </si>
  <si>
    <t>ESTER PASTÉN ROBLES</t>
  </si>
  <si>
    <t>MELANOMA PIE D° CON MTT CEREBRAL</t>
  </si>
  <si>
    <t xml:space="preserve">DETERMINACION DE BRAF PARA ESTUDIO CLINICO // INMUNOTERAPIA // CUIDADOS PALIATIVOS </t>
  </si>
  <si>
    <t xml:space="preserve">PACIENTE DERIVADA A HLS PARA INMUNOTERAPIA Y POSIBLE ESTUDIO CLINICO, NO CONTRAREFERIDA. EN NOVIEMBRE S EPRESENTA A COMITE DE CEREBRO POR METASTASIS CEREBAL. PENDIENTE HACER SEGUIMIENTO </t>
  </si>
  <si>
    <t>SEGUIMIENTO POR ENFERMERIA</t>
  </si>
  <si>
    <t>GRIMALDINA DEL CARMEN ADAOS SEURA</t>
  </si>
  <si>
    <t>CEC  DROSAL OPERADO ; ENFERMEDAD DE BOWEN</t>
  </si>
  <si>
    <t>PCTE OPERADA POR CEC DORSALL IZQ CON VACIAMIENTO GANGLIONAR, CON BIOPSIA (+) SE PRESENTA A RT PERO DEFINEN SIN BENEFICIO POR TIEMPO TRANSCURRIDO. SE DEFINE SEGUIMIENTO POR HOSPITAL DE ORIGEN. CONTROL EN ENERO 2026 DR. OSMAN INDICA TAC CUELLO, TAP Y EVALUAR</t>
  </si>
  <si>
    <t>AGENDAR CON TAC TAP+ CUELLO INFORMADO</t>
  </si>
  <si>
    <t>HUGO ANDRADE CARVAJAL</t>
  </si>
  <si>
    <t>MELANOMA MALIGNO EN REGIÓN DE ESPINA ILÍACA SUPERIOR 2018</t>
  </si>
  <si>
    <t>SIN CONTROLES POR HOV, POR ESTAR EN TTO POR CA ESOFAGICO RECIDIVADO</t>
  </si>
  <si>
    <t>RETOMAR CONTROLES</t>
  </si>
  <si>
    <t>OMAR FLORES CORTÉS</t>
  </si>
  <si>
    <t>CARACHILLA /OVALLE</t>
  </si>
  <si>
    <t xml:space="preserve">CBC MALAR IZQUIERDO </t>
  </si>
  <si>
    <t>EVALUADO POR DR OSMAN, SIN SIGNOS DE RECIDIVA INDICA CONTROL EN 1 AÑO</t>
  </si>
  <si>
    <t>CON JUNIO 2026</t>
  </si>
  <si>
    <t>ORLANDO ENRIQUE CORTEZ PASTÉN</t>
  </si>
  <si>
    <t xml:space="preserve">cbc  mejila derecha </t>
  </si>
  <si>
    <t>SE</t>
  </si>
  <si>
    <t xml:space="preserve">PCTE EVALAUDO POR DR. OSMAN POSTERIOR A BIOPSIA. DEJA OCNTROL EN 6 MESES </t>
  </si>
  <si>
    <t>CON JUNIO 2027</t>
  </si>
  <si>
    <t>JUAN DIAZ CORTES</t>
  </si>
  <si>
    <t>TUMOR PIERNA DERECHA??</t>
  </si>
  <si>
    <t xml:space="preserve">ETAPIFICACION </t>
  </si>
  <si>
    <t>PCTE DERIAVDO A NCX, SE DEBE HACER SEGUIMIENTO POR ENFERMERIA</t>
  </si>
  <si>
    <t>VER ESTADO DE PCTE</t>
  </si>
  <si>
    <t>LUCY GONZALEZ VILLACURA</t>
  </si>
  <si>
    <t>CARCINOMA BASOCELULAR ULCERADO PIEL PIERNA IZQUIERDA.</t>
  </si>
  <si>
    <t>no</t>
  </si>
  <si>
    <t>s/c</t>
  </si>
  <si>
    <t>PCTE CON CBC ULCERADO CON  MARGENES QX LIBRES, SE DEJA EN SEGUIMIENTO CON CONTROL EN DICIEMBRE 2025</t>
  </si>
  <si>
    <t>PATRICIO DEL CARMEN TAPIA ARAYA</t>
  </si>
  <si>
    <t xml:space="preserve">ESPINOCELULAR </t>
  </si>
  <si>
    <t>CONTROL ANUAL</t>
  </si>
  <si>
    <t>LUIS EUGENIO PEREZ DIAZ</t>
  </si>
  <si>
    <t>SOTAQUI</t>
  </si>
  <si>
    <t>MELANOMA ACRAL DEDO ANULAR DERECHO</t>
  </si>
  <si>
    <t>REETAPIFICACION Y REPRESENTAR OCN ESTUDIOS</t>
  </si>
  <si>
    <t>EVALUAR SEGUIMIENTO EN HLS</t>
  </si>
  <si>
    <t>PCTE PRESENTADO EN MAYO/2025 POR DR. CHAPARRO QU EIDICO REETAPIFICACION PARA EVALUAR DISEMINACION, NO SE HA TENIDO REPRESENTACION. PENDIENTE EVALUAR SEGUIMIENTO EN HLS Y PCTE CON SEGUIMIENTO POR DERMATOLOGIA QUIEN EVALUA EN ENERO E INDCIA OCNTROL EN 6 MESES SIN SIGNOS DE RECIDIVA</t>
  </si>
  <si>
    <t>CITAR JULIO 2025</t>
  </si>
  <si>
    <t>MARIA ARANCIBIA PIZARRO</t>
  </si>
  <si>
    <t>LIPOMA EPIGASTRICO</t>
  </si>
  <si>
    <t>SIN BP</t>
  </si>
  <si>
    <t>PCTE DEBE TOMARSE ECO ABDOMINAL</t>
  </si>
  <si>
    <t xml:space="preserve">PCTE EVALUADA EN JULIO POR DR. AZUA POR LIPOMA EPIGASTRICO QUIEN </t>
  </si>
  <si>
    <t>ROSA JARA CONTRERAS</t>
  </si>
  <si>
    <t>BASOCELULAR</t>
  </si>
  <si>
    <t xml:space="preserve">CONTROL CON RESULTQDO DE BIOPSIA </t>
  </si>
  <si>
    <t xml:space="preserve">DR. RAMOS / dR. OYARZUN </t>
  </si>
  <si>
    <t>ROSA ROJAS ROJAS</t>
  </si>
  <si>
    <t>NEOPLASIA</t>
  </si>
  <si>
    <t>OLGA CASTILLO ROJAS</t>
  </si>
  <si>
    <t xml:space="preserve">MELANOMA NODULAR T3b N2 M0 ETAPA III </t>
  </si>
  <si>
    <t xml:space="preserve">INMUNOTERAPIA </t>
  </si>
  <si>
    <t>PCTE CON DIAGNOSTICO DE MELANOMA NODULAR CON INMUNOTERAPIA EN 2021, ACTUALMENTE EN SEGUIMIENTO EN HOV SIN RECIDIVA. EVALUADA POR DR. AZUA INDIC ATAC TAP EN ENERO 2026. EVALAUDA POR DERMATOLOGO EN ENERO 2026 INDICA TAC TAP SIN CTE POR ALERGIA.</t>
  </si>
  <si>
    <t>CONTROL CON TAC INFORMADO</t>
  </si>
  <si>
    <t xml:space="preserve">SILVANA GATICA MONTOYA </t>
  </si>
  <si>
    <t>MELANOMA</t>
  </si>
  <si>
    <t xml:space="preserve">WILSON CASTILLO PIZARRO </t>
  </si>
  <si>
    <t>27-05-203</t>
  </si>
  <si>
    <t>control??</t>
  </si>
  <si>
    <t xml:space="preserve">XIMENA PINO ARAYA </t>
  </si>
  <si>
    <t>CONTROL 6M CON EXAMENES</t>
  </si>
  <si>
    <t>SARA ROJAS ROJAS</t>
  </si>
  <si>
    <t>CARCINOMA BASOCELULAR</t>
  </si>
  <si>
    <t>PCTE SE TOMA BIOPSIA SE INGRESA A BAJO CONTROL CON RESULTADO DE BIOPSIA, SE CITA A CONTROL CON DR. OSMAN JUEVES 26/02 INDICA CONTROL EN 1 MES</t>
  </si>
  <si>
    <t>CITAR MARZO-ABRIL</t>
  </si>
  <si>
    <t>JUAN PINO ABARCA</t>
  </si>
  <si>
    <t>CARCINOMA BASOCELULAR INFILTRANTE ANTEBRAZO DERECHO</t>
  </si>
  <si>
    <t>DR AZUA</t>
  </si>
  <si>
    <t>17364503-1</t>
  </si>
  <si>
    <t>PENDIENTE CONTROL (SEPTIEMBRE)</t>
  </si>
  <si>
    <t>7372435-k</t>
  </si>
  <si>
    <t>PENDIENTE CONTROL (NOVIEMBRE)</t>
  </si>
  <si>
    <t>citado 23-02-2026</t>
  </si>
  <si>
    <t>15044426-8</t>
  </si>
  <si>
    <t>PENDIENTE CONTROL (ENERO)</t>
  </si>
  <si>
    <t>4849233-9</t>
  </si>
  <si>
    <t>CONTROL URGENTE</t>
  </si>
  <si>
    <t>DR OSMAN PARTES BLANDAS</t>
  </si>
  <si>
    <t>7226705-2</t>
  </si>
  <si>
    <t>PENDIENTE CONTROL ANUAL ENERO / VER SI QUIERE ASISTIR</t>
  </si>
  <si>
    <t>egresar paciente se traslado a HLS</t>
  </si>
  <si>
    <t>7797739-2</t>
  </si>
  <si>
    <t>CITAR CON TAC TAP TOMADO</t>
  </si>
  <si>
    <t xml:space="preserve">corresponde a azua no esta en bajo control </t>
  </si>
  <si>
    <t>5361650-K</t>
  </si>
  <si>
    <t>PENDIENTE CONTROL DICIEMBRE 2025</t>
  </si>
  <si>
    <t>se agenda paciente 29/01 dr osman (pendiente evolucionar)</t>
  </si>
  <si>
    <t>PENDIENTE CONTROL SEPTIEMBRE 2025</t>
  </si>
  <si>
    <t>citado para 03/02</t>
  </si>
  <si>
    <t>PENDIENTE CONTROL JULIO 2025</t>
  </si>
  <si>
    <t>se agenda paciente  27/01 para control con dr osman (pendiente evolucionar)</t>
  </si>
  <si>
    <t>paciente fallecido 04/01</t>
  </si>
  <si>
    <t>SE AGENDA PACIENTE 27/01 para control (pendiente evolucionar)</t>
  </si>
  <si>
    <t>CONTROL URGENTE CON IC LISTA</t>
  </si>
  <si>
    <t>se agendo para el dia 28/01 (pendiente evolucionar)</t>
  </si>
  <si>
    <t xml:space="preserve">CyC // PIEL </t>
  </si>
  <si>
    <t>EDAD</t>
  </si>
  <si>
    <t>CIUDAD</t>
  </si>
  <si>
    <t>PROCEDIMIENTO PENDIENTE</t>
  </si>
  <si>
    <t>Carcinoma Espinocelular en dorso palmar izq°</t>
  </si>
  <si>
    <t xml:space="preserve">PENDIENTE BIOPSIA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</si>
</sst>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
      <b/>
      <sz val="11"/>
      <color theme="1"/>
      <name val="Calibri"/>
      <family val="2"/>
    </font>
    <font>
      <sz val="11"/>
      <color rgb="FFFF0000"/>
      <name val="Calibri"/>
      <family val="2"/>
      <scheme val="minor"/>
    </font>
    <font>
      <b/>
      <sz val="11"/>
      <color rgb="FFFFFFFF"/>
      <name val="Calibri"/>
      <family val="2"/>
      <scheme val="minor"/>
    </font>
    <font>
      <i/>
      <sz val="11"/>
      <color theme="1"/>
      <name val="Calibri"/>
      <family val="2"/>
      <scheme val="minor"/>
    </font>
    <font>
      <b/>
      <sz val="11"/>
      <color rgb="FF000000"/>
      <name val="Calibri"/>
      <family val="2"/>
    </font>
    <font>
      <sz val="12"/>
      <color rgb="FF434343"/>
      <name val="Verdana"/>
      <family val="2"/>
    </font>
    <font>
      <sz val="12"/>
      <color theme="1"/>
      <name val="Calibri"/>
      <family val="2"/>
      <scheme val="minor"/>
    </font>
    <font>
      <sz val="11"/>
      <color rgb="FF434343"/>
      <name val="Calibri"/>
      <family val="2"/>
      <scheme val="minor"/>
    </font>
    <font>
      <sz val="11"/>
      <color theme="1"/>
      <name val="Times New Roman"/>
      <family val="1"/>
    </font>
    <font>
      <b/>
      <sz val="11"/>
      <color theme="4"/>
      <name val="Calibri"/>
      <family val="2"/>
      <scheme val="minor"/>
    </font>
    <font>
      <sz val="10"/>
      <color rgb="FF4B4B4B"/>
      <name val="Arial"/>
      <family val="2"/>
    </font>
    <font>
      <sz val="11"/>
      <color rgb="FF000000"/>
      <name val="Calibri"/>
      <scheme val="minor"/>
    </font>
    <font>
      <sz val="11"/>
      <color rgb="FF000000"/>
      <name val="Calibri"/>
      <charset val="134"/>
    </font>
    <font>
      <b/>
      <sz val="11"/>
      <color theme="1"/>
      <name val="Calibri"/>
      <charset val="134"/>
      <scheme val="minor"/>
    </font>
    <font>
      <sz val="11"/>
      <name val="Calibri"/>
      <family val="2"/>
    </font>
    <font>
      <sz val="14"/>
      <color rgb="FF000000"/>
      <name val="Calibri"/>
      <family val="2"/>
    </font>
    <font>
      <sz val="12"/>
      <color theme="1"/>
      <name val="Aptos"/>
      <family val="2"/>
    </font>
    <font>
      <sz val="10"/>
      <color rgb="FF000000"/>
      <name val="Calibri"/>
      <charset val="134"/>
      <scheme val="minor"/>
    </font>
    <font>
      <sz val="10"/>
      <color rgb="FF000000"/>
      <name val="Calibri"/>
      <scheme val="minor"/>
    </font>
    <font>
      <sz val="12"/>
      <color theme="0"/>
      <name val="Calibri"/>
      <charset val="134"/>
      <scheme val="minor"/>
    </font>
  </fonts>
  <fills count="27">
    <fill>
      <patternFill patternType="none"/>
    </fill>
    <fill>
      <patternFill patternType="gray125"/>
    </fill>
    <fill>
      <patternFill patternType="solid">
        <fgColor theme="7" tint="0.39994506668294322"/>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14996795556505021"/>
        <bgColor rgb="FFDAE3F3"/>
      </patternFill>
    </fill>
    <fill>
      <patternFill patternType="solid">
        <fgColor rgb="FF003366"/>
        <bgColor indexed="64"/>
      </patternFill>
    </fill>
    <fill>
      <patternFill patternType="solid">
        <fgColor rgb="FFFFC000"/>
        <bgColor indexed="64"/>
      </patternFill>
    </fill>
    <fill>
      <patternFill patternType="solid">
        <fgColor rgb="FFFFFF00"/>
        <bgColor indexed="64"/>
      </patternFill>
    </fill>
    <fill>
      <patternFill patternType="solid">
        <fgColor rgb="FFFF66CC"/>
        <bgColor indexed="64"/>
      </patternFill>
    </fill>
    <fill>
      <patternFill patternType="solid">
        <fgColor theme="7" tint="0.59999389629810485"/>
        <bgColor rgb="FF00A933"/>
      </patternFill>
    </fill>
    <fill>
      <patternFill patternType="solid">
        <fgColor theme="0" tint="-0.14996795556505021"/>
        <bgColor indexed="64"/>
      </patternFill>
    </fill>
    <fill>
      <patternFill patternType="solid">
        <fgColor theme="8" tint="0.79995117038483843"/>
        <bgColor theme="8" tint="0.79995117038483843"/>
      </patternFill>
    </fill>
    <fill>
      <patternFill patternType="solid">
        <fgColor rgb="FFFF0000"/>
        <bgColor indexed="64"/>
      </patternFill>
    </fill>
    <fill>
      <patternFill patternType="solid">
        <fgColor rgb="FF92D050"/>
        <bgColor indexed="64"/>
      </patternFill>
    </fill>
    <fill>
      <patternFill patternType="solid">
        <fgColor rgb="FFFFCCCC"/>
        <bgColor indexed="64"/>
      </patternFill>
    </fill>
    <fill>
      <patternFill patternType="solid">
        <fgColor rgb="FFF9DDFB"/>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DBDBDB"/>
        <bgColor rgb="FF000000"/>
      </patternFill>
    </fill>
    <fill>
      <patternFill patternType="solid">
        <fgColor rgb="FFFFFFFF"/>
        <bgColor rgb="FF000000"/>
      </patternFill>
    </fill>
    <fill>
      <patternFill patternType="solid">
        <fgColor theme="7" tint="0.79998168889431442"/>
        <bgColor theme="8" tint="0.79995117038483843"/>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173">
    <xf numFmtId="0" fontId="0" fillId="0" borderId="0" xfId="0"/>
    <xf numFmtId="0" fontId="0" fillId="0" borderId="0" xfId="0" applyAlignment="1">
      <alignment wrapText="1"/>
    </xf>
    <xf numFmtId="0" fontId="3" fillId="0" borderId="1" xfId="0" applyFont="1" applyBorder="1" applyAlignment="1" applyProtection="1">
      <alignment horizontal="left" wrapText="1"/>
      <protection locked="0"/>
    </xf>
    <xf numFmtId="0" fontId="3" fillId="0" borderId="1" xfId="0" applyFont="1" applyBorder="1" applyAlignment="1">
      <alignment horizontal="left" wrapText="1"/>
    </xf>
    <xf numFmtId="0" fontId="3" fillId="0" borderId="0" xfId="0" applyFont="1" applyAlignment="1">
      <alignment wrapText="1"/>
    </xf>
    <xf numFmtId="0" fontId="0" fillId="0" borderId="0" xfId="0" applyAlignment="1">
      <alignment horizontal="left" wrapText="1"/>
    </xf>
    <xf numFmtId="0" fontId="0" fillId="6" borderId="0" xfId="0" applyFill="1"/>
    <xf numFmtId="0" fontId="0" fillId="4" borderId="1" xfId="0" applyFill="1" applyBorder="1" applyAlignment="1">
      <alignment horizontal="left" wrapText="1"/>
    </xf>
    <xf numFmtId="0" fontId="0" fillId="7" borderId="1" xfId="0" applyFill="1"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left" wrapText="1"/>
    </xf>
    <xf numFmtId="0" fontId="0" fillId="4" borderId="1" xfId="0" applyFill="1" applyBorder="1"/>
    <xf numFmtId="0" fontId="0" fillId="8" borderId="1" xfId="0" applyFill="1" applyBorder="1" applyAlignment="1">
      <alignment horizontal="left" wrapText="1"/>
    </xf>
    <xf numFmtId="0" fontId="0" fillId="9" borderId="1" xfId="0" applyFill="1" applyBorder="1" applyAlignment="1">
      <alignment horizontal="left" wrapText="1"/>
    </xf>
    <xf numFmtId="0" fontId="0" fillId="3" borderId="1" xfId="0" applyFill="1" applyBorder="1" applyAlignment="1">
      <alignment horizontal="left" wrapText="1"/>
    </xf>
    <xf numFmtId="1" fontId="0" fillId="3" borderId="1" xfId="0" applyNumberFormat="1" applyFill="1" applyBorder="1" applyAlignment="1">
      <alignment horizontal="left" wrapText="1"/>
    </xf>
    <xf numFmtId="1" fontId="0" fillId="0" borderId="1" xfId="0" applyNumberFormat="1" applyBorder="1" applyAlignment="1">
      <alignment horizontal="left" wrapText="1"/>
    </xf>
    <xf numFmtId="14" fontId="0" fillId="0" borderId="1" xfId="0" applyNumberFormat="1" applyBorder="1" applyAlignment="1">
      <alignment horizontal="left" wrapText="1"/>
    </xf>
    <xf numFmtId="14" fontId="0" fillId="3" borderId="1" xfId="0" applyNumberFormat="1" applyFill="1" applyBorder="1" applyAlignment="1">
      <alignment horizontal="left" wrapText="1"/>
    </xf>
    <xf numFmtId="0" fontId="8" fillId="0" borderId="1" xfId="0" applyFont="1" applyBorder="1" applyAlignment="1">
      <alignment horizontal="left" wrapText="1"/>
    </xf>
    <xf numFmtId="14" fontId="0" fillId="0" borderId="1" xfId="0" applyNumberFormat="1" applyBorder="1"/>
    <xf numFmtId="0" fontId="0" fillId="3" borderId="1" xfId="0" applyFill="1" applyBorder="1"/>
    <xf numFmtId="0" fontId="0" fillId="0" borderId="1" xfId="0" applyBorder="1"/>
    <xf numFmtId="0" fontId="0" fillId="12" borderId="1" xfId="0" applyFill="1" applyBorder="1" applyAlignment="1">
      <alignment horizontal="left" wrapText="1"/>
    </xf>
    <xf numFmtId="0" fontId="0" fillId="12" borderId="1" xfId="0" applyFill="1" applyBorder="1"/>
    <xf numFmtId="0" fontId="0" fillId="0" borderId="1" xfId="0" applyBorder="1" applyAlignment="1">
      <alignment wrapText="1"/>
    </xf>
    <xf numFmtId="0" fontId="0" fillId="8" borderId="0" xfId="0" applyFill="1" applyAlignment="1">
      <alignment wrapText="1"/>
    </xf>
    <xf numFmtId="0" fontId="0" fillId="8" borderId="0" xfId="0" applyFill="1"/>
    <xf numFmtId="0" fontId="4" fillId="0" borderId="1" xfId="0" applyFont="1" applyBorder="1" applyAlignment="1">
      <alignment horizontal="left" wrapText="1"/>
    </xf>
    <xf numFmtId="0" fontId="0" fillId="3" borderId="1" xfId="0" applyFill="1" applyBorder="1" applyAlignment="1">
      <alignment wrapText="1"/>
    </xf>
    <xf numFmtId="0" fontId="0" fillId="14" borderId="0" xfId="0" applyFill="1"/>
    <xf numFmtId="0" fontId="5" fillId="5" borderId="1" xfId="0" applyFont="1" applyFill="1" applyBorder="1" applyAlignment="1">
      <alignment vertical="center"/>
    </xf>
    <xf numFmtId="0" fontId="0" fillId="0" borderId="3" xfId="0" applyBorder="1" applyAlignment="1">
      <alignment horizontal="left" wrapText="1"/>
    </xf>
    <xf numFmtId="0" fontId="0" fillId="15" borderId="1" xfId="0" applyFill="1" applyBorder="1" applyAlignment="1">
      <alignment horizontal="left" wrapText="1"/>
    </xf>
    <xf numFmtId="0" fontId="0" fillId="15" borderId="3" xfId="0" applyFill="1" applyBorder="1" applyAlignment="1">
      <alignment horizontal="left" wrapText="1"/>
    </xf>
    <xf numFmtId="0" fontId="0" fillId="16" borderId="1" xfId="0" applyFill="1" applyBorder="1" applyAlignment="1">
      <alignment horizontal="left" wrapText="1"/>
    </xf>
    <xf numFmtId="0" fontId="0" fillId="17" borderId="3" xfId="0" applyFill="1" applyBorder="1" applyAlignment="1">
      <alignment horizontal="left" wrapText="1"/>
    </xf>
    <xf numFmtId="0" fontId="0" fillId="17" borderId="1" xfId="0" applyFill="1" applyBorder="1" applyAlignment="1">
      <alignment horizontal="left" wrapText="1"/>
    </xf>
    <xf numFmtId="0" fontId="0" fillId="7" borderId="1" xfId="0" applyFill="1" applyBorder="1"/>
    <xf numFmtId="0" fontId="0" fillId="18" borderId="1" xfId="0" applyFill="1" applyBorder="1" applyAlignment="1">
      <alignment horizontal="left" wrapText="1"/>
    </xf>
    <xf numFmtId="1" fontId="0" fillId="18" borderId="1" xfId="0" applyNumberFormat="1" applyFill="1" applyBorder="1" applyAlignment="1">
      <alignment horizontal="left" wrapText="1"/>
    </xf>
    <xf numFmtId="0" fontId="0" fillId="17" borderId="4" xfId="0" applyFill="1" applyBorder="1" applyAlignment="1">
      <alignment horizontal="left" wrapText="1"/>
    </xf>
    <xf numFmtId="0" fontId="0" fillId="3" borderId="1" xfId="0" applyFill="1" applyBorder="1" applyAlignment="1">
      <alignment horizontal="left"/>
    </xf>
    <xf numFmtId="0" fontId="10" fillId="0" borderId="1" xfId="0" applyFont="1" applyBorder="1" applyAlignment="1">
      <alignment wrapText="1"/>
    </xf>
    <xf numFmtId="0" fontId="11" fillId="0" borderId="1" xfId="0" applyFont="1" applyBorder="1" applyAlignment="1">
      <alignment horizontal="left" wrapText="1"/>
    </xf>
    <xf numFmtId="0" fontId="0" fillId="13" borderId="1" xfId="0" applyFill="1" applyBorder="1" applyAlignment="1">
      <alignment horizontal="left" wrapText="1"/>
    </xf>
    <xf numFmtId="0" fontId="12" fillId="0" borderId="1" xfId="0" applyFont="1" applyBorder="1" applyAlignment="1">
      <alignment horizontal="left" wrapText="1"/>
    </xf>
    <xf numFmtId="0" fontId="5" fillId="5" borderId="1" xfId="0" applyFont="1" applyFill="1" applyBorder="1" applyAlignment="1">
      <alignment vertical="center" wrapText="1"/>
    </xf>
    <xf numFmtId="0" fontId="5" fillId="10" borderId="1" xfId="0" applyFont="1" applyFill="1" applyBorder="1" applyAlignment="1">
      <alignment horizontal="center" vertical="center"/>
    </xf>
    <xf numFmtId="14" fontId="0" fillId="17" borderId="1" xfId="0" applyNumberFormat="1" applyFill="1" applyBorder="1" applyAlignment="1">
      <alignment horizontal="left" wrapText="1"/>
    </xf>
    <xf numFmtId="14" fontId="11" fillId="0" borderId="1" xfId="0" applyNumberFormat="1" applyFont="1" applyBorder="1" applyAlignment="1">
      <alignment horizontal="left" wrapText="1"/>
    </xf>
    <xf numFmtId="0" fontId="11" fillId="0" borderId="0" xfId="0" applyFont="1" applyAlignment="1">
      <alignment horizontal="left" wrapText="1"/>
    </xf>
    <xf numFmtId="0" fontId="6" fillId="3" borderId="1" xfId="0" applyFont="1" applyFill="1" applyBorder="1" applyAlignment="1">
      <alignment horizontal="left" wrapText="1"/>
    </xf>
    <xf numFmtId="0" fontId="13" fillId="0" borderId="1" xfId="0" applyFont="1" applyBorder="1" applyAlignment="1">
      <alignment horizontal="left" wrapText="1"/>
    </xf>
    <xf numFmtId="0" fontId="0" fillId="6" borderId="4" xfId="0" applyFill="1" applyBorder="1"/>
    <xf numFmtId="0" fontId="0" fillId="6" borderId="2" xfId="0" applyFill="1" applyBorder="1"/>
    <xf numFmtId="0" fontId="9" fillId="5" borderId="1" xfId="0" applyFont="1" applyFill="1" applyBorder="1" applyAlignment="1">
      <alignment vertical="center" wrapText="1"/>
    </xf>
    <xf numFmtId="0" fontId="4" fillId="11" borderId="1" xfId="0" applyFont="1" applyFill="1" applyBorder="1" applyAlignment="1">
      <alignment vertical="center"/>
    </xf>
    <xf numFmtId="0" fontId="4" fillId="11" borderId="5" xfId="0" applyFont="1" applyFill="1" applyBorder="1" applyAlignment="1">
      <alignment horizontal="center" wrapText="1"/>
    </xf>
    <xf numFmtId="0" fontId="4" fillId="19" borderId="6" xfId="0" applyFont="1" applyFill="1" applyBorder="1"/>
    <xf numFmtId="0" fontId="4" fillId="19" borderId="1" xfId="0" applyFont="1" applyFill="1" applyBorder="1" applyAlignment="1">
      <alignment horizontal="center"/>
    </xf>
    <xf numFmtId="0" fontId="0" fillId="0" borderId="5" xfId="0" applyBorder="1" applyAlignment="1">
      <alignment horizontal="left" wrapText="1"/>
    </xf>
    <xf numFmtId="0" fontId="0" fillId="15" borderId="5" xfId="0" applyFill="1" applyBorder="1" applyAlignment="1">
      <alignment horizontal="left" wrapText="1"/>
    </xf>
    <xf numFmtId="0" fontId="3" fillId="17" borderId="1" xfId="0" applyFont="1" applyFill="1" applyBorder="1" applyAlignment="1">
      <alignment horizontal="left" wrapText="1"/>
    </xf>
    <xf numFmtId="0" fontId="12" fillId="17" borderId="1" xfId="0" applyFont="1" applyFill="1" applyBorder="1" applyAlignment="1">
      <alignment horizontal="left" wrapText="1"/>
    </xf>
    <xf numFmtId="0" fontId="0" fillId="17" borderId="5" xfId="0" applyFill="1" applyBorder="1" applyAlignment="1">
      <alignment horizontal="left" wrapText="1"/>
    </xf>
    <xf numFmtId="0" fontId="0" fillId="11" borderId="1" xfId="0" applyFill="1" applyBorder="1"/>
    <xf numFmtId="0" fontId="0" fillId="18" borderId="5" xfId="0" applyFill="1" applyBorder="1" applyAlignment="1">
      <alignment horizontal="left" wrapText="1"/>
    </xf>
    <xf numFmtId="14" fontId="0" fillId="3" borderId="5" xfId="0" applyNumberFormat="1" applyFill="1" applyBorder="1"/>
    <xf numFmtId="14" fontId="0" fillId="0" borderId="5" xfId="0" applyNumberFormat="1" applyBorder="1" applyAlignment="1">
      <alignment horizontal="left" wrapText="1"/>
    </xf>
    <xf numFmtId="17" fontId="0" fillId="0" borderId="5" xfId="0" applyNumberFormat="1" applyBorder="1"/>
    <xf numFmtId="14" fontId="0" fillId="3" borderId="5" xfId="0" applyNumberFormat="1" applyFill="1" applyBorder="1" applyAlignment="1">
      <alignment horizontal="left" wrapText="1"/>
    </xf>
    <xf numFmtId="14" fontId="0" fillId="0" borderId="1" xfId="0" applyNumberFormat="1" applyBorder="1" applyAlignment="1">
      <alignment horizontal="left"/>
    </xf>
    <xf numFmtId="0" fontId="4" fillId="0" borderId="1" xfId="0" applyFont="1" applyBorder="1" applyAlignment="1">
      <alignment wrapText="1"/>
    </xf>
    <xf numFmtId="0" fontId="0" fillId="20" borderId="1" xfId="0" applyFill="1" applyBorder="1" applyAlignment="1">
      <alignment horizontal="left" wrapText="1"/>
    </xf>
    <xf numFmtId="0" fontId="0" fillId="20" borderId="6" xfId="0" applyFill="1" applyBorder="1" applyAlignment="1">
      <alignment horizontal="left" wrapText="1"/>
    </xf>
    <xf numFmtId="0" fontId="3" fillId="0" borderId="6" xfId="0" applyFont="1" applyBorder="1" applyAlignment="1">
      <alignment horizontal="left" wrapText="1"/>
    </xf>
    <xf numFmtId="0" fontId="0" fillId="0" borderId="6" xfId="0" applyBorder="1" applyAlignment="1">
      <alignment horizontal="left" wrapText="1"/>
    </xf>
    <xf numFmtId="14" fontId="0" fillId="0" borderId="6" xfId="0" applyNumberFormat="1" applyBorder="1" applyAlignment="1">
      <alignment horizontal="left" wrapText="1"/>
    </xf>
    <xf numFmtId="0" fontId="0" fillId="12" borderId="6" xfId="0" applyFill="1" applyBorder="1"/>
    <xf numFmtId="0" fontId="4" fillId="0" borderId="1" xfId="0" applyFont="1" applyBorder="1"/>
    <xf numFmtId="0" fontId="3" fillId="22" borderId="1" xfId="0" applyFont="1" applyFill="1" applyBorder="1" applyAlignment="1">
      <alignment horizontal="left" wrapText="1"/>
    </xf>
    <xf numFmtId="0" fontId="0" fillId="4" borderId="6" xfId="0" applyFill="1" applyBorder="1" applyAlignment="1">
      <alignment horizontal="left" wrapText="1"/>
    </xf>
    <xf numFmtId="0" fontId="3" fillId="22" borderId="6" xfId="0" applyFont="1" applyFill="1" applyBorder="1" applyAlignment="1">
      <alignment horizontal="left" wrapText="1"/>
    </xf>
    <xf numFmtId="0" fontId="0" fillId="0" borderId="6" xfId="0" applyBorder="1"/>
    <xf numFmtId="0" fontId="1" fillId="0" borderId="6" xfId="0" applyFont="1" applyBorder="1" applyAlignment="1">
      <alignment horizontal="left" wrapText="1"/>
    </xf>
    <xf numFmtId="0" fontId="1" fillId="0" borderId="6" xfId="0" applyFont="1" applyBorder="1" applyAlignment="1">
      <alignment wrapText="1"/>
    </xf>
    <xf numFmtId="0" fontId="1" fillId="0" borderId="0" xfId="0" applyFont="1"/>
    <xf numFmtId="0" fontId="1" fillId="0" borderId="1" xfId="0" applyFont="1" applyBorder="1" applyAlignment="1" applyProtection="1">
      <alignment horizontal="left" wrapText="1"/>
      <protection locked="0"/>
    </xf>
    <xf numFmtId="0" fontId="1" fillId="0" borderId="1" xfId="0" applyFont="1" applyBorder="1" applyAlignment="1">
      <alignment wrapText="1"/>
    </xf>
    <xf numFmtId="0" fontId="3" fillId="0" borderId="9" xfId="0" applyFont="1" applyBorder="1" applyAlignment="1">
      <alignment horizontal="left" wrapText="1"/>
    </xf>
    <xf numFmtId="0" fontId="0" fillId="0" borderId="9" xfId="0" applyBorder="1" applyAlignment="1">
      <alignment horizontal="left" wrapText="1"/>
    </xf>
    <xf numFmtId="0" fontId="0" fillId="4" borderId="1" xfId="0" applyFill="1" applyBorder="1" applyAlignment="1">
      <alignment horizontal="center"/>
    </xf>
    <xf numFmtId="0" fontId="3" fillId="0" borderId="9" xfId="0" applyFont="1" applyBorder="1" applyAlignment="1">
      <alignment horizontal="center" vertical="center" wrapText="1"/>
    </xf>
    <xf numFmtId="0" fontId="0" fillId="0" borderId="9" xfId="0" applyBorder="1"/>
    <xf numFmtId="0" fontId="0" fillId="0" borderId="9" xfId="0" applyBorder="1" applyAlignment="1">
      <alignment wrapText="1"/>
    </xf>
    <xf numFmtId="14" fontId="0" fillId="0" borderId="9" xfId="0" applyNumberFormat="1" applyBorder="1"/>
    <xf numFmtId="0" fontId="0" fillId="4" borderId="9" xfId="0" applyFill="1" applyBorder="1" applyAlignment="1">
      <alignment horizontal="center"/>
    </xf>
    <xf numFmtId="0" fontId="3" fillId="0" borderId="9" xfId="0" applyFont="1" applyBorder="1" applyAlignment="1" applyProtection="1">
      <alignment horizontal="left" wrapText="1"/>
      <protection locked="0"/>
    </xf>
    <xf numFmtId="0" fontId="3" fillId="0" borderId="10" xfId="0" applyFont="1" applyBorder="1" applyAlignment="1">
      <alignment horizontal="left" wrapText="1"/>
    </xf>
    <xf numFmtId="14" fontId="0" fillId="0" borderId="0" xfId="0" applyNumberFormat="1"/>
    <xf numFmtId="0" fontId="1" fillId="0" borderId="9" xfId="0" applyFont="1" applyBorder="1"/>
    <xf numFmtId="0" fontId="4" fillId="0" borderId="2" xfId="0" applyFont="1" applyBorder="1"/>
    <xf numFmtId="0" fontId="17" fillId="0" borderId="9" xfId="0" applyFont="1" applyBorder="1" applyAlignment="1">
      <alignment wrapText="1"/>
    </xf>
    <xf numFmtId="0" fontId="1" fillId="0" borderId="9" xfId="0" applyFont="1" applyBorder="1" applyAlignment="1">
      <alignment horizontal="left"/>
    </xf>
    <xf numFmtId="0" fontId="3" fillId="0" borderId="9" xfId="0" applyFont="1" applyBorder="1" applyAlignment="1">
      <alignment wrapText="1"/>
    </xf>
    <xf numFmtId="0" fontId="1" fillId="0" borderId="9" xfId="0" applyFont="1" applyBorder="1" applyAlignment="1">
      <alignment wrapText="1"/>
    </xf>
    <xf numFmtId="0" fontId="0" fillId="8" borderId="1" xfId="0" applyFill="1" applyBorder="1" applyAlignment="1">
      <alignment horizontal="center"/>
    </xf>
    <xf numFmtId="0" fontId="3" fillId="8" borderId="1" xfId="0" applyFont="1" applyFill="1" applyBorder="1" applyAlignment="1">
      <alignment horizontal="left" wrapText="1"/>
    </xf>
    <xf numFmtId="0" fontId="15" fillId="8" borderId="1" xfId="0" applyFont="1" applyFill="1" applyBorder="1"/>
    <xf numFmtId="0" fontId="17" fillId="24" borderId="1" xfId="0" applyFont="1" applyFill="1" applyBorder="1"/>
    <xf numFmtId="0" fontId="17" fillId="0" borderId="0" xfId="0" applyFont="1"/>
    <xf numFmtId="0" fontId="19" fillId="0" borderId="3" xfId="0" applyFont="1" applyBorder="1" applyAlignment="1">
      <alignment wrapText="1"/>
    </xf>
    <xf numFmtId="0" fontId="17" fillId="0" borderId="3" xfId="0" applyFont="1" applyBorder="1" applyAlignment="1">
      <alignment wrapText="1"/>
    </xf>
    <xf numFmtId="0" fontId="16" fillId="0" borderId="9" xfId="0" applyFont="1" applyBorder="1"/>
    <xf numFmtId="0" fontId="18" fillId="21" borderId="2" xfId="0" applyFont="1" applyFill="1" applyBorder="1"/>
    <xf numFmtId="0" fontId="0" fillId="0" borderId="9" xfId="0" applyBorder="1" applyAlignment="1">
      <alignment horizontal="right" wrapText="1"/>
    </xf>
    <xf numFmtId="0" fontId="0" fillId="0" borderId="9" xfId="0" applyBorder="1" applyAlignment="1">
      <alignment horizontal="right"/>
    </xf>
    <xf numFmtId="0" fontId="0" fillId="3" borderId="9" xfId="0" applyFill="1" applyBorder="1" applyAlignment="1">
      <alignment horizontal="right" wrapText="1"/>
    </xf>
    <xf numFmtId="0" fontId="3" fillId="0" borderId="9" xfId="0" applyFont="1" applyBorder="1"/>
    <xf numFmtId="0" fontId="2" fillId="0" borderId="9" xfId="0" applyFont="1" applyBorder="1" applyAlignment="1">
      <alignment wrapText="1"/>
    </xf>
    <xf numFmtId="0" fontId="1" fillId="0" borderId="3" xfId="0" applyFont="1" applyBorder="1" applyAlignment="1">
      <alignment wrapText="1"/>
    </xf>
    <xf numFmtId="0" fontId="0" fillId="0" borderId="10" xfId="0" applyBorder="1" applyAlignment="1">
      <alignment horizontal="right" wrapText="1"/>
    </xf>
    <xf numFmtId="0" fontId="1" fillId="0" borderId="10" xfId="0" applyFont="1" applyBorder="1"/>
    <xf numFmtId="0" fontId="1" fillId="0" borderId="4" xfId="0" applyFont="1" applyBorder="1" applyAlignment="1">
      <alignment wrapText="1"/>
    </xf>
    <xf numFmtId="0" fontId="0" fillId="0" borderId="0" xfId="0" applyAlignment="1">
      <alignment horizontal="left" vertical="center"/>
    </xf>
    <xf numFmtId="0" fontId="21" fillId="0" borderId="1" xfId="0" applyFont="1" applyBorder="1" applyAlignment="1">
      <alignment horizontal="left" vertical="center" wrapText="1"/>
    </xf>
    <xf numFmtId="0" fontId="0" fillId="0" borderId="0" xfId="0" applyAlignment="1">
      <alignment horizontal="left" vertical="center" wrapText="1"/>
    </xf>
    <xf numFmtId="14" fontId="21" fillId="0" borderId="1" xfId="0" applyNumberFormat="1" applyFont="1" applyBorder="1" applyAlignment="1">
      <alignment horizontal="left" vertical="center" wrapText="1"/>
    </xf>
    <xf numFmtId="0" fontId="21" fillId="26" borderId="1" xfId="0" applyFont="1" applyFill="1" applyBorder="1" applyAlignment="1">
      <alignment horizontal="left" vertical="center" wrapText="1"/>
    </xf>
    <xf numFmtId="0" fontId="22" fillId="0" borderId="9" xfId="0" applyFont="1" applyBorder="1" applyAlignment="1">
      <alignment horizontal="left" vertical="top" wrapText="1"/>
    </xf>
    <xf numFmtId="0" fontId="22" fillId="0" borderId="9" xfId="0" applyFont="1" applyBorder="1" applyAlignment="1">
      <alignment horizontal="left" vertical="top"/>
    </xf>
    <xf numFmtId="0" fontId="22" fillId="0" borderId="1" xfId="0" applyFont="1" applyBorder="1" applyAlignment="1">
      <alignment horizontal="left" vertical="top" wrapText="1"/>
    </xf>
    <xf numFmtId="14" fontId="22" fillId="0" borderId="9" xfId="0" applyNumberFormat="1" applyFont="1" applyBorder="1" applyAlignment="1">
      <alignment horizontal="left" vertical="top"/>
    </xf>
    <xf numFmtId="0" fontId="22" fillId="0" borderId="9" xfId="0" applyFont="1" applyBorder="1" applyAlignment="1" applyProtection="1">
      <alignment horizontal="left" vertical="top" wrapText="1"/>
      <protection locked="0"/>
    </xf>
    <xf numFmtId="0" fontId="22" fillId="0" borderId="10" xfId="0" applyFont="1" applyBorder="1" applyAlignment="1">
      <alignment horizontal="left" vertical="top" wrapText="1"/>
    </xf>
    <xf numFmtId="0" fontId="22" fillId="0" borderId="10" xfId="0" applyFont="1" applyBorder="1" applyAlignment="1">
      <alignment horizontal="left" vertical="top"/>
    </xf>
    <xf numFmtId="14" fontId="22" fillId="0" borderId="10" xfId="0" applyNumberFormat="1" applyFont="1" applyBorder="1" applyAlignment="1">
      <alignment horizontal="left" vertical="top"/>
    </xf>
    <xf numFmtId="14" fontId="22" fillId="0" borderId="9" xfId="0" applyNumberFormat="1" applyFont="1" applyBorder="1" applyAlignment="1">
      <alignment horizontal="left" vertical="top" wrapText="1"/>
    </xf>
    <xf numFmtId="0" fontId="23" fillId="0" borderId="9" xfId="0" applyFont="1" applyBorder="1" applyAlignment="1">
      <alignment horizontal="left" vertical="top" wrapText="1"/>
    </xf>
    <xf numFmtId="0" fontId="22" fillId="0" borderId="9" xfId="0" applyFont="1" applyBorder="1" applyAlignment="1">
      <alignment horizontal="left" vertical="top" indent="7"/>
    </xf>
    <xf numFmtId="0" fontId="22" fillId="0" borderId="9" xfId="0" applyFont="1" applyBorder="1" applyAlignment="1">
      <alignment horizontal="center" vertical="top"/>
    </xf>
    <xf numFmtId="0" fontId="22" fillId="0" borderId="12" xfId="0" applyFont="1" applyBorder="1" applyAlignment="1">
      <alignment horizontal="center" vertical="center" wrapText="1"/>
    </xf>
    <xf numFmtId="0" fontId="0" fillId="0" borderId="0" xfId="0" applyAlignment="1">
      <alignment horizontal="center" vertical="center"/>
    </xf>
    <xf numFmtId="0" fontId="24" fillId="0" borderId="9" xfId="0" applyFont="1" applyBorder="1" applyAlignment="1">
      <alignment vertical="center" wrapText="1"/>
    </xf>
    <xf numFmtId="0" fontId="22" fillId="0" borderId="10" xfId="0" applyFont="1" applyBorder="1" applyAlignment="1">
      <alignment horizontal="center" vertical="top"/>
    </xf>
    <xf numFmtId="0" fontId="24" fillId="0" borderId="9" xfId="0" applyFont="1" applyBorder="1" applyAlignment="1">
      <alignment horizontal="left" vertical="top" wrapText="1"/>
    </xf>
    <xf numFmtId="0" fontId="0" fillId="0" borderId="0" xfId="0" applyAlignment="1">
      <alignment horizontal="left" vertical="top" wrapText="1"/>
    </xf>
    <xf numFmtId="0" fontId="24" fillId="0" borderId="12" xfId="0" applyFont="1" applyBorder="1" applyAlignment="1">
      <alignment vertical="center" wrapText="1"/>
    </xf>
    <xf numFmtId="0" fontId="24" fillId="0" borderId="9" xfId="0" applyFont="1" applyBorder="1" applyAlignment="1">
      <alignment horizontal="center" vertical="center" wrapText="1"/>
    </xf>
    <xf numFmtId="0" fontId="0" fillId="0" borderId="0" xfId="0" applyAlignment="1">
      <alignment vertical="center" wrapText="1"/>
    </xf>
    <xf numFmtId="0" fontId="24" fillId="0" borderId="0" xfId="0" applyFont="1" applyAlignment="1">
      <alignment horizontal="left" vertical="center" wrapText="1"/>
    </xf>
    <xf numFmtId="0" fontId="22" fillId="0" borderId="0" xfId="0" applyFont="1" applyAlignment="1">
      <alignment horizontal="left" vertical="center" wrapText="1"/>
    </xf>
    <xf numFmtId="17" fontId="22" fillId="0" borderId="9" xfId="0" applyNumberFormat="1" applyFont="1" applyBorder="1" applyAlignment="1">
      <alignment horizontal="left" vertical="top"/>
    </xf>
    <xf numFmtId="0" fontId="23" fillId="0" borderId="13" xfId="0" applyFont="1" applyBorder="1" applyAlignment="1">
      <alignment horizontal="center" vertical="center" wrapText="1"/>
    </xf>
    <xf numFmtId="0" fontId="23" fillId="0" borderId="10" xfId="0" applyFont="1" applyBorder="1" applyAlignment="1">
      <alignment horizontal="left" vertical="top" wrapText="1"/>
    </xf>
    <xf numFmtId="14" fontId="23" fillId="0" borderId="10" xfId="0" applyNumberFormat="1" applyFont="1" applyBorder="1" applyAlignment="1">
      <alignment horizontal="left" vertical="top" wrapText="1"/>
    </xf>
    <xf numFmtId="0" fontId="23" fillId="0" borderId="10" xfId="0" applyFont="1" applyBorder="1" applyAlignment="1">
      <alignment horizontal="center" vertical="top"/>
    </xf>
    <xf numFmtId="0" fontId="23" fillId="0" borderId="10" xfId="0" applyFont="1" applyBorder="1" applyAlignment="1">
      <alignment horizontal="left" vertical="top"/>
    </xf>
    <xf numFmtId="14" fontId="23" fillId="0" borderId="10" xfId="0" applyNumberFormat="1" applyFont="1" applyBorder="1" applyAlignment="1">
      <alignment horizontal="left" vertical="top"/>
    </xf>
    <xf numFmtId="0" fontId="23" fillId="0" borderId="2" xfId="0" applyFont="1" applyBorder="1" applyAlignment="1">
      <alignment horizontal="left" vertical="top" wrapText="1"/>
    </xf>
    <xf numFmtId="0" fontId="23" fillId="0" borderId="0" xfId="0" applyFont="1" applyAlignment="1">
      <alignment horizontal="left" vertical="top"/>
    </xf>
    <xf numFmtId="0" fontId="23" fillId="0" borderId="0" xfId="0" applyFont="1" applyAlignment="1">
      <alignment horizontal="left" vertical="center" wrapText="1"/>
    </xf>
    <xf numFmtId="0" fontId="20" fillId="25" borderId="0" xfId="0" applyFont="1" applyFill="1" applyAlignment="1">
      <alignment wrapText="1"/>
    </xf>
    <xf numFmtId="0" fontId="20" fillId="25" borderId="11" xfId="0" applyFont="1" applyFill="1" applyBorder="1" applyAlignment="1">
      <alignment wrapText="1"/>
    </xf>
    <xf numFmtId="0" fontId="1" fillId="23" borderId="5" xfId="0" applyFont="1" applyFill="1" applyBorder="1" applyAlignment="1">
      <alignment horizontal="center"/>
    </xf>
    <xf numFmtId="0" fontId="1" fillId="23" borderId="7" xfId="0" applyFont="1" applyFill="1" applyBorder="1" applyAlignment="1">
      <alignment horizontal="center"/>
    </xf>
    <xf numFmtId="0" fontId="1" fillId="23" borderId="3" xfId="0" applyFont="1" applyFill="1" applyBorder="1" applyAlignment="1">
      <alignment horizontal="center"/>
    </xf>
    <xf numFmtId="0" fontId="2" fillId="2" borderId="0" xfId="0" applyFont="1" applyFill="1" applyAlignment="1">
      <alignment horizontal="center"/>
    </xf>
    <xf numFmtId="0" fontId="2" fillId="2" borderId="8" xfId="0" applyFont="1" applyFill="1" applyBorder="1" applyAlignment="1">
      <alignment horizontal="center"/>
    </xf>
    <xf numFmtId="0" fontId="1" fillId="17" borderId="5" xfId="0" applyFont="1" applyFill="1" applyBorder="1" applyAlignment="1">
      <alignment horizontal="center"/>
    </xf>
    <xf numFmtId="0" fontId="1" fillId="17" borderId="7" xfId="0" applyFont="1" applyFill="1" applyBorder="1" applyAlignment="1">
      <alignment horizontal="center"/>
    </xf>
    <xf numFmtId="0" fontId="1" fillId="17" borderId="3" xfId="0" applyFont="1" applyFill="1" applyBorder="1" applyAlignment="1">
      <alignment horizontal="center"/>
    </xf>
  </cellXfs>
  <cellStyles count="1">
    <cellStyle name="Normal" xfId="0" builtinId="0"/>
  </cellStyles>
  <dxfs count="38">
    <dxf>
      <font>
        <b val="0"/>
        <sz val="10"/>
        <color rgb="FF000000"/>
        <name val="Calibri"/>
        <scheme val="minor"/>
      </font>
      <fill>
        <patternFill patternType="none"/>
      </fill>
      <alignment horizontal="left" vertical="center" wrapText="1"/>
    </dxf>
    <dxf>
      <font>
        <b val="0"/>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sz val="10"/>
        <color rgb="FF000000"/>
        <name val="Calibri"/>
        <scheme val="minor"/>
      </font>
      <fill>
        <patternFill patternType="none"/>
      </fill>
      <alignment horizontal="left" vertical="top"/>
    </dxf>
    <dxf>
      <font>
        <b val="0"/>
        <i val="0"/>
        <strike val="0"/>
        <condense val="0"/>
        <extend val="0"/>
        <outline val="0"/>
        <shadow val="0"/>
        <u val="none"/>
        <vertAlign val="baseline"/>
        <sz val="10"/>
        <color rgb="FF000000"/>
        <name val="Calibri"/>
        <scheme val="minor"/>
      </font>
      <fill>
        <patternFill patternType="none"/>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gColor rgb="FF000000"/>
          <bgColor rgb="FFFFFFFF"/>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gColor rgb="FF000000"/>
          <bgColor rgb="FFFFFFFF"/>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charset val="134"/>
        <scheme val="minor"/>
      </font>
      <fill>
        <patternFill patternType="none">
          <fgColor indexed="64"/>
          <bgColor indexed="65"/>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center" vertical="top"/>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numFmt numFmtId="19" formatCode="dd/mm/yyyy"/>
      <fill>
        <patternFill patternType="none"/>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scheme val="minor"/>
      </font>
      <fill>
        <patternFill patternType="none"/>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sz val="10"/>
        <color rgb="FF000000"/>
        <name val="Calibri"/>
        <scheme val="minor"/>
      </font>
      <fill>
        <patternFill patternType="none">
          <fgColor indexed="64"/>
          <bgColor theme="6" tint="0.59999389629810485"/>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sz val="10"/>
        <color rgb="FF000000"/>
        <name val="Calibri"/>
        <scheme val="minor"/>
      </font>
      <fill>
        <patternFill patternType="none"/>
      </fill>
      <alignment horizontal="left" vertical="top"/>
    </dxf>
    <dxf>
      <font>
        <b val="0"/>
        <sz val="12"/>
        <color theme="0"/>
        <name val="Calibri"/>
        <scheme val="minor"/>
      </font>
      <fill>
        <patternFill patternType="none">
          <fgColor indexed="64"/>
          <bgColor theme="4" tint="0.79995117038483843"/>
        </patternFill>
      </fill>
      <alignment horizontal="general" vertical="center" textRotation="0" wrapText="1" indent="0" justifyLastLine="0" shrinkToFit="0" readingOrder="0"/>
      <border diagonalUp="0" diagonalDown="0">
        <left style="thin">
          <color rgb="FF000000"/>
        </left>
        <right style="thin">
          <color rgb="FF000000"/>
        </right>
        <top/>
        <bottom/>
      </border>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colors>
    <mruColors>
      <color rgb="FF003366"/>
      <color rgb="FF47CFFF"/>
      <color rgb="FFFF66CC"/>
      <color rgb="FFF9DDFB"/>
      <color rgb="FFFF3300"/>
      <color rgb="FFFF66FF"/>
      <color rgb="FFCC0000"/>
      <color rgb="FFFF0000"/>
      <color rgb="FFCCFF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1295400</xdr:colOff>
      <xdr:row>0</xdr:row>
      <xdr:rowOff>76200</xdr:rowOff>
    </xdr:from>
    <xdr:to>
      <xdr:col>10</xdr:col>
      <xdr:colOff>1314450</xdr:colOff>
      <xdr:row>2</xdr:row>
      <xdr:rowOff>152400</xdr:rowOff>
    </xdr:to>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172575" y="76200"/>
          <a:ext cx="5543550" cy="457200"/>
        </a:xfrm>
        <a:prstGeom prst="rect">
          <a:avLst/>
        </a:prstGeom>
        <a:solidFill>
          <a:srgbClr val="00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rPr>
            <a:t>EGRESOS</a:t>
          </a:r>
        </a:p>
      </xdr:txBody>
    </xdr:sp>
    <xdr:clientData/>
  </xdr:twoCellAnchor>
  <xdr:oneCellAnchor>
    <xdr:from>
      <xdr:col>23</xdr:col>
      <xdr:colOff>0</xdr:colOff>
      <xdr:row>22</xdr:row>
      <xdr:rowOff>0</xdr:rowOff>
    </xdr:from>
    <xdr:ext cx="914400" cy="228600"/>
    <xdr:pic>
      <xdr:nvPicPr>
        <xdr:cNvPr id="3" name="Control 4" hidden="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34709100" y="19424015"/>
          <a:ext cx="914400" cy="228600"/>
        </a:xfrm>
        <a:prstGeom prst="rect">
          <a:avLst/>
        </a:prstGeom>
      </xdr:spPr>
    </xdr:pic>
    <xdr:clientData/>
  </xdr:oneCellAnchor>
  <xdr:oneCellAnchor>
    <xdr:from>
      <xdr:col>23</xdr:col>
      <xdr:colOff>0</xdr:colOff>
      <xdr:row>22</xdr:row>
      <xdr:rowOff>0</xdr:rowOff>
    </xdr:from>
    <xdr:ext cx="914400" cy="228600"/>
    <xdr:pic>
      <xdr:nvPicPr>
        <xdr:cNvPr id="4" name="Control 5" hidden="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34709100" y="19424015"/>
          <a:ext cx="914400" cy="228600"/>
        </a:xfrm>
        <a:prstGeom prst="rect">
          <a:avLst/>
        </a:prstGeom>
      </xdr:spPr>
    </xdr:pic>
    <xdr:clientData/>
  </xdr:oneCellAnchor>
  <xdr:oneCellAnchor>
    <xdr:from>
      <xdr:col>23</xdr:col>
      <xdr:colOff>0</xdr:colOff>
      <xdr:row>22</xdr:row>
      <xdr:rowOff>0</xdr:rowOff>
    </xdr:from>
    <xdr:ext cx="914400" cy="228600"/>
    <xdr:pic>
      <xdr:nvPicPr>
        <xdr:cNvPr id="5" name="Control 6" hidden="1">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34709100" y="19424015"/>
          <a:ext cx="914400" cy="228600"/>
        </a:xfrm>
        <a:prstGeom prst="rect">
          <a:avLst/>
        </a:prstGeom>
      </xdr:spPr>
    </xdr:pic>
    <xdr:clientData/>
  </xdr:oneCellAnchor>
  <xdr:oneCellAnchor>
    <xdr:from>
      <xdr:col>23</xdr:col>
      <xdr:colOff>0</xdr:colOff>
      <xdr:row>22</xdr:row>
      <xdr:rowOff>0</xdr:rowOff>
    </xdr:from>
    <xdr:ext cx="914400" cy="228600"/>
    <xdr:pic>
      <xdr:nvPicPr>
        <xdr:cNvPr id="6" name="Control 7" hidden="1">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34709100" y="19424015"/>
          <a:ext cx="914400" cy="228600"/>
        </a:xfrm>
        <a:prstGeom prst="rect">
          <a:avLst/>
        </a:prstGeom>
      </xdr:spPr>
    </xdr:pic>
    <xdr:clientData/>
  </xdr:oneCellAnchor>
  <xdr:oneCellAnchor>
    <xdr:from>
      <xdr:col>23</xdr:col>
      <xdr:colOff>0</xdr:colOff>
      <xdr:row>22</xdr:row>
      <xdr:rowOff>0</xdr:rowOff>
    </xdr:from>
    <xdr:ext cx="914400" cy="228600"/>
    <xdr:pic>
      <xdr:nvPicPr>
        <xdr:cNvPr id="7" name="Control 8" hidden="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34709100" y="19424015"/>
          <a:ext cx="914400" cy="228600"/>
        </a:xfrm>
        <a:prstGeom prst="rect">
          <a:avLst/>
        </a:prstGeom>
      </xdr:spPr>
    </xdr:pic>
    <xdr:clientData/>
  </xdr:oneCellAnchor>
  <xdr:oneCellAnchor>
    <xdr:from>
      <xdr:col>26</xdr:col>
      <xdr:colOff>0</xdr:colOff>
      <xdr:row>35</xdr:row>
      <xdr:rowOff>0</xdr:rowOff>
    </xdr:from>
    <xdr:ext cx="914400" cy="228600"/>
    <xdr:pic>
      <xdr:nvPicPr>
        <xdr:cNvPr id="8" name="Control 4" hidden="1">
          <a:extLst>
            <a:ext uri="{FF2B5EF4-FFF2-40B4-BE49-F238E27FC236}">
              <a16:creationId xmlns:a16="http://schemas.microsoft.com/office/drawing/2014/main" id="{039707BF-91AA-4A06-BF9D-3FF3BE6EB2E2}"/>
            </a:ext>
          </a:extLst>
        </xdr:cNvPr>
        <xdr:cNvPicPr>
          <a:picLocks noChangeAspect="1"/>
        </xdr:cNvPicPr>
      </xdr:nvPicPr>
      <xdr:blipFill>
        <a:blip xmlns:r="http://schemas.openxmlformats.org/officeDocument/2006/relationships" r:embed="rId1"/>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9" name="Control 5" hidden="1">
          <a:extLst>
            <a:ext uri="{FF2B5EF4-FFF2-40B4-BE49-F238E27FC236}">
              <a16:creationId xmlns:a16="http://schemas.microsoft.com/office/drawing/2014/main" id="{CB8A3794-B83D-4F69-A17B-867500616E97}"/>
            </a:ext>
          </a:extLst>
        </xdr:cNvPr>
        <xdr:cNvPicPr>
          <a:picLocks noChangeAspect="1"/>
        </xdr:cNvPicPr>
      </xdr:nvPicPr>
      <xdr:blipFill>
        <a:blip xmlns:r="http://schemas.openxmlformats.org/officeDocument/2006/relationships" r:embed="rId2"/>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0" name="Control 6" hidden="1">
          <a:extLst>
            <a:ext uri="{FF2B5EF4-FFF2-40B4-BE49-F238E27FC236}">
              <a16:creationId xmlns:a16="http://schemas.microsoft.com/office/drawing/2014/main" id="{BEC2A787-2F0B-4F55-8EFE-4F8BFA69713E}"/>
            </a:ext>
          </a:extLst>
        </xdr:cNvPr>
        <xdr:cNvPicPr>
          <a:picLocks noChangeAspect="1"/>
        </xdr:cNvPicPr>
      </xdr:nvPicPr>
      <xdr:blipFill>
        <a:blip xmlns:r="http://schemas.openxmlformats.org/officeDocument/2006/relationships" r:embed="rId3"/>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1" name="Control 7" hidden="1">
          <a:extLst>
            <a:ext uri="{FF2B5EF4-FFF2-40B4-BE49-F238E27FC236}">
              <a16:creationId xmlns:a16="http://schemas.microsoft.com/office/drawing/2014/main" id="{E4E32399-93CF-4595-B619-1720FC1A59FB}"/>
            </a:ext>
          </a:extLst>
        </xdr:cNvPr>
        <xdr:cNvPicPr>
          <a:picLocks noChangeAspect="1"/>
        </xdr:cNvPicPr>
      </xdr:nvPicPr>
      <xdr:blipFill>
        <a:blip xmlns:r="http://schemas.openxmlformats.org/officeDocument/2006/relationships" r:embed="rId4"/>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2" name="Control 8" hidden="1">
          <a:extLst>
            <a:ext uri="{FF2B5EF4-FFF2-40B4-BE49-F238E27FC236}">
              <a16:creationId xmlns:a16="http://schemas.microsoft.com/office/drawing/2014/main" id="{A8AD37A4-7DC8-4AFC-B511-0391A4D2AFD3}"/>
            </a:ext>
          </a:extLst>
        </xdr:cNvPr>
        <xdr:cNvPicPr>
          <a:picLocks noChangeAspect="1"/>
        </xdr:cNvPicPr>
      </xdr:nvPicPr>
      <xdr:blipFill>
        <a:blip xmlns:r="http://schemas.openxmlformats.org/officeDocument/2006/relationships" r:embed="rId5"/>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3" name="Control 4" hidden="1">
          <a:extLst>
            <a:ext uri="{FF2B5EF4-FFF2-40B4-BE49-F238E27FC236}">
              <a16:creationId xmlns:a16="http://schemas.microsoft.com/office/drawing/2014/main" id="{10AD0327-6C42-4B6C-9056-6FD0CD32488C}"/>
            </a:ext>
          </a:extLst>
        </xdr:cNvPr>
        <xdr:cNvPicPr>
          <a:picLocks noChangeAspect="1"/>
        </xdr:cNvPicPr>
      </xdr:nvPicPr>
      <xdr:blipFill>
        <a:blip xmlns:r="http://schemas.openxmlformats.org/officeDocument/2006/relationships" r:embed="rId1"/>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4" name="Control 5" hidden="1">
          <a:extLst>
            <a:ext uri="{FF2B5EF4-FFF2-40B4-BE49-F238E27FC236}">
              <a16:creationId xmlns:a16="http://schemas.microsoft.com/office/drawing/2014/main" id="{CE2E4C05-71EA-457D-A2F2-4156C056A88B}"/>
            </a:ext>
          </a:extLst>
        </xdr:cNvPr>
        <xdr:cNvPicPr>
          <a:picLocks noChangeAspect="1"/>
        </xdr:cNvPicPr>
      </xdr:nvPicPr>
      <xdr:blipFill>
        <a:blip xmlns:r="http://schemas.openxmlformats.org/officeDocument/2006/relationships" r:embed="rId2"/>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5" name="Control 6" hidden="1">
          <a:extLst>
            <a:ext uri="{FF2B5EF4-FFF2-40B4-BE49-F238E27FC236}">
              <a16:creationId xmlns:a16="http://schemas.microsoft.com/office/drawing/2014/main" id="{8444A3A6-AED9-46C2-BFC7-52ACA2EA836D}"/>
            </a:ext>
          </a:extLst>
        </xdr:cNvPr>
        <xdr:cNvPicPr>
          <a:picLocks noChangeAspect="1"/>
        </xdr:cNvPicPr>
      </xdr:nvPicPr>
      <xdr:blipFill>
        <a:blip xmlns:r="http://schemas.openxmlformats.org/officeDocument/2006/relationships" r:embed="rId3"/>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6" name="Control 7" hidden="1">
          <a:extLst>
            <a:ext uri="{FF2B5EF4-FFF2-40B4-BE49-F238E27FC236}">
              <a16:creationId xmlns:a16="http://schemas.microsoft.com/office/drawing/2014/main" id="{C73104F3-7836-49E2-97D5-379DF58A817F}"/>
            </a:ext>
          </a:extLst>
        </xdr:cNvPr>
        <xdr:cNvPicPr>
          <a:picLocks noChangeAspect="1"/>
        </xdr:cNvPicPr>
      </xdr:nvPicPr>
      <xdr:blipFill>
        <a:blip xmlns:r="http://schemas.openxmlformats.org/officeDocument/2006/relationships" r:embed="rId4"/>
        <a:stretch>
          <a:fillRect/>
        </a:stretch>
      </xdr:blipFill>
      <xdr:spPr>
        <a:xfrm>
          <a:off x="32432625" y="2562225"/>
          <a:ext cx="914400" cy="228600"/>
        </a:xfrm>
        <a:prstGeom prst="rect">
          <a:avLst/>
        </a:prstGeom>
      </xdr:spPr>
    </xdr:pic>
    <xdr:clientData/>
  </xdr:oneCellAnchor>
  <xdr:oneCellAnchor>
    <xdr:from>
      <xdr:col>26</xdr:col>
      <xdr:colOff>0</xdr:colOff>
      <xdr:row>35</xdr:row>
      <xdr:rowOff>0</xdr:rowOff>
    </xdr:from>
    <xdr:ext cx="914400" cy="228600"/>
    <xdr:pic>
      <xdr:nvPicPr>
        <xdr:cNvPr id="17" name="Control 8" hidden="1">
          <a:extLst>
            <a:ext uri="{FF2B5EF4-FFF2-40B4-BE49-F238E27FC236}">
              <a16:creationId xmlns:a16="http://schemas.microsoft.com/office/drawing/2014/main" id="{E49F86FA-A1F4-4C36-8E81-D272F25A3F40}"/>
            </a:ext>
          </a:extLst>
        </xdr:cNvPr>
        <xdr:cNvPicPr>
          <a:picLocks noChangeAspect="1"/>
        </xdr:cNvPicPr>
      </xdr:nvPicPr>
      <xdr:blipFill>
        <a:blip xmlns:r="http://schemas.openxmlformats.org/officeDocument/2006/relationships" r:embed="rId5"/>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18" name="Control 4" hidden="1">
          <a:extLst>
            <a:ext uri="{FF2B5EF4-FFF2-40B4-BE49-F238E27FC236}">
              <a16:creationId xmlns:a16="http://schemas.microsoft.com/office/drawing/2014/main" id="{94E66A12-3424-4D2F-8E7D-B6DFFBF0AC61}"/>
            </a:ext>
          </a:extLst>
        </xdr:cNvPr>
        <xdr:cNvPicPr>
          <a:picLocks noChangeAspect="1"/>
        </xdr:cNvPicPr>
      </xdr:nvPicPr>
      <xdr:blipFill>
        <a:blip xmlns:r="http://schemas.openxmlformats.org/officeDocument/2006/relationships" r:embed="rId1"/>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19" name="Control 5" hidden="1">
          <a:extLst>
            <a:ext uri="{FF2B5EF4-FFF2-40B4-BE49-F238E27FC236}">
              <a16:creationId xmlns:a16="http://schemas.microsoft.com/office/drawing/2014/main" id="{8F1CB095-223B-461D-A321-4DFAACAD3339}"/>
            </a:ext>
          </a:extLst>
        </xdr:cNvPr>
        <xdr:cNvPicPr>
          <a:picLocks noChangeAspect="1"/>
        </xdr:cNvPicPr>
      </xdr:nvPicPr>
      <xdr:blipFill>
        <a:blip xmlns:r="http://schemas.openxmlformats.org/officeDocument/2006/relationships" r:embed="rId2"/>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0" name="Control 6" hidden="1">
          <a:extLst>
            <a:ext uri="{FF2B5EF4-FFF2-40B4-BE49-F238E27FC236}">
              <a16:creationId xmlns:a16="http://schemas.microsoft.com/office/drawing/2014/main" id="{F0380A5A-580F-428B-A34C-DEDA8345C378}"/>
            </a:ext>
          </a:extLst>
        </xdr:cNvPr>
        <xdr:cNvPicPr>
          <a:picLocks noChangeAspect="1"/>
        </xdr:cNvPicPr>
      </xdr:nvPicPr>
      <xdr:blipFill>
        <a:blip xmlns:r="http://schemas.openxmlformats.org/officeDocument/2006/relationships" r:embed="rId3"/>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1" name="Control 7" hidden="1">
          <a:extLst>
            <a:ext uri="{FF2B5EF4-FFF2-40B4-BE49-F238E27FC236}">
              <a16:creationId xmlns:a16="http://schemas.microsoft.com/office/drawing/2014/main" id="{BCBF310B-809E-46B5-8E0E-911442248631}"/>
            </a:ext>
          </a:extLst>
        </xdr:cNvPr>
        <xdr:cNvPicPr>
          <a:picLocks noChangeAspect="1"/>
        </xdr:cNvPicPr>
      </xdr:nvPicPr>
      <xdr:blipFill>
        <a:blip xmlns:r="http://schemas.openxmlformats.org/officeDocument/2006/relationships" r:embed="rId4"/>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2" name="Control 8" hidden="1">
          <a:extLst>
            <a:ext uri="{FF2B5EF4-FFF2-40B4-BE49-F238E27FC236}">
              <a16:creationId xmlns:a16="http://schemas.microsoft.com/office/drawing/2014/main" id="{3EC043E0-C1FB-4D9F-81BA-A870C1A9A8B7}"/>
            </a:ext>
          </a:extLst>
        </xdr:cNvPr>
        <xdr:cNvPicPr>
          <a:picLocks noChangeAspect="1"/>
        </xdr:cNvPicPr>
      </xdr:nvPicPr>
      <xdr:blipFill>
        <a:blip xmlns:r="http://schemas.openxmlformats.org/officeDocument/2006/relationships" r:embed="rId5"/>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3" name="Control 4" hidden="1">
          <a:extLst>
            <a:ext uri="{FF2B5EF4-FFF2-40B4-BE49-F238E27FC236}">
              <a16:creationId xmlns:a16="http://schemas.microsoft.com/office/drawing/2014/main" id="{20BD7236-86E3-414F-8D62-232D485E387A}"/>
            </a:ext>
          </a:extLst>
        </xdr:cNvPr>
        <xdr:cNvPicPr>
          <a:picLocks noChangeAspect="1"/>
        </xdr:cNvPicPr>
      </xdr:nvPicPr>
      <xdr:blipFill>
        <a:blip xmlns:r="http://schemas.openxmlformats.org/officeDocument/2006/relationships" r:embed="rId1"/>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4" name="Control 5" hidden="1">
          <a:extLst>
            <a:ext uri="{FF2B5EF4-FFF2-40B4-BE49-F238E27FC236}">
              <a16:creationId xmlns:a16="http://schemas.microsoft.com/office/drawing/2014/main" id="{4D237AE4-8E04-4F5A-9FF5-1D1223B18CB7}"/>
            </a:ext>
          </a:extLst>
        </xdr:cNvPr>
        <xdr:cNvPicPr>
          <a:picLocks noChangeAspect="1"/>
        </xdr:cNvPicPr>
      </xdr:nvPicPr>
      <xdr:blipFill>
        <a:blip xmlns:r="http://schemas.openxmlformats.org/officeDocument/2006/relationships" r:embed="rId2"/>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5" name="Control 6" hidden="1">
          <a:extLst>
            <a:ext uri="{FF2B5EF4-FFF2-40B4-BE49-F238E27FC236}">
              <a16:creationId xmlns:a16="http://schemas.microsoft.com/office/drawing/2014/main" id="{71AE9053-FD1C-4DF9-9C87-B3ABA394FCF4}"/>
            </a:ext>
          </a:extLst>
        </xdr:cNvPr>
        <xdr:cNvPicPr>
          <a:picLocks noChangeAspect="1"/>
        </xdr:cNvPicPr>
      </xdr:nvPicPr>
      <xdr:blipFill>
        <a:blip xmlns:r="http://schemas.openxmlformats.org/officeDocument/2006/relationships" r:embed="rId3"/>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6" name="Control 7" hidden="1">
          <a:extLst>
            <a:ext uri="{FF2B5EF4-FFF2-40B4-BE49-F238E27FC236}">
              <a16:creationId xmlns:a16="http://schemas.microsoft.com/office/drawing/2014/main" id="{70C279AC-29DC-4AE2-A144-FE326E0ABA46}"/>
            </a:ext>
          </a:extLst>
        </xdr:cNvPr>
        <xdr:cNvPicPr>
          <a:picLocks noChangeAspect="1"/>
        </xdr:cNvPicPr>
      </xdr:nvPicPr>
      <xdr:blipFill>
        <a:blip xmlns:r="http://schemas.openxmlformats.org/officeDocument/2006/relationships" r:embed="rId4"/>
        <a:stretch>
          <a:fillRect/>
        </a:stretch>
      </xdr:blipFill>
      <xdr:spPr>
        <a:xfrm>
          <a:off x="32432625" y="2562225"/>
          <a:ext cx="914400" cy="228600"/>
        </a:xfrm>
        <a:prstGeom prst="rect">
          <a:avLst/>
        </a:prstGeom>
      </xdr:spPr>
    </xdr:pic>
    <xdr:clientData/>
  </xdr:oneCellAnchor>
  <xdr:oneCellAnchor>
    <xdr:from>
      <xdr:col>26</xdr:col>
      <xdr:colOff>0</xdr:colOff>
      <xdr:row>36</xdr:row>
      <xdr:rowOff>0</xdr:rowOff>
    </xdr:from>
    <xdr:ext cx="914400" cy="228600"/>
    <xdr:pic>
      <xdr:nvPicPr>
        <xdr:cNvPr id="27" name="Control 8" hidden="1">
          <a:extLst>
            <a:ext uri="{FF2B5EF4-FFF2-40B4-BE49-F238E27FC236}">
              <a16:creationId xmlns:a16="http://schemas.microsoft.com/office/drawing/2014/main" id="{FB7A1F70-9903-417C-8952-6F34D1B571E3}"/>
            </a:ext>
          </a:extLst>
        </xdr:cNvPr>
        <xdr:cNvPicPr>
          <a:picLocks noChangeAspect="1"/>
        </xdr:cNvPicPr>
      </xdr:nvPicPr>
      <xdr:blipFill>
        <a:blip xmlns:r="http://schemas.openxmlformats.org/officeDocument/2006/relationships" r:embed="rId5"/>
        <a:stretch>
          <a:fillRect/>
        </a:stretch>
      </xdr:blipFill>
      <xdr:spPr>
        <a:xfrm>
          <a:off x="32432625" y="2562225"/>
          <a:ext cx="914400" cy="228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13</xdr:col>
      <xdr:colOff>207169</xdr:colOff>
      <xdr:row>0</xdr:row>
      <xdr:rowOff>0</xdr:rowOff>
    </xdr:from>
    <xdr:to>
      <xdr:col>15</xdr:col>
      <xdr:colOff>667014</xdr:colOff>
      <xdr:row>0</xdr:row>
      <xdr:rowOff>38100</xdr:rowOff>
    </xdr:to>
    <xdr:sp macro="" textlink="">
      <xdr:nvSpPr>
        <xdr:cNvPr id="2" name="CuadroTexto 1">
          <a:extLst>
            <a:ext uri="{FF2B5EF4-FFF2-40B4-BE49-F238E27FC236}">
              <a16:creationId xmlns:a16="http://schemas.microsoft.com/office/drawing/2014/main" id="{98A2DA55-1FCD-434B-8A99-77C8BC629488}"/>
            </a:ext>
          </a:extLst>
        </xdr:cNvPr>
        <xdr:cNvSpPr txBox="1"/>
      </xdr:nvSpPr>
      <xdr:spPr>
        <a:xfrm>
          <a:off x="12313444" y="152400"/>
          <a:ext cx="2879195" cy="457200"/>
        </a:xfrm>
        <a:prstGeom prst="rect">
          <a:avLst/>
        </a:prstGeom>
        <a:solidFill>
          <a:srgbClr val="00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baseline="0">
              <a:solidFill>
                <a:schemeClr val="bg1"/>
              </a:solidFill>
            </a:rPr>
            <a:t>PIEL Y PARTES BLANDAS  </a:t>
          </a:r>
          <a:endParaRPr lang="es-CL" sz="2000" b="1">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B1177E-66CB-401E-AB19-D24507859A11}" name="Tabla1" displayName="Tabla1" ref="A1:AC83" totalsRowShown="0" headerRowDxfId="31" dataDxfId="30" tableBorderDxfId="29">
  <autoFilter ref="A1:AC83" xr:uid="{6AB1177E-66CB-401E-AB19-D24507859A11}">
    <filterColumn colId="20">
      <filters>
        <filter val="DR. AZUA"/>
        <filter val="DR. AZUA /"/>
        <filter val="DR. AZUA / DR. OSMAN"/>
        <filter val="DR. OSMAN / DR. AZUA"/>
      </filters>
    </filterColumn>
  </autoFilter>
  <tableColumns count="29">
    <tableColumn id="1" xr3:uid="{9F5473A8-8388-418E-B7E7-54132217E1AF}" name="N°" dataDxfId="28"/>
    <tableColumn id="2" xr3:uid="{68334666-C8C3-429E-908F-1EB7A3138F19}" name="Nombre " dataDxfId="27"/>
    <tableColumn id="3" xr3:uid="{52654514-8EC8-4D2A-88CE-A1AA1AE535E9}" name="RUT " dataDxfId="26"/>
    <tableColumn id="4" xr3:uid="{9D0D4831-802A-40A0-A5B5-A3085C394E4E}" name="DV" dataDxfId="25"/>
    <tableColumn id="5" xr3:uid="{BF603B00-AD85-4CFA-ACD1-8D248180E270}" name="FN" dataDxfId="24"/>
    <tableColumn id="6" xr3:uid="{DB5D54E4-8567-4C44-9836-D052D63BA73A}" name="Edad" dataDxfId="23"/>
    <tableColumn id="30" xr3:uid="{FF104F00-1314-450C-971D-B5571C95FD78}" name="COMITE" dataDxfId="22"/>
    <tableColumn id="7" xr3:uid="{191C8792-10C8-44E2-A38D-3AEBB74B30BD}" name="Comuna" dataDxfId="21"/>
    <tableColumn id="8" xr3:uid="{2CC494A6-D915-4FA4-848F-0333F538A32A}" name="DIAGNOSTICO" dataDxfId="20"/>
    <tableColumn id="9" xr3:uid="{31966986-31C8-47A9-BFCD-EC043EA77692}" name="AÑO DG" dataDxfId="19"/>
    <tableColumn id="10" xr3:uid="{B35FE0DA-1BB0-4F53-9561-2F48721188E4}" name="Fecha resultado" dataDxfId="18"/>
    <tableColumn id="11" xr3:uid="{4A80737D-467D-481F-AC50-5DA7909AC961}" name="CPYAD" dataDxfId="17"/>
    <tableColumn id="12" xr3:uid="{812756A6-63F7-44E7-A045-F247982BEE7A}" name="Etapa Clinica" dataDxfId="16"/>
    <tableColumn id="13" xr3:uid="{D365BA64-5815-4892-8C84-9894D8EE30B5}" name="Fecha de Comité" dataDxfId="15"/>
    <tableColumn id="14" xr3:uid="{77C86A03-FD06-4E9B-9BC8-4A8F1789C5C8}" name="Indicación de Comité" dataDxfId="14"/>
    <tableColumn id="15" xr3:uid="{ED148DB3-DB60-4797-A301-1176FAC98568}" name="Centro de Derivación" dataDxfId="13"/>
    <tableColumn id="16" xr3:uid="{9997D502-0CAB-4BF1-942D-1ABD5E80E161}" name="ESTADO DE CASO " dataDxfId="12"/>
    <tableColumn id="17" xr3:uid="{CE5E145C-72EA-4EBE-8766-6CFA42A023D6}" name="CAUSAL" dataDxfId="11"/>
    <tableColumn id="18" xr3:uid="{A0E4CAAD-60A9-42C6-84F4-77F1B5169AEB}" name="SEGUIMIENTO ENFERMERIA " dataDxfId="10"/>
    <tableColumn id="19" xr3:uid="{8F101983-A317-481E-90AC-FE1BC25287BC}" name="PERIODICIDAD DE SEGUIMIENTO " dataDxfId="9"/>
    <tableColumn id="20" xr3:uid="{A0FFDB30-8C12-40A5-8DE2-DA745B5FAF27}" name="MEDICO" dataDxfId="8"/>
    <tableColumn id="21" xr3:uid="{6099C56A-D58E-41C6-B09B-D63B23C662E2}" name="ULT CONTROL" dataDxfId="7"/>
    <tableColumn id="22" xr3:uid="{F1EA4D79-7F8C-45AA-9F8C-0C2E7DAFBC5C}" name="Fecha proximo Control " dataDxfId="6"/>
    <tableColumn id="23" xr3:uid="{92B0902C-6342-4F92-BA79-ECDF46C25D0D}" name="Dias Disponibles" dataDxfId="5">
      <calculatedColumnFormula>W2-TODAY()</calculatedColumnFormula>
    </tableColumn>
    <tableColumn id="24" xr3:uid="{CEF3D96C-7DD1-465F-ACA5-BCF3BFE82A1A}" name="Estado" dataDxfId="4">
      <calculatedColumnFormula>IF(X2&gt;=25,"Vigente",IF(AND(X2&gt;=1,X2&lt;=25),"Por Vencer","Vencido"))</calculatedColumnFormula>
    </tableColumn>
    <tableColumn id="25" xr3:uid="{AF6F5BC7-AF64-4508-A795-4DFD62338A61}" name="OBSERVACIÓN" dataDxfId="3"/>
    <tableColumn id="26" xr3:uid="{C00D7CAE-D230-4C03-A8EC-38173DC06F53}" name="P_ CX" dataDxfId="2"/>
    <tableColumn id="27" xr3:uid="{E885206C-C75C-43CB-8C45-40BC9E2A21F9}" name="REVISION" dataDxfId="1"/>
    <tableColumn id="28" xr3:uid="{419A78CE-647E-4766-A9CC-0AC271A1C9E4}" name="Nota" dataDxfId="0"/>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52"/>
  <sheetViews>
    <sheetView topLeftCell="A42" zoomScale="89" zoomScaleNormal="89" workbookViewId="0">
      <selection activeCell="B60" sqref="B60"/>
    </sheetView>
  </sheetViews>
  <sheetFormatPr defaultColWidth="11" defaultRowHeight="13.5"/>
  <cols>
    <col min="1" max="1" width="14.625" customWidth="1"/>
    <col min="2" max="16" width="20.75" customWidth="1"/>
    <col min="17" max="17" width="53" customWidth="1"/>
    <col min="18" max="20" width="20.75" customWidth="1"/>
    <col min="22" max="22" width="12" customWidth="1"/>
    <col min="23" max="23" width="57.125" customWidth="1"/>
    <col min="24" max="24" width="15.125" customWidth="1"/>
  </cols>
  <sheetData>
    <row r="1" spans="1:24" ht="15">
      <c r="A1" s="6"/>
      <c r="B1" s="6"/>
      <c r="C1" s="6"/>
      <c r="D1" s="6"/>
      <c r="E1" s="6"/>
      <c r="F1" s="6"/>
      <c r="G1" s="6"/>
      <c r="H1" s="6"/>
      <c r="I1" s="6"/>
      <c r="J1" s="6"/>
      <c r="K1" s="6"/>
      <c r="L1" s="6"/>
      <c r="M1" s="6"/>
      <c r="N1" s="6"/>
      <c r="O1" s="6"/>
      <c r="P1" s="6"/>
      <c r="Q1" s="6"/>
      <c r="R1" s="6"/>
      <c r="S1" s="6"/>
      <c r="T1" s="6"/>
      <c r="U1" s="54"/>
      <c r="V1" s="55"/>
      <c r="W1" s="55"/>
      <c r="X1" s="55"/>
    </row>
    <row r="2" spans="1:24" ht="15">
      <c r="A2" s="6"/>
      <c r="B2" s="6"/>
      <c r="C2" s="6"/>
      <c r="D2" s="6"/>
      <c r="E2" s="6"/>
      <c r="F2" s="6"/>
      <c r="G2" s="6"/>
      <c r="H2" s="6"/>
      <c r="I2" s="6"/>
      <c r="J2" s="6"/>
      <c r="K2" s="6"/>
      <c r="L2" s="6"/>
      <c r="M2" s="6"/>
      <c r="N2" s="6"/>
      <c r="O2" s="6"/>
      <c r="P2" s="6"/>
      <c r="Q2" s="6"/>
      <c r="R2" s="6"/>
      <c r="S2" s="6"/>
      <c r="T2" s="6"/>
      <c r="U2" s="6"/>
      <c r="V2" s="6"/>
      <c r="W2" s="6"/>
      <c r="X2" s="6"/>
    </row>
    <row r="3" spans="1:24" ht="15">
      <c r="A3" s="6"/>
      <c r="B3" s="6"/>
      <c r="C3" s="6"/>
      <c r="D3" s="6"/>
      <c r="E3" s="6"/>
      <c r="F3" s="6"/>
      <c r="G3" s="6"/>
      <c r="H3" s="6"/>
      <c r="I3" s="6"/>
      <c r="J3" s="6"/>
      <c r="K3" s="6"/>
      <c r="L3" s="6"/>
      <c r="M3" s="6"/>
      <c r="N3" s="6"/>
      <c r="O3" s="6"/>
      <c r="P3" s="6"/>
      <c r="Q3" s="6"/>
      <c r="R3" s="6"/>
      <c r="S3" s="6"/>
      <c r="T3" s="6"/>
      <c r="U3" s="6"/>
      <c r="V3" s="6"/>
      <c r="W3" s="6"/>
      <c r="X3" s="6"/>
    </row>
    <row r="4" spans="1:24" ht="41.25" customHeight="1">
      <c r="A4" s="31" t="s">
        <v>0</v>
      </c>
      <c r="B4" s="31" t="s">
        <v>1</v>
      </c>
      <c r="C4" s="31" t="s">
        <v>2</v>
      </c>
      <c r="D4" s="31" t="s">
        <v>3</v>
      </c>
      <c r="E4" s="31" t="s">
        <v>4</v>
      </c>
      <c r="F4" s="31" t="s">
        <v>5</v>
      </c>
      <c r="G4" s="31" t="s">
        <v>6</v>
      </c>
      <c r="H4" s="31" t="s">
        <v>7</v>
      </c>
      <c r="I4" s="31" t="s">
        <v>8</v>
      </c>
      <c r="J4" s="47" t="s">
        <v>9</v>
      </c>
      <c r="K4" s="31" t="s">
        <v>10</v>
      </c>
      <c r="L4" s="47" t="s">
        <v>11</v>
      </c>
      <c r="M4" s="47" t="s">
        <v>12</v>
      </c>
      <c r="N4" s="47" t="s">
        <v>13</v>
      </c>
      <c r="O4" s="31" t="s">
        <v>14</v>
      </c>
      <c r="P4" s="48" t="s">
        <v>15</v>
      </c>
      <c r="Q4" s="56" t="s">
        <v>16</v>
      </c>
      <c r="R4" s="57" t="s">
        <v>17</v>
      </c>
      <c r="S4" s="57" t="s">
        <v>18</v>
      </c>
      <c r="T4" s="58" t="s">
        <v>19</v>
      </c>
      <c r="U4" s="59" t="s">
        <v>20</v>
      </c>
      <c r="V4" s="59" t="s">
        <v>21</v>
      </c>
      <c r="W4" s="60" t="s">
        <v>22</v>
      </c>
      <c r="X4" s="59" t="s">
        <v>23</v>
      </c>
    </row>
    <row r="5" spans="1:24" ht="68.25" hidden="1" customHeight="1">
      <c r="A5" s="22">
        <v>6</v>
      </c>
      <c r="B5" s="10" t="s">
        <v>24</v>
      </c>
      <c r="C5" s="32" t="s">
        <v>25</v>
      </c>
      <c r="D5" s="10">
        <v>17363741</v>
      </c>
      <c r="E5" s="10">
        <v>1</v>
      </c>
      <c r="F5" s="10">
        <v>33</v>
      </c>
      <c r="G5" s="10" t="s">
        <v>26</v>
      </c>
      <c r="H5" s="10" t="s">
        <v>27</v>
      </c>
      <c r="I5" s="10"/>
      <c r="J5" s="17">
        <v>45041</v>
      </c>
      <c r="K5" s="10" t="s">
        <v>28</v>
      </c>
      <c r="L5" s="14" t="s">
        <v>29</v>
      </c>
      <c r="M5" s="17">
        <v>45056</v>
      </c>
      <c r="N5" s="10" t="s">
        <v>30</v>
      </c>
      <c r="O5" s="10" t="s">
        <v>31</v>
      </c>
      <c r="P5" s="10"/>
      <c r="Q5" s="10"/>
      <c r="R5" s="10" t="s">
        <v>32</v>
      </c>
      <c r="S5" s="10"/>
      <c r="T5" s="61" t="s">
        <v>33</v>
      </c>
      <c r="U5" s="22"/>
      <c r="V5" s="22"/>
      <c r="W5" s="22"/>
      <c r="X5" s="22"/>
    </row>
    <row r="6" spans="1:24" ht="44.25" hidden="1" customHeight="1">
      <c r="A6" s="22">
        <v>26</v>
      </c>
      <c r="B6" s="33" t="s">
        <v>24</v>
      </c>
      <c r="C6" s="34" t="s">
        <v>34</v>
      </c>
      <c r="D6" s="33">
        <v>5030201</v>
      </c>
      <c r="E6" s="33">
        <v>6</v>
      </c>
      <c r="F6" s="10">
        <v>85</v>
      </c>
      <c r="G6" s="10" t="s">
        <v>35</v>
      </c>
      <c r="H6" s="33" t="s">
        <v>36</v>
      </c>
      <c r="I6" s="33"/>
      <c r="J6" s="33">
        <v>2022</v>
      </c>
      <c r="K6" s="33" t="s">
        <v>28</v>
      </c>
      <c r="L6" s="33" t="s">
        <v>37</v>
      </c>
      <c r="M6" s="33" t="s">
        <v>38</v>
      </c>
      <c r="N6" s="33" t="s">
        <v>38</v>
      </c>
      <c r="O6" s="33" t="s">
        <v>31</v>
      </c>
      <c r="P6" s="33"/>
      <c r="Q6" s="33"/>
      <c r="R6" s="33" t="s">
        <v>39</v>
      </c>
      <c r="S6" s="33"/>
      <c r="T6" s="62"/>
      <c r="U6" s="22"/>
      <c r="V6" s="22"/>
      <c r="W6" s="22" t="s">
        <v>40</v>
      </c>
      <c r="X6" s="22"/>
    </row>
    <row r="7" spans="1:24" ht="45" hidden="1">
      <c r="A7" s="22"/>
      <c r="B7" s="35" t="s">
        <v>41</v>
      </c>
      <c r="C7" s="36" t="s">
        <v>42</v>
      </c>
      <c r="D7" s="37">
        <v>6330280</v>
      </c>
      <c r="E7" s="37">
        <v>5</v>
      </c>
      <c r="F7" s="37">
        <v>73</v>
      </c>
      <c r="G7" s="37" t="s">
        <v>35</v>
      </c>
      <c r="H7" s="37" t="s">
        <v>43</v>
      </c>
      <c r="I7" s="37"/>
      <c r="J7" s="37">
        <v>2023</v>
      </c>
      <c r="K7" s="37"/>
      <c r="L7" s="37" t="s">
        <v>44</v>
      </c>
      <c r="M7" s="37"/>
      <c r="N7" s="37"/>
      <c r="O7" s="37" t="s">
        <v>31</v>
      </c>
      <c r="P7" s="37"/>
      <c r="Q7" s="37"/>
      <c r="R7" s="63" t="s">
        <v>45</v>
      </c>
      <c r="S7" s="64"/>
      <c r="T7" s="65" t="s">
        <v>33</v>
      </c>
      <c r="U7" s="22"/>
      <c r="V7" s="22"/>
      <c r="W7" s="22"/>
      <c r="X7" s="22"/>
    </row>
    <row r="8" spans="1:24" ht="39.950000000000003" hidden="1" customHeight="1">
      <c r="A8" s="38">
        <v>9</v>
      </c>
      <c r="B8" s="39" t="s">
        <v>24</v>
      </c>
      <c r="C8" s="39" t="s">
        <v>46</v>
      </c>
      <c r="D8" s="39">
        <v>3770670</v>
      </c>
      <c r="E8" s="39">
        <v>1</v>
      </c>
      <c r="F8" s="40">
        <v>86</v>
      </c>
      <c r="G8" s="39" t="s">
        <v>47</v>
      </c>
      <c r="H8" s="39" t="s">
        <v>48</v>
      </c>
      <c r="I8" s="40"/>
      <c r="J8" s="39" t="s">
        <v>49</v>
      </c>
      <c r="K8" s="39" t="s">
        <v>50</v>
      </c>
      <c r="L8" s="39" t="s">
        <v>44</v>
      </c>
      <c r="M8" s="39" t="s">
        <v>38</v>
      </c>
      <c r="N8" s="39" t="s">
        <v>38</v>
      </c>
      <c r="O8" s="39" t="s">
        <v>31</v>
      </c>
      <c r="P8" s="39"/>
      <c r="Q8" s="39"/>
      <c r="R8" s="39" t="s">
        <v>51</v>
      </c>
      <c r="S8" s="66"/>
      <c r="T8" s="67" t="s">
        <v>52</v>
      </c>
      <c r="U8" s="22"/>
      <c r="V8" s="22"/>
      <c r="W8" s="22"/>
      <c r="X8" s="22"/>
    </row>
    <row r="9" spans="1:24" ht="72.75" hidden="1" customHeight="1">
      <c r="A9" s="38">
        <v>60</v>
      </c>
      <c r="B9" s="37" t="s">
        <v>41</v>
      </c>
      <c r="C9" s="41" t="s">
        <v>53</v>
      </c>
      <c r="D9" s="37">
        <v>4345499</v>
      </c>
      <c r="E9" s="37">
        <v>4</v>
      </c>
      <c r="F9" s="37">
        <v>84</v>
      </c>
      <c r="G9" s="37" t="s">
        <v>54</v>
      </c>
      <c r="H9" s="37" t="s">
        <v>55</v>
      </c>
      <c r="I9" s="37">
        <v>2023</v>
      </c>
      <c r="J9" s="49">
        <v>45247</v>
      </c>
      <c r="K9" s="37" t="s">
        <v>28</v>
      </c>
      <c r="L9" s="37" t="s">
        <v>37</v>
      </c>
      <c r="M9" s="37" t="s">
        <v>56</v>
      </c>
      <c r="N9" s="37" t="s">
        <v>56</v>
      </c>
      <c r="O9" s="37" t="s">
        <v>31</v>
      </c>
      <c r="P9" s="37" t="s">
        <v>57</v>
      </c>
      <c r="Q9" s="37" t="s">
        <v>58</v>
      </c>
      <c r="R9" s="37" t="s">
        <v>59</v>
      </c>
      <c r="S9" s="37" t="s">
        <v>60</v>
      </c>
      <c r="T9" s="65" t="s">
        <v>61</v>
      </c>
      <c r="U9" s="22"/>
      <c r="V9" s="22"/>
      <c r="W9" s="37" t="s">
        <v>40</v>
      </c>
      <c r="X9" s="22"/>
    </row>
    <row r="10" spans="1:24" ht="30" hidden="1">
      <c r="A10" s="21" t="s">
        <v>41</v>
      </c>
      <c r="B10" s="21" t="s">
        <v>62</v>
      </c>
      <c r="C10" s="42">
        <v>4345499</v>
      </c>
      <c r="D10" s="42">
        <v>4</v>
      </c>
      <c r="E10" s="42">
        <v>84</v>
      </c>
      <c r="F10" s="21" t="s">
        <v>54</v>
      </c>
      <c r="G10" s="21" t="s">
        <v>55</v>
      </c>
      <c r="H10" s="21">
        <v>2023</v>
      </c>
      <c r="I10" s="21">
        <v>45247</v>
      </c>
      <c r="J10" s="21" t="s">
        <v>28</v>
      </c>
      <c r="K10" s="21" t="s">
        <v>37</v>
      </c>
      <c r="L10" s="21" t="s">
        <v>56</v>
      </c>
      <c r="M10" s="21" t="s">
        <v>56</v>
      </c>
      <c r="N10" s="29" t="s">
        <v>31</v>
      </c>
      <c r="O10" s="21" t="s">
        <v>57</v>
      </c>
      <c r="P10" s="21" t="s">
        <v>58</v>
      </c>
      <c r="Q10" s="21" t="s">
        <v>58</v>
      </c>
      <c r="R10" s="21" t="s">
        <v>60</v>
      </c>
      <c r="S10" s="21" t="s">
        <v>61</v>
      </c>
      <c r="T10" s="68">
        <v>45288</v>
      </c>
      <c r="U10" s="21"/>
      <c r="V10" s="22"/>
      <c r="W10" s="37" t="s">
        <v>40</v>
      </c>
      <c r="X10" s="22"/>
    </row>
    <row r="11" spans="1:24" ht="77.25" hidden="1" customHeight="1">
      <c r="A11" s="10" t="s">
        <v>41</v>
      </c>
      <c r="B11" s="10" t="s">
        <v>63</v>
      </c>
      <c r="C11" s="10">
        <v>3910473</v>
      </c>
      <c r="D11" s="10">
        <v>3</v>
      </c>
      <c r="E11" s="10">
        <v>86</v>
      </c>
      <c r="F11" s="10" t="s">
        <v>64</v>
      </c>
      <c r="G11" s="43" t="s">
        <v>65</v>
      </c>
      <c r="H11" s="44">
        <v>2018</v>
      </c>
      <c r="I11" s="50">
        <v>43171</v>
      </c>
      <c r="J11" s="44" t="s">
        <v>28</v>
      </c>
      <c r="K11" s="44" t="s">
        <v>29</v>
      </c>
      <c r="L11" s="50">
        <v>45350</v>
      </c>
      <c r="M11" s="51" t="s">
        <v>66</v>
      </c>
      <c r="N11" s="44" t="s">
        <v>31</v>
      </c>
      <c r="O11" s="44" t="s">
        <v>57</v>
      </c>
      <c r="P11" s="22"/>
      <c r="Q11" s="43" t="s">
        <v>67</v>
      </c>
      <c r="R11" s="10" t="s">
        <v>68</v>
      </c>
      <c r="S11" s="10" t="s">
        <v>69</v>
      </c>
      <c r="T11" s="69">
        <v>45351</v>
      </c>
      <c r="U11" s="22"/>
      <c r="V11" s="22"/>
      <c r="W11" s="22" t="s">
        <v>40</v>
      </c>
      <c r="X11" s="22"/>
    </row>
    <row r="12" spans="1:24" ht="30" hidden="1">
      <c r="A12" s="10" t="s">
        <v>24</v>
      </c>
      <c r="B12" s="10" t="s">
        <v>70</v>
      </c>
      <c r="C12" s="10">
        <v>2960814</v>
      </c>
      <c r="D12" s="10">
        <v>8</v>
      </c>
      <c r="E12" s="10">
        <v>91</v>
      </c>
      <c r="F12" s="10" t="s">
        <v>71</v>
      </c>
      <c r="G12" s="5" t="s">
        <v>72</v>
      </c>
      <c r="H12" s="10" t="s">
        <v>73</v>
      </c>
      <c r="I12" s="17">
        <v>44264</v>
      </c>
      <c r="J12" s="10" t="s">
        <v>28</v>
      </c>
      <c r="K12" s="10" t="s">
        <v>29</v>
      </c>
      <c r="L12" s="10" t="s">
        <v>56</v>
      </c>
      <c r="M12" s="10" t="s">
        <v>38</v>
      </c>
      <c r="N12" s="10" t="s">
        <v>31</v>
      </c>
      <c r="O12" s="10" t="s">
        <v>57</v>
      </c>
      <c r="P12" s="22"/>
      <c r="Q12" s="10" t="s">
        <v>74</v>
      </c>
      <c r="R12" s="10" t="s">
        <v>68</v>
      </c>
      <c r="S12" s="10" t="s">
        <v>75</v>
      </c>
      <c r="T12" s="70">
        <v>45444</v>
      </c>
      <c r="U12" s="22"/>
      <c r="V12" s="22"/>
      <c r="W12" s="10" t="s">
        <v>40</v>
      </c>
      <c r="X12" s="22"/>
    </row>
    <row r="13" spans="1:24" ht="28.5" hidden="1" customHeight="1">
      <c r="A13" s="10" t="s">
        <v>41</v>
      </c>
      <c r="B13" s="10" t="s">
        <v>76</v>
      </c>
      <c r="C13" s="10">
        <v>9013173</v>
      </c>
      <c r="D13" s="22">
        <v>7</v>
      </c>
      <c r="E13" s="22"/>
      <c r="F13" s="10" t="s">
        <v>35</v>
      </c>
      <c r="G13" s="25" t="s">
        <v>77</v>
      </c>
      <c r="H13" s="22" t="s">
        <v>35</v>
      </c>
      <c r="I13" s="22"/>
      <c r="J13" s="22"/>
      <c r="L13" s="17">
        <v>45343</v>
      </c>
      <c r="M13" s="22" t="s">
        <v>78</v>
      </c>
      <c r="N13" s="10" t="s">
        <v>31</v>
      </c>
      <c r="O13" s="10" t="s">
        <v>57</v>
      </c>
      <c r="P13" s="22"/>
      <c r="Q13" s="10" t="s">
        <v>74</v>
      </c>
      <c r="R13" s="10" t="s">
        <v>68</v>
      </c>
      <c r="S13" s="10" t="s">
        <v>79</v>
      </c>
      <c r="T13" s="61" t="s">
        <v>80</v>
      </c>
      <c r="U13" s="22"/>
      <c r="V13" s="22"/>
      <c r="W13" s="10" t="s">
        <v>40</v>
      </c>
      <c r="X13" s="22"/>
    </row>
    <row r="14" spans="1:24" ht="142.5" hidden="1" customHeight="1">
      <c r="A14" s="10" t="s">
        <v>41</v>
      </c>
      <c r="B14" s="32" t="s">
        <v>81</v>
      </c>
      <c r="C14" s="10">
        <v>12092238</v>
      </c>
      <c r="D14" s="10">
        <v>6</v>
      </c>
      <c r="E14" s="10">
        <v>55</v>
      </c>
      <c r="F14" s="10" t="s">
        <v>35</v>
      </c>
      <c r="G14" s="10" t="s">
        <v>82</v>
      </c>
      <c r="H14" s="10">
        <v>2023</v>
      </c>
      <c r="I14" s="17">
        <v>45261</v>
      </c>
      <c r="J14" s="10" t="s">
        <v>28</v>
      </c>
      <c r="K14" s="10" t="s">
        <v>83</v>
      </c>
      <c r="L14" s="17">
        <v>45329</v>
      </c>
      <c r="M14" s="10" t="s">
        <v>84</v>
      </c>
      <c r="N14" s="10" t="s">
        <v>31</v>
      </c>
      <c r="O14" s="10" t="s">
        <v>57</v>
      </c>
      <c r="P14" s="22"/>
      <c r="Q14" s="10" t="s">
        <v>85</v>
      </c>
      <c r="R14" s="10" t="s">
        <v>86</v>
      </c>
      <c r="S14" s="10" t="s">
        <v>61</v>
      </c>
      <c r="T14" s="69">
        <v>45315</v>
      </c>
      <c r="U14" s="22"/>
      <c r="V14" s="22"/>
      <c r="W14" s="10" t="s">
        <v>87</v>
      </c>
      <c r="X14" s="22"/>
    </row>
    <row r="15" spans="1:24" ht="45" hidden="1">
      <c r="A15" s="45" t="s">
        <v>24</v>
      </c>
      <c r="B15" s="10" t="s">
        <v>88</v>
      </c>
      <c r="C15" s="10">
        <v>5908627</v>
      </c>
      <c r="D15" s="10">
        <v>8</v>
      </c>
      <c r="E15" s="10">
        <v>76</v>
      </c>
      <c r="F15" s="10" t="s">
        <v>35</v>
      </c>
      <c r="G15" s="10" t="s">
        <v>89</v>
      </c>
      <c r="H15" s="10">
        <v>2023</v>
      </c>
      <c r="I15" s="17">
        <v>45159</v>
      </c>
      <c r="J15" s="10" t="s">
        <v>28</v>
      </c>
      <c r="K15" s="10" t="s">
        <v>90</v>
      </c>
      <c r="L15" s="17">
        <v>45343</v>
      </c>
      <c r="M15" t="s">
        <v>91</v>
      </c>
      <c r="N15" s="10" t="s">
        <v>31</v>
      </c>
      <c r="O15" s="10" t="s">
        <v>92</v>
      </c>
      <c r="P15" s="10" t="s">
        <v>93</v>
      </c>
      <c r="Q15" s="10" t="s">
        <v>94</v>
      </c>
      <c r="R15" s="10" t="s">
        <v>95</v>
      </c>
      <c r="S15" s="10" t="s">
        <v>79</v>
      </c>
      <c r="T15" s="69" t="s">
        <v>96</v>
      </c>
      <c r="U15" s="22"/>
      <c r="V15" s="22"/>
      <c r="W15" s="10" t="s">
        <v>40</v>
      </c>
      <c r="X15" s="22"/>
    </row>
    <row r="16" spans="1:24" ht="33.75" hidden="1" customHeight="1">
      <c r="A16" s="10" t="s">
        <v>41</v>
      </c>
      <c r="B16" s="10" t="s">
        <v>97</v>
      </c>
      <c r="C16" s="10">
        <v>8595990</v>
      </c>
      <c r="D16" s="10">
        <v>5</v>
      </c>
      <c r="E16" s="10">
        <v>66</v>
      </c>
      <c r="F16" s="10" t="s">
        <v>35</v>
      </c>
      <c r="G16" s="10" t="s">
        <v>98</v>
      </c>
      <c r="H16" s="10">
        <v>2023</v>
      </c>
      <c r="I16" s="10" t="s">
        <v>49</v>
      </c>
      <c r="J16" s="10" t="s">
        <v>99</v>
      </c>
      <c r="K16" s="10" t="s">
        <v>44</v>
      </c>
      <c r="L16" s="10" t="s">
        <v>38</v>
      </c>
      <c r="M16" s="10" t="s">
        <v>38</v>
      </c>
      <c r="N16" s="10" t="s">
        <v>69</v>
      </c>
      <c r="O16" s="10" t="s">
        <v>100</v>
      </c>
      <c r="P16" s="10"/>
      <c r="Q16" s="10" t="s">
        <v>101</v>
      </c>
      <c r="R16" s="10" t="s">
        <v>102</v>
      </c>
      <c r="S16" s="10" t="s">
        <v>103</v>
      </c>
      <c r="T16" s="69">
        <v>45364</v>
      </c>
      <c r="U16" s="22"/>
      <c r="V16" s="22"/>
      <c r="W16" s="17" t="s">
        <v>104</v>
      </c>
      <c r="X16" s="22"/>
    </row>
    <row r="17" spans="1:44" ht="127.5" hidden="1" customHeight="1">
      <c r="A17" s="12" t="s">
        <v>24</v>
      </c>
      <c r="B17" s="10" t="s">
        <v>105</v>
      </c>
      <c r="C17" s="14" t="s">
        <v>106</v>
      </c>
      <c r="D17" s="14">
        <v>369624</v>
      </c>
      <c r="E17" s="14">
        <v>38</v>
      </c>
      <c r="F17" s="14" t="s">
        <v>35</v>
      </c>
      <c r="G17" s="14" t="s">
        <v>107</v>
      </c>
      <c r="H17" s="15">
        <v>2022</v>
      </c>
      <c r="I17" s="18">
        <v>44854</v>
      </c>
      <c r="J17" s="14" t="s">
        <v>50</v>
      </c>
      <c r="K17" s="14" t="s">
        <v>108</v>
      </c>
      <c r="L17" s="14" t="s">
        <v>38</v>
      </c>
      <c r="M17" s="14" t="s">
        <v>38</v>
      </c>
      <c r="N17" s="14" t="s">
        <v>31</v>
      </c>
      <c r="O17" s="14" t="s">
        <v>92</v>
      </c>
      <c r="P17" s="52" t="s">
        <v>109</v>
      </c>
      <c r="Q17" s="52" t="s">
        <v>110</v>
      </c>
      <c r="R17" s="14" t="s">
        <v>60</v>
      </c>
      <c r="S17" s="14" t="s">
        <v>61</v>
      </c>
      <c r="T17" s="71" t="s">
        <v>58</v>
      </c>
      <c r="U17" s="22"/>
      <c r="V17" s="22"/>
      <c r="W17" s="17" t="s">
        <v>111</v>
      </c>
      <c r="X17" s="22"/>
    </row>
    <row r="18" spans="1:44" ht="128.25" hidden="1" customHeight="1">
      <c r="A18" s="13" t="s">
        <v>24</v>
      </c>
      <c r="B18" s="10" t="s">
        <v>112</v>
      </c>
      <c r="C18" s="10">
        <v>8269407</v>
      </c>
      <c r="D18" s="10">
        <v>2</v>
      </c>
      <c r="E18" s="10">
        <v>75</v>
      </c>
      <c r="F18" s="10" t="s">
        <v>35</v>
      </c>
      <c r="G18" s="10" t="s">
        <v>113</v>
      </c>
      <c r="H18" s="10">
        <v>2023</v>
      </c>
      <c r="I18" s="10">
        <v>2023</v>
      </c>
      <c r="J18" s="10" t="s">
        <v>28</v>
      </c>
      <c r="K18" s="10" t="s">
        <v>114</v>
      </c>
      <c r="L18" s="17">
        <v>45252</v>
      </c>
      <c r="M18" s="10" t="s">
        <v>115</v>
      </c>
      <c r="N18" s="10" t="s">
        <v>116</v>
      </c>
      <c r="O18" s="10" t="s">
        <v>57</v>
      </c>
      <c r="P18" s="10"/>
      <c r="Q18" s="10" t="s">
        <v>117</v>
      </c>
      <c r="R18" s="10" t="s">
        <v>118</v>
      </c>
      <c r="S18" s="10" t="s">
        <v>119</v>
      </c>
      <c r="T18" s="69">
        <v>45453</v>
      </c>
      <c r="U18" s="22"/>
      <c r="V18" s="22"/>
      <c r="W18" s="20" t="s">
        <v>120</v>
      </c>
      <c r="X18" s="22"/>
    </row>
    <row r="19" spans="1:44" s="30" customFormat="1" ht="127.5" hidden="1" customHeight="1">
      <c r="A19" s="12" t="s">
        <v>24</v>
      </c>
      <c r="B19" s="10" t="s">
        <v>121</v>
      </c>
      <c r="C19" s="14">
        <v>11505711</v>
      </c>
      <c r="D19" s="14">
        <v>1</v>
      </c>
      <c r="E19" s="14">
        <v>53</v>
      </c>
      <c r="F19" s="14" t="s">
        <v>122</v>
      </c>
      <c r="G19" s="46" t="s">
        <v>123</v>
      </c>
      <c r="H19" s="14">
        <v>2021</v>
      </c>
      <c r="I19" s="18">
        <v>45037</v>
      </c>
      <c r="J19" s="14" t="s">
        <v>50</v>
      </c>
      <c r="K19" s="14" t="s">
        <v>114</v>
      </c>
      <c r="L19" s="14" t="s">
        <v>58</v>
      </c>
      <c r="M19" s="14" t="s">
        <v>38</v>
      </c>
      <c r="N19" s="14" t="s">
        <v>69</v>
      </c>
      <c r="O19" s="14" t="s">
        <v>92</v>
      </c>
      <c r="P19" s="14" t="s">
        <v>124</v>
      </c>
      <c r="Q19" s="14" t="s">
        <v>125</v>
      </c>
      <c r="R19" s="14" t="s">
        <v>118</v>
      </c>
      <c r="S19" s="14" t="s">
        <v>126</v>
      </c>
      <c r="T19" s="71">
        <v>45468</v>
      </c>
      <c r="U19" s="22"/>
      <c r="V19" s="22"/>
      <c r="W19" s="17" t="s">
        <v>127</v>
      </c>
      <c r="X19" s="22"/>
      <c r="Y19"/>
      <c r="Z19"/>
      <c r="AA19"/>
      <c r="AB19"/>
      <c r="AC19"/>
      <c r="AD19"/>
      <c r="AE19"/>
      <c r="AF19"/>
      <c r="AG19"/>
      <c r="AH19"/>
      <c r="AI19"/>
      <c r="AJ19"/>
      <c r="AK19"/>
      <c r="AL19"/>
      <c r="AM19"/>
      <c r="AN19"/>
      <c r="AO19"/>
      <c r="AP19"/>
      <c r="AQ19"/>
      <c r="AR19"/>
    </row>
    <row r="20" spans="1:44" ht="129.75" hidden="1" customHeight="1">
      <c r="A20" s="8" t="s">
        <v>24</v>
      </c>
      <c r="B20" s="10" t="s">
        <v>128</v>
      </c>
      <c r="C20" s="10">
        <v>4860469</v>
      </c>
      <c r="D20" s="10">
        <v>2</v>
      </c>
      <c r="E20" s="10">
        <v>82</v>
      </c>
      <c r="F20" s="10" t="s">
        <v>129</v>
      </c>
      <c r="G20" s="10" t="s">
        <v>130</v>
      </c>
      <c r="H20" s="10">
        <v>2023</v>
      </c>
      <c r="I20" s="17">
        <v>45192</v>
      </c>
      <c r="J20" s="10" t="s">
        <v>50</v>
      </c>
      <c r="K20" s="10" t="s">
        <v>131</v>
      </c>
      <c r="L20" s="10" t="s">
        <v>56</v>
      </c>
      <c r="M20" s="10" t="s">
        <v>38</v>
      </c>
      <c r="N20" s="10" t="s">
        <v>132</v>
      </c>
      <c r="O20" s="10" t="s">
        <v>57</v>
      </c>
      <c r="P20" s="10"/>
      <c r="Q20" s="10" t="s">
        <v>133</v>
      </c>
      <c r="R20" s="10" t="s">
        <v>118</v>
      </c>
      <c r="S20" s="10" t="s">
        <v>134</v>
      </c>
      <c r="T20" s="72">
        <v>45492</v>
      </c>
      <c r="U20" s="21">
        <f t="shared" ref="U20:U34" ca="1" si="0">T20-TODAY()</f>
        <v>-593</v>
      </c>
      <c r="V20" s="24" t="str">
        <f t="shared" ref="V20:V26" ca="1" si="1">IF(U20&gt;=25,"Vigente",IF(AND(U20&gt;=1,U20&lt;=25),"Por Vencer","Vencido"))</f>
        <v>Vencido</v>
      </c>
      <c r="W20" s="10" t="s">
        <v>135</v>
      </c>
      <c r="X20" s="10" t="s">
        <v>136</v>
      </c>
    </row>
    <row r="21" spans="1:44" ht="150" hidden="1" customHeight="1">
      <c r="A21" s="12" t="s">
        <v>24</v>
      </c>
      <c r="B21" s="10" t="s">
        <v>137</v>
      </c>
      <c r="C21" s="10">
        <v>4692612</v>
      </c>
      <c r="D21" s="10">
        <v>9</v>
      </c>
      <c r="E21" s="10">
        <v>83</v>
      </c>
      <c r="F21" s="10" t="s">
        <v>71</v>
      </c>
      <c r="G21" s="46" t="s">
        <v>138</v>
      </c>
      <c r="H21" s="10">
        <v>2024</v>
      </c>
      <c r="I21" s="17">
        <v>45385</v>
      </c>
      <c r="J21" s="10" t="s">
        <v>28</v>
      </c>
      <c r="K21" s="10" t="s">
        <v>90</v>
      </c>
      <c r="L21" s="17">
        <v>45391</v>
      </c>
      <c r="M21" s="10" t="s">
        <v>93</v>
      </c>
      <c r="N21" s="10" t="s">
        <v>69</v>
      </c>
      <c r="O21" s="10" t="s">
        <v>92</v>
      </c>
      <c r="P21" s="10" t="s">
        <v>93</v>
      </c>
      <c r="Q21" s="10" t="s">
        <v>139</v>
      </c>
      <c r="R21" s="10" t="s">
        <v>140</v>
      </c>
      <c r="S21" s="10" t="s">
        <v>141</v>
      </c>
      <c r="T21" s="72">
        <v>45510</v>
      </c>
      <c r="U21" s="21">
        <f t="shared" ca="1" si="0"/>
        <v>-575</v>
      </c>
      <c r="V21" s="24" t="str">
        <f t="shared" ca="1" si="1"/>
        <v>Vencido</v>
      </c>
      <c r="W21" s="17" t="s">
        <v>142</v>
      </c>
      <c r="X21" s="10" t="s">
        <v>143</v>
      </c>
    </row>
    <row r="22" spans="1:44" ht="123" hidden="1" customHeight="1">
      <c r="A22" s="12" t="s">
        <v>24</v>
      </c>
      <c r="B22" s="10" t="s">
        <v>144</v>
      </c>
      <c r="C22" s="10">
        <v>7486835</v>
      </c>
      <c r="D22" s="10">
        <v>5</v>
      </c>
      <c r="E22" s="10">
        <v>68</v>
      </c>
      <c r="F22" s="10" t="s">
        <v>71</v>
      </c>
      <c r="G22" s="10" t="s">
        <v>145</v>
      </c>
      <c r="H22" s="10">
        <v>2024</v>
      </c>
      <c r="I22" s="17">
        <v>45373</v>
      </c>
      <c r="J22" s="10" t="s">
        <v>28</v>
      </c>
      <c r="K22" s="10" t="s">
        <v>90</v>
      </c>
      <c r="L22" s="10" t="s">
        <v>56</v>
      </c>
      <c r="M22" s="10" t="s">
        <v>38</v>
      </c>
      <c r="N22" s="10" t="s">
        <v>69</v>
      </c>
      <c r="O22" s="10" t="s">
        <v>57</v>
      </c>
      <c r="P22" s="10"/>
      <c r="Q22" s="10" t="s">
        <v>146</v>
      </c>
      <c r="R22" s="10" t="s">
        <v>118</v>
      </c>
      <c r="S22" s="10" t="s">
        <v>147</v>
      </c>
      <c r="T22" s="72">
        <v>45534</v>
      </c>
      <c r="U22" s="21">
        <f t="shared" ca="1" si="0"/>
        <v>-551</v>
      </c>
      <c r="V22" s="24" t="str">
        <f t="shared" ca="1" si="1"/>
        <v>Vencido</v>
      </c>
      <c r="W22" s="17" t="s">
        <v>148</v>
      </c>
      <c r="X22" s="10" t="s">
        <v>149</v>
      </c>
    </row>
    <row r="23" spans="1:44" ht="99.75" hidden="1" customHeight="1">
      <c r="A23" s="13" t="s">
        <v>24</v>
      </c>
      <c r="B23" s="10" t="s">
        <v>150</v>
      </c>
      <c r="C23" s="10">
        <v>5499937</v>
      </c>
      <c r="D23" s="10">
        <v>2</v>
      </c>
      <c r="E23" s="10">
        <v>78</v>
      </c>
      <c r="F23" s="10" t="s">
        <v>35</v>
      </c>
      <c r="G23" s="10" t="s">
        <v>151</v>
      </c>
      <c r="H23" s="10">
        <v>2023</v>
      </c>
      <c r="I23" s="17">
        <v>44977</v>
      </c>
      <c r="J23" s="10" t="s">
        <v>28</v>
      </c>
      <c r="K23" s="10" t="s">
        <v>114</v>
      </c>
      <c r="L23" s="17">
        <v>45077</v>
      </c>
      <c r="M23" s="10" t="s">
        <v>152</v>
      </c>
      <c r="N23" s="10" t="s">
        <v>116</v>
      </c>
      <c r="O23" s="10" t="s">
        <v>57</v>
      </c>
      <c r="P23" s="10"/>
      <c r="Q23" s="10" t="s">
        <v>153</v>
      </c>
      <c r="R23" s="10" t="s">
        <v>154</v>
      </c>
      <c r="S23" s="10" t="s">
        <v>155</v>
      </c>
      <c r="T23" s="17">
        <v>45573</v>
      </c>
      <c r="U23" s="21">
        <f t="shared" ca="1" si="0"/>
        <v>-512</v>
      </c>
      <c r="V23" s="24" t="str">
        <f t="shared" ca="1" si="1"/>
        <v>Vencido</v>
      </c>
      <c r="W23" s="25" t="s">
        <v>156</v>
      </c>
      <c r="X23" s="10" t="s">
        <v>157</v>
      </c>
    </row>
    <row r="24" spans="1:44" ht="124.5" customHeight="1">
      <c r="A24" s="13" t="s">
        <v>24</v>
      </c>
      <c r="B24" s="10" t="s">
        <v>158</v>
      </c>
      <c r="C24" s="10">
        <v>6765579</v>
      </c>
      <c r="D24" s="10">
        <v>6</v>
      </c>
      <c r="E24" s="10">
        <v>69</v>
      </c>
      <c r="F24" s="10" t="s">
        <v>35</v>
      </c>
      <c r="G24" s="10" t="s">
        <v>159</v>
      </c>
      <c r="H24" s="10">
        <v>2019</v>
      </c>
      <c r="I24" s="10">
        <v>2019</v>
      </c>
      <c r="J24" s="10" t="s">
        <v>160</v>
      </c>
      <c r="K24" s="10" t="s">
        <v>29</v>
      </c>
      <c r="L24" s="17">
        <v>44622</v>
      </c>
      <c r="M24" s="53" t="s">
        <v>161</v>
      </c>
      <c r="N24" s="10" t="s">
        <v>69</v>
      </c>
      <c r="O24" s="10" t="s">
        <v>57</v>
      </c>
      <c r="P24" s="10"/>
      <c r="Q24" s="10" t="s">
        <v>162</v>
      </c>
      <c r="R24" s="10" t="s">
        <v>163</v>
      </c>
      <c r="S24" s="10" t="s">
        <v>164</v>
      </c>
      <c r="T24" s="17">
        <v>45559</v>
      </c>
      <c r="U24" s="21">
        <f t="shared" ca="1" si="0"/>
        <v>-526</v>
      </c>
      <c r="V24" s="24" t="str">
        <f t="shared" ca="1" si="1"/>
        <v>Vencido</v>
      </c>
      <c r="W24" s="25" t="s">
        <v>165</v>
      </c>
      <c r="X24" s="10" t="s">
        <v>157</v>
      </c>
    </row>
    <row r="25" spans="1:44" ht="150" hidden="1" customHeight="1">
      <c r="A25" s="12" t="s">
        <v>41</v>
      </c>
      <c r="B25" s="10" t="s">
        <v>166</v>
      </c>
      <c r="C25" s="10">
        <v>10812431</v>
      </c>
      <c r="D25" s="10">
        <v>8</v>
      </c>
      <c r="E25" s="10">
        <v>56</v>
      </c>
      <c r="F25" s="10" t="s">
        <v>167</v>
      </c>
      <c r="G25" s="10" t="s">
        <v>168</v>
      </c>
      <c r="H25" s="10" t="s">
        <v>58</v>
      </c>
      <c r="I25" s="10" t="s">
        <v>58</v>
      </c>
      <c r="J25" s="10" t="s">
        <v>50</v>
      </c>
      <c r="K25" s="10" t="s">
        <v>44</v>
      </c>
      <c r="L25" s="10" t="s">
        <v>38</v>
      </c>
      <c r="M25" s="10" t="s">
        <v>38</v>
      </c>
      <c r="N25" s="10" t="s">
        <v>69</v>
      </c>
      <c r="O25" s="10" t="s">
        <v>57</v>
      </c>
      <c r="P25" s="10"/>
      <c r="Q25" s="10" t="s">
        <v>169</v>
      </c>
      <c r="R25" s="10" t="s">
        <v>170</v>
      </c>
      <c r="S25" s="10" t="s">
        <v>141</v>
      </c>
      <c r="T25" s="72">
        <v>45665</v>
      </c>
      <c r="U25" s="21">
        <f t="shared" ca="1" si="0"/>
        <v>-420</v>
      </c>
      <c r="V25" s="24" t="str">
        <f t="shared" ca="1" si="1"/>
        <v>Vencido</v>
      </c>
      <c r="W25" s="17" t="s">
        <v>171</v>
      </c>
      <c r="X25" s="10" t="s">
        <v>172</v>
      </c>
    </row>
    <row r="26" spans="1:44" ht="120" hidden="1" customHeight="1">
      <c r="A26" s="12" t="s">
        <v>24</v>
      </c>
      <c r="B26" s="10" t="s">
        <v>173</v>
      </c>
      <c r="C26" s="10">
        <v>9535778</v>
      </c>
      <c r="D26" s="10">
        <v>4</v>
      </c>
      <c r="E26" s="10">
        <v>59</v>
      </c>
      <c r="F26" s="10" t="s">
        <v>71</v>
      </c>
      <c r="G26" s="10" t="s">
        <v>174</v>
      </c>
      <c r="H26" s="10">
        <v>2024</v>
      </c>
      <c r="I26" s="17">
        <v>45422</v>
      </c>
      <c r="J26" s="10" t="s">
        <v>50</v>
      </c>
      <c r="K26" s="10" t="s">
        <v>90</v>
      </c>
      <c r="L26" s="10" t="s">
        <v>58</v>
      </c>
      <c r="M26" s="10" t="s">
        <v>175</v>
      </c>
      <c r="N26" s="10" t="s">
        <v>69</v>
      </c>
      <c r="O26" s="10" t="s">
        <v>57</v>
      </c>
      <c r="P26" s="10"/>
      <c r="Q26" s="10" t="s">
        <v>176</v>
      </c>
      <c r="R26" s="10" t="s">
        <v>118</v>
      </c>
      <c r="S26" s="10" t="s">
        <v>177</v>
      </c>
      <c r="T26" s="17">
        <v>45603</v>
      </c>
      <c r="U26" s="10">
        <f t="shared" ca="1" si="0"/>
        <v>-482</v>
      </c>
      <c r="V26" s="23" t="str">
        <f t="shared" ca="1" si="1"/>
        <v>Vencido</v>
      </c>
      <c r="W26" s="28" t="s">
        <v>178</v>
      </c>
      <c r="X26" s="10" t="s">
        <v>172</v>
      </c>
    </row>
    <row r="27" spans="1:44" ht="123.75" hidden="1" customHeight="1">
      <c r="A27" s="12" t="s">
        <v>24</v>
      </c>
      <c r="B27" s="10" t="s">
        <v>179</v>
      </c>
      <c r="C27" s="10">
        <v>9529295</v>
      </c>
      <c r="D27" s="10" t="s">
        <v>180</v>
      </c>
      <c r="E27" s="10">
        <v>72</v>
      </c>
      <c r="F27" s="10" t="s">
        <v>71</v>
      </c>
      <c r="G27" s="10" t="s">
        <v>181</v>
      </c>
      <c r="H27" s="10">
        <v>2024</v>
      </c>
      <c r="I27" s="10"/>
      <c r="J27" s="10" t="s">
        <v>50</v>
      </c>
      <c r="K27" s="10" t="s">
        <v>90</v>
      </c>
      <c r="L27" s="10" t="s">
        <v>58</v>
      </c>
      <c r="M27" s="10" t="s">
        <v>175</v>
      </c>
      <c r="N27" s="10" t="s">
        <v>69</v>
      </c>
      <c r="O27" s="10" t="s">
        <v>57</v>
      </c>
      <c r="P27" s="10"/>
      <c r="Q27" s="10" t="s">
        <v>182</v>
      </c>
      <c r="R27" s="10" t="s">
        <v>118</v>
      </c>
      <c r="S27" s="10" t="s">
        <v>141</v>
      </c>
      <c r="T27" s="17">
        <v>45540</v>
      </c>
      <c r="U27" s="21">
        <f t="shared" ca="1" si="0"/>
        <v>-545</v>
      </c>
      <c r="V27" s="24" t="str">
        <f t="shared" ref="V27:V35" ca="1" si="2">IF(U27&gt;=25,"Vigente",IF(AND(U27&gt;=1,U27&lt;=25),"Por Vencer","Vencido"))</f>
        <v>Vencido</v>
      </c>
      <c r="W27" s="25" t="s">
        <v>183</v>
      </c>
      <c r="X27" s="10" t="s">
        <v>157</v>
      </c>
    </row>
    <row r="28" spans="1:44" ht="150" hidden="1" customHeight="1">
      <c r="A28" s="13" t="s">
        <v>24</v>
      </c>
      <c r="B28" s="10" t="s">
        <v>184</v>
      </c>
      <c r="C28" s="10">
        <v>6731822</v>
      </c>
      <c r="D28" s="10">
        <v>6</v>
      </c>
      <c r="E28" s="10">
        <v>70</v>
      </c>
      <c r="F28" s="10" t="s">
        <v>35</v>
      </c>
      <c r="G28" s="10" t="s">
        <v>185</v>
      </c>
      <c r="H28" s="10">
        <v>2021</v>
      </c>
      <c r="I28" s="17">
        <v>44530</v>
      </c>
      <c r="J28" s="10" t="s">
        <v>28</v>
      </c>
      <c r="K28" s="10" t="s">
        <v>44</v>
      </c>
      <c r="L28" s="17">
        <v>45182</v>
      </c>
      <c r="M28" s="10" t="s">
        <v>186</v>
      </c>
      <c r="N28" s="10" t="s">
        <v>116</v>
      </c>
      <c r="O28" s="10" t="s">
        <v>57</v>
      </c>
      <c r="P28" s="10"/>
      <c r="Q28" s="10" t="s">
        <v>187</v>
      </c>
      <c r="R28" s="10" t="s">
        <v>118</v>
      </c>
      <c r="S28" s="10" t="s">
        <v>188</v>
      </c>
      <c r="T28" s="72">
        <v>45590</v>
      </c>
      <c r="U28" s="21">
        <f t="shared" ca="1" si="0"/>
        <v>-495</v>
      </c>
      <c r="V28" s="24" t="str">
        <f t="shared" ca="1" si="2"/>
        <v>Vencido</v>
      </c>
      <c r="W28" s="17" t="s">
        <v>189</v>
      </c>
      <c r="X28" s="10" t="s">
        <v>157</v>
      </c>
    </row>
    <row r="29" spans="1:44" ht="105.75" hidden="1" customHeight="1">
      <c r="A29" s="10" t="s">
        <v>24</v>
      </c>
      <c r="B29" s="10" t="s">
        <v>190</v>
      </c>
      <c r="C29" s="10">
        <v>8462823</v>
      </c>
      <c r="D29" s="10">
        <v>9</v>
      </c>
      <c r="E29" s="10">
        <v>64</v>
      </c>
      <c r="F29" s="10" t="s">
        <v>191</v>
      </c>
      <c r="G29" s="10" t="s">
        <v>192</v>
      </c>
      <c r="H29" s="10">
        <v>2024</v>
      </c>
      <c r="I29" s="17">
        <v>45566</v>
      </c>
      <c r="J29" s="10" t="s">
        <v>50</v>
      </c>
      <c r="K29" s="10" t="s">
        <v>90</v>
      </c>
      <c r="L29" s="10" t="s">
        <v>56</v>
      </c>
      <c r="M29" s="10" t="s">
        <v>175</v>
      </c>
      <c r="N29" s="10" t="s">
        <v>69</v>
      </c>
      <c r="O29" s="10" t="s">
        <v>92</v>
      </c>
      <c r="P29" s="10" t="s">
        <v>193</v>
      </c>
      <c r="Q29" s="10" t="s">
        <v>194</v>
      </c>
      <c r="R29" s="10" t="s">
        <v>118</v>
      </c>
      <c r="S29" s="10" t="s">
        <v>195</v>
      </c>
      <c r="T29" s="17">
        <v>45613</v>
      </c>
      <c r="U29" s="10">
        <f t="shared" ca="1" si="0"/>
        <v>-472</v>
      </c>
      <c r="V29" s="23" t="str">
        <f t="shared" ca="1" si="2"/>
        <v>Vencido</v>
      </c>
      <c r="W29" s="28" t="s">
        <v>196</v>
      </c>
      <c r="X29" s="10" t="s">
        <v>172</v>
      </c>
    </row>
    <row r="30" spans="1:44" ht="126.75" hidden="1" customHeight="1">
      <c r="A30" s="13" t="s">
        <v>24</v>
      </c>
      <c r="B30" s="10" t="s">
        <v>197</v>
      </c>
      <c r="C30" s="10">
        <v>24630945</v>
      </c>
      <c r="D30" s="10">
        <v>0</v>
      </c>
      <c r="E30" s="10">
        <v>40</v>
      </c>
      <c r="F30" s="10" t="s">
        <v>35</v>
      </c>
      <c r="G30" s="10" t="s">
        <v>198</v>
      </c>
      <c r="H30" s="10">
        <v>2023</v>
      </c>
      <c r="I30" s="17">
        <v>45147</v>
      </c>
      <c r="J30" s="10" t="s">
        <v>50</v>
      </c>
      <c r="K30" s="10" t="s">
        <v>44</v>
      </c>
      <c r="L30" s="17">
        <v>45168</v>
      </c>
      <c r="M30" s="10" t="s">
        <v>199</v>
      </c>
      <c r="N30" s="10" t="s">
        <v>116</v>
      </c>
      <c r="O30" s="10" t="s">
        <v>57</v>
      </c>
      <c r="P30" s="10"/>
      <c r="Q30" s="10" t="s">
        <v>200</v>
      </c>
      <c r="R30" s="10" t="s">
        <v>140</v>
      </c>
      <c r="S30" s="10" t="s">
        <v>119</v>
      </c>
      <c r="T30" s="17">
        <v>45618</v>
      </c>
      <c r="U30" s="21">
        <f t="shared" ca="1" si="0"/>
        <v>-467</v>
      </c>
      <c r="V30" s="24" t="str">
        <f t="shared" ca="1" si="2"/>
        <v>Vencido</v>
      </c>
      <c r="W30" s="73" t="s">
        <v>201</v>
      </c>
      <c r="X30" s="10" t="s">
        <v>157</v>
      </c>
    </row>
    <row r="31" spans="1:44" ht="150" hidden="1" customHeight="1">
      <c r="A31" s="12" t="s">
        <v>41</v>
      </c>
      <c r="B31" s="10" t="s">
        <v>202</v>
      </c>
      <c r="C31" s="14">
        <v>8521983</v>
      </c>
      <c r="D31" s="14">
        <v>9</v>
      </c>
      <c r="E31" s="14">
        <v>62</v>
      </c>
      <c r="F31" s="14" t="s">
        <v>203</v>
      </c>
      <c r="G31" s="14" t="s">
        <v>204</v>
      </c>
      <c r="H31" s="14">
        <v>2016</v>
      </c>
      <c r="I31" s="18">
        <v>42626</v>
      </c>
      <c r="J31" s="14" t="s">
        <v>160</v>
      </c>
      <c r="K31" s="14" t="s">
        <v>29</v>
      </c>
      <c r="L31" s="18">
        <v>45344</v>
      </c>
      <c r="M31" s="14" t="s">
        <v>205</v>
      </c>
      <c r="N31" s="14" t="s">
        <v>69</v>
      </c>
      <c r="O31" s="14" t="s">
        <v>92</v>
      </c>
      <c r="P31" s="14" t="s">
        <v>206</v>
      </c>
      <c r="Q31" s="14" t="s">
        <v>207</v>
      </c>
      <c r="R31" s="14" t="s">
        <v>60</v>
      </c>
      <c r="S31" s="14" t="s">
        <v>141</v>
      </c>
      <c r="T31" s="17">
        <v>45610</v>
      </c>
      <c r="U31" s="21">
        <f t="shared" ca="1" si="0"/>
        <v>-475</v>
      </c>
      <c r="V31" s="24" t="str">
        <f t="shared" ca="1" si="2"/>
        <v>Vencido</v>
      </c>
      <c r="W31" s="25" t="s">
        <v>208</v>
      </c>
      <c r="X31" s="10" t="s">
        <v>157</v>
      </c>
    </row>
    <row r="32" spans="1:44" ht="150" hidden="1" customHeight="1">
      <c r="A32" s="12" t="s">
        <v>41</v>
      </c>
      <c r="B32" s="10" t="s">
        <v>209</v>
      </c>
      <c r="C32" s="10">
        <v>18352820</v>
      </c>
      <c r="D32" s="10">
        <v>3</v>
      </c>
      <c r="E32" s="10">
        <v>30</v>
      </c>
      <c r="F32" s="10" t="s">
        <v>35</v>
      </c>
      <c r="G32" s="10" t="s">
        <v>27</v>
      </c>
      <c r="H32" s="10">
        <v>2023</v>
      </c>
      <c r="I32" s="17">
        <v>45211</v>
      </c>
      <c r="J32" s="10" t="s">
        <v>50</v>
      </c>
      <c r="K32" s="10" t="s">
        <v>210</v>
      </c>
      <c r="L32" s="10" t="s">
        <v>56</v>
      </c>
      <c r="M32" s="10" t="s">
        <v>211</v>
      </c>
      <c r="N32" s="10" t="s">
        <v>69</v>
      </c>
      <c r="O32" s="10" t="s">
        <v>57</v>
      </c>
      <c r="P32" s="10"/>
      <c r="Q32" s="10" t="s">
        <v>212</v>
      </c>
      <c r="R32" s="10" t="s">
        <v>154</v>
      </c>
      <c r="S32" s="10" t="s">
        <v>213</v>
      </c>
      <c r="T32" s="17">
        <v>45514</v>
      </c>
      <c r="U32" s="21">
        <f t="shared" ca="1" si="0"/>
        <v>-571</v>
      </c>
      <c r="V32" s="24" t="str">
        <f t="shared" ca="1" si="2"/>
        <v>Vencido</v>
      </c>
      <c r="W32" s="25" t="s">
        <v>214</v>
      </c>
      <c r="X32" s="10" t="s">
        <v>157</v>
      </c>
    </row>
    <row r="33" spans="1:29" ht="125.25" hidden="1" customHeight="1">
      <c r="A33" s="12" t="s">
        <v>24</v>
      </c>
      <c r="B33" s="10" t="s">
        <v>215</v>
      </c>
      <c r="C33" s="10">
        <v>5416159</v>
      </c>
      <c r="D33" s="10" t="s">
        <v>216</v>
      </c>
      <c r="E33" s="10">
        <v>78</v>
      </c>
      <c r="F33" s="10" t="s">
        <v>71</v>
      </c>
      <c r="G33" s="10" t="s">
        <v>217</v>
      </c>
      <c r="H33" s="10">
        <v>2021</v>
      </c>
      <c r="I33" s="17">
        <v>44441</v>
      </c>
      <c r="J33" s="10" t="s">
        <v>28</v>
      </c>
      <c r="K33" s="10" t="s">
        <v>131</v>
      </c>
      <c r="L33" s="10" t="s">
        <v>58</v>
      </c>
      <c r="M33" s="10" t="s">
        <v>175</v>
      </c>
      <c r="N33" s="10" t="s">
        <v>69</v>
      </c>
      <c r="O33" s="10"/>
      <c r="P33" s="10" t="s">
        <v>57</v>
      </c>
      <c r="Q33" s="10" t="s">
        <v>218</v>
      </c>
      <c r="R33" s="10" t="s">
        <v>118</v>
      </c>
      <c r="S33" s="10" t="s">
        <v>219</v>
      </c>
      <c r="T33" s="17">
        <v>45634</v>
      </c>
      <c r="U33" s="10">
        <f t="shared" ca="1" si="0"/>
        <v>-451</v>
      </c>
      <c r="V33" s="23" t="str">
        <f t="shared" ca="1" si="2"/>
        <v>Vencido</v>
      </c>
      <c r="W33" s="10" t="s">
        <v>220</v>
      </c>
      <c r="X33" s="10" t="s">
        <v>221</v>
      </c>
    </row>
    <row r="34" spans="1:29" ht="126.75" hidden="1" customHeight="1">
      <c r="A34" s="13" t="s">
        <v>24</v>
      </c>
      <c r="B34" s="10" t="s">
        <v>222</v>
      </c>
      <c r="C34" s="10">
        <v>5149828</v>
      </c>
      <c r="D34" s="10">
        <v>3</v>
      </c>
      <c r="E34" s="16">
        <v>76</v>
      </c>
      <c r="F34" s="10" t="s">
        <v>26</v>
      </c>
      <c r="G34" s="10" t="s">
        <v>223</v>
      </c>
      <c r="H34" s="16">
        <v>2021</v>
      </c>
      <c r="I34" s="17">
        <v>44214</v>
      </c>
      <c r="J34" s="10" t="s">
        <v>28</v>
      </c>
      <c r="K34" s="10" t="s">
        <v>29</v>
      </c>
      <c r="L34" s="17">
        <v>45342</v>
      </c>
      <c r="M34" s="10" t="s">
        <v>93</v>
      </c>
      <c r="N34" s="10" t="s">
        <v>69</v>
      </c>
      <c r="O34" s="10" t="s">
        <v>57</v>
      </c>
      <c r="P34" s="10" t="s">
        <v>93</v>
      </c>
      <c r="Q34" s="10" t="s">
        <v>224</v>
      </c>
      <c r="R34" s="10" t="s">
        <v>118</v>
      </c>
      <c r="S34" s="10" t="s">
        <v>225</v>
      </c>
      <c r="T34" s="17">
        <v>45556</v>
      </c>
      <c r="U34" s="10">
        <f t="shared" ca="1" si="0"/>
        <v>-529</v>
      </c>
      <c r="V34" s="23" t="str">
        <f t="shared" ca="1" si="2"/>
        <v>Vencido</v>
      </c>
      <c r="W34" s="17" t="s">
        <v>226</v>
      </c>
      <c r="X34" s="10" t="s">
        <v>149</v>
      </c>
    </row>
    <row r="35" spans="1:29" ht="45" hidden="1">
      <c r="A35" s="13" t="s">
        <v>24</v>
      </c>
      <c r="B35" s="9" t="s">
        <v>227</v>
      </c>
      <c r="C35" s="10">
        <v>10833535</v>
      </c>
      <c r="D35" s="10">
        <v>1</v>
      </c>
      <c r="E35" s="17">
        <v>24733</v>
      </c>
      <c r="F35" s="10">
        <v>57</v>
      </c>
      <c r="G35" s="10" t="s">
        <v>71</v>
      </c>
      <c r="H35" s="10" t="s">
        <v>228</v>
      </c>
      <c r="I35" s="10">
        <v>2025</v>
      </c>
      <c r="J35" s="17">
        <v>45715</v>
      </c>
      <c r="K35" s="10" t="s">
        <v>50</v>
      </c>
      <c r="L35" s="10" t="s">
        <v>229</v>
      </c>
      <c r="M35" s="10"/>
      <c r="N35" s="10"/>
      <c r="O35" s="10"/>
      <c r="P35" s="10"/>
      <c r="Q35" s="9" t="s">
        <v>230</v>
      </c>
      <c r="R35" s="10" t="s">
        <v>118</v>
      </c>
      <c r="S35" s="10"/>
      <c r="T35" s="10"/>
      <c r="U35" s="10"/>
      <c r="V35" s="23" t="str">
        <f t="shared" si="2"/>
        <v>Vencido</v>
      </c>
      <c r="W35" s="10" t="s">
        <v>231</v>
      </c>
      <c r="X35" s="24"/>
      <c r="Y35" s="10"/>
      <c r="Z35" s="10"/>
    </row>
    <row r="36" spans="1:29" ht="15" hidden="1">
      <c r="B36" t="s">
        <v>232</v>
      </c>
      <c r="C36">
        <v>6012493</v>
      </c>
      <c r="D36">
        <v>0</v>
      </c>
    </row>
    <row r="37" spans="1:29" ht="125.25" customHeight="1">
      <c r="A37" s="7"/>
      <c r="B37" s="74" t="s">
        <v>24</v>
      </c>
      <c r="C37" s="3" t="s">
        <v>233</v>
      </c>
      <c r="D37" s="10">
        <v>8140260</v>
      </c>
      <c r="E37" s="10">
        <v>4</v>
      </c>
      <c r="F37" s="10"/>
      <c r="G37" s="10">
        <v>66</v>
      </c>
      <c r="H37" s="10" t="s">
        <v>71</v>
      </c>
      <c r="I37" s="10" t="s">
        <v>234</v>
      </c>
      <c r="J37" s="10">
        <v>2024</v>
      </c>
      <c r="K37" s="10" t="s">
        <v>56</v>
      </c>
      <c r="L37" s="10" t="s">
        <v>50</v>
      </c>
      <c r="M37" s="10" t="s">
        <v>114</v>
      </c>
      <c r="N37" s="10" t="s">
        <v>56</v>
      </c>
      <c r="O37" s="10" t="s">
        <v>175</v>
      </c>
      <c r="P37" s="10" t="s">
        <v>69</v>
      </c>
      <c r="Q37" s="10" t="s">
        <v>57</v>
      </c>
      <c r="R37" s="10"/>
      <c r="S37" s="10" t="s">
        <v>235</v>
      </c>
      <c r="T37" s="10" t="s">
        <v>118</v>
      </c>
      <c r="U37" s="10" t="s">
        <v>195</v>
      </c>
      <c r="V37" s="17">
        <v>45741</v>
      </c>
      <c r="W37" s="17">
        <v>45833</v>
      </c>
      <c r="X37" s="10">
        <f ca="1">W37-TODAY()</f>
        <v>-252</v>
      </c>
      <c r="Y37" s="23" t="str">
        <f ca="1">IF(X37&gt;=25,"Vigente",IF(AND(X37&gt;=1,X37&lt;=25),"Por Vencer","Vencido"))</f>
        <v>Vencido</v>
      </c>
      <c r="Z37" s="10" t="s">
        <v>236</v>
      </c>
      <c r="AA37" s="10" t="s">
        <v>237</v>
      </c>
      <c r="AB37" s="26" t="s">
        <v>238</v>
      </c>
    </row>
    <row r="38" spans="1:29" ht="123" customHeight="1">
      <c r="A38" s="82"/>
      <c r="B38" s="75" t="s">
        <v>24</v>
      </c>
      <c r="C38" s="83" t="s">
        <v>239</v>
      </c>
      <c r="D38" s="77">
        <v>5975871</v>
      </c>
      <c r="E38" s="77">
        <v>3</v>
      </c>
      <c r="F38" s="77"/>
      <c r="G38" s="77">
        <v>72</v>
      </c>
      <c r="H38" s="85" t="s">
        <v>71</v>
      </c>
      <c r="I38" s="85" t="s">
        <v>240</v>
      </c>
      <c r="J38" s="77">
        <v>2025</v>
      </c>
      <c r="K38" s="78">
        <v>45736</v>
      </c>
      <c r="L38" s="77"/>
      <c r="M38" s="85" t="s">
        <v>241</v>
      </c>
      <c r="N38" s="77" t="s">
        <v>58</v>
      </c>
      <c r="O38" s="77" t="s">
        <v>242</v>
      </c>
      <c r="P38" s="77" t="s">
        <v>69</v>
      </c>
      <c r="Q38" s="77" t="s">
        <v>57</v>
      </c>
      <c r="R38" s="77"/>
      <c r="S38" s="85" t="s">
        <v>243</v>
      </c>
      <c r="T38" s="84" t="s">
        <v>244</v>
      </c>
      <c r="U38" s="84" t="s">
        <v>245</v>
      </c>
      <c r="V38" s="84" t="s">
        <v>246</v>
      </c>
      <c r="W38" s="84"/>
      <c r="X38" s="77">
        <f ca="1">W38-TODAY()</f>
        <v>-46085</v>
      </c>
      <c r="Y38" s="79" t="str">
        <f ca="1">IF(X38&gt;=25,"Vigente",IF(AND(X38&gt;=1,X38&lt;=25),"Por Vencer","Vencido"))</f>
        <v>Vencido</v>
      </c>
      <c r="Z38" s="86" t="s">
        <v>247</v>
      </c>
      <c r="AA38" s="85" t="s">
        <v>248</v>
      </c>
      <c r="AB38" s="1" t="s">
        <v>249</v>
      </c>
      <c r="AC38" s="87" t="s">
        <v>250</v>
      </c>
    </row>
    <row r="39" spans="1:29" ht="150" customHeight="1">
      <c r="A39" s="11">
        <v>42</v>
      </c>
      <c r="B39" s="74" t="s">
        <v>24</v>
      </c>
      <c r="C39" s="3" t="s">
        <v>251</v>
      </c>
      <c r="D39" s="10">
        <v>7549300</v>
      </c>
      <c r="E39" s="10">
        <v>2</v>
      </c>
      <c r="F39" s="10"/>
      <c r="G39" s="10">
        <v>70</v>
      </c>
      <c r="H39" s="10" t="s">
        <v>35</v>
      </c>
      <c r="I39" s="88" t="s">
        <v>252</v>
      </c>
      <c r="J39" s="10">
        <v>2023</v>
      </c>
      <c r="K39" s="17">
        <v>45012</v>
      </c>
      <c r="L39" s="10" t="s">
        <v>50</v>
      </c>
      <c r="M39" s="10" t="s">
        <v>29</v>
      </c>
      <c r="N39" s="10" t="s">
        <v>56</v>
      </c>
      <c r="O39" s="10" t="s">
        <v>38</v>
      </c>
      <c r="P39" s="19" t="s">
        <v>69</v>
      </c>
      <c r="Q39" s="10" t="s">
        <v>57</v>
      </c>
      <c r="R39" s="10"/>
      <c r="S39" s="17" t="s">
        <v>253</v>
      </c>
      <c r="T39" s="17" t="s">
        <v>254</v>
      </c>
      <c r="U39" s="10" t="s">
        <v>255</v>
      </c>
      <c r="V39" s="17">
        <v>45905</v>
      </c>
      <c r="W39" s="17">
        <v>45905</v>
      </c>
      <c r="X39" s="21">
        <f ca="1">W39-TODAY()</f>
        <v>-180</v>
      </c>
      <c r="Y39" s="24" t="str">
        <f ca="1">IF(X39&gt;=25,"Vigente",IF(AND(X39&gt;=1,X39&lt;=25),"Por Vencer","Vencido"))</f>
        <v>Vencido</v>
      </c>
      <c r="Z39" s="25" t="s">
        <v>256</v>
      </c>
      <c r="AA39" s="22" t="s">
        <v>257</v>
      </c>
      <c r="AB39" t="s">
        <v>258</v>
      </c>
    </row>
    <row r="40" spans="1:29" ht="30.75">
      <c r="B40" s="92">
        <v>8</v>
      </c>
      <c r="C40" s="3" t="s">
        <v>259</v>
      </c>
      <c r="D40" s="10">
        <v>5510243</v>
      </c>
      <c r="E40" s="61">
        <v>0</v>
      </c>
      <c r="F40" s="91"/>
      <c r="G40" s="94"/>
      <c r="H40" s="94"/>
      <c r="I40" s="94" t="s">
        <v>260</v>
      </c>
      <c r="J40" s="94"/>
      <c r="K40" s="94"/>
      <c r="L40" s="94"/>
      <c r="M40" s="94"/>
      <c r="N40" s="94"/>
      <c r="O40" s="94"/>
      <c r="P40" s="94"/>
      <c r="Q40" s="94"/>
      <c r="R40" s="94"/>
      <c r="S40" s="94"/>
      <c r="T40" s="94"/>
      <c r="U40" s="94"/>
      <c r="V40" s="94"/>
      <c r="W40" s="94"/>
      <c r="X40" s="94"/>
      <c r="Y40" s="94"/>
      <c r="Z40" s="95"/>
      <c r="AA40" s="94"/>
    </row>
    <row r="41" spans="1:29" ht="15">
      <c r="B41" s="92">
        <v>9</v>
      </c>
      <c r="C41" s="3" t="s">
        <v>261</v>
      </c>
      <c r="D41" s="10">
        <v>12945032</v>
      </c>
      <c r="E41" s="61">
        <v>0</v>
      </c>
      <c r="F41" s="91"/>
      <c r="G41" s="94"/>
      <c r="H41" s="94"/>
      <c r="I41" s="94" t="s">
        <v>262</v>
      </c>
      <c r="J41" s="94"/>
      <c r="K41" s="94"/>
      <c r="L41" s="94"/>
      <c r="M41" s="94"/>
      <c r="N41" s="94"/>
      <c r="O41" s="94"/>
      <c r="P41" s="94"/>
      <c r="Q41" s="94"/>
      <c r="R41" s="94"/>
      <c r="S41" s="94"/>
      <c r="T41" s="94"/>
      <c r="U41" s="94"/>
      <c r="V41" s="94"/>
      <c r="W41" s="94"/>
      <c r="X41" s="94"/>
      <c r="Y41" s="94"/>
      <c r="Z41" s="95"/>
      <c r="AA41" s="94"/>
    </row>
    <row r="42" spans="1:29" ht="30.75">
      <c r="B42" s="92">
        <v>86</v>
      </c>
      <c r="C42" s="90" t="s">
        <v>263</v>
      </c>
      <c r="D42" s="91">
        <v>4039781</v>
      </c>
      <c r="E42" s="91">
        <v>7</v>
      </c>
      <c r="F42" s="91"/>
      <c r="Z42" s="1"/>
    </row>
    <row r="43" spans="1:29" ht="30.75">
      <c r="B43" s="92">
        <v>87</v>
      </c>
      <c r="C43" s="93" t="s">
        <v>263</v>
      </c>
      <c r="D43" s="91">
        <v>4039781</v>
      </c>
      <c r="E43" s="91">
        <v>7</v>
      </c>
      <c r="F43" s="91" t="s">
        <v>264</v>
      </c>
      <c r="Z43" s="1"/>
    </row>
    <row r="44" spans="1:29" ht="30.75">
      <c r="A44" s="92">
        <v>28</v>
      </c>
      <c r="B44" s="2" t="s">
        <v>265</v>
      </c>
      <c r="C44" s="89">
        <v>2625565</v>
      </c>
      <c r="D44" s="10">
        <v>1</v>
      </c>
      <c r="E44" s="10"/>
      <c r="H44" t="s">
        <v>266</v>
      </c>
      <c r="Y44" s="1"/>
      <c r="Z44" s="94" t="s">
        <v>257</v>
      </c>
    </row>
    <row r="45" spans="1:29" ht="30.75">
      <c r="A45" s="92">
        <v>32</v>
      </c>
      <c r="B45" s="3" t="s">
        <v>267</v>
      </c>
      <c r="C45" s="10">
        <v>7568599</v>
      </c>
      <c r="D45" s="10">
        <v>8</v>
      </c>
      <c r="E45" s="10"/>
      <c r="G45" t="s">
        <v>268</v>
      </c>
      <c r="Y45" s="1"/>
      <c r="Z45" s="94" t="s">
        <v>257</v>
      </c>
    </row>
    <row r="46" spans="1:29" ht="16.5">
      <c r="A46" s="92">
        <v>36</v>
      </c>
      <c r="B46" s="76" t="s">
        <v>269</v>
      </c>
      <c r="C46" s="77">
        <v>5237070</v>
      </c>
      <c r="D46" s="77">
        <v>1</v>
      </c>
      <c r="E46" s="77"/>
      <c r="H46" t="s">
        <v>270</v>
      </c>
      <c r="I46">
        <v>2020</v>
      </c>
      <c r="J46">
        <v>2020</v>
      </c>
      <c r="K46" t="s">
        <v>50</v>
      </c>
      <c r="L46" t="s">
        <v>271</v>
      </c>
      <c r="M46" t="s">
        <v>272</v>
      </c>
      <c r="N46" t="s">
        <v>272</v>
      </c>
      <c r="O46" t="s">
        <v>69</v>
      </c>
      <c r="P46" t="s">
        <v>57</v>
      </c>
      <c r="R46" t="s">
        <v>273</v>
      </c>
      <c r="S46" t="s">
        <v>274</v>
      </c>
      <c r="T46" t="s">
        <v>275</v>
      </c>
      <c r="U46" s="100">
        <v>45723</v>
      </c>
      <c r="V46" t="s">
        <v>276</v>
      </c>
      <c r="Y46" s="1" t="s">
        <v>276</v>
      </c>
      <c r="Z46" s="94" t="s">
        <v>257</v>
      </c>
    </row>
    <row r="47" spans="1:29" ht="30.75">
      <c r="A47" s="92">
        <v>48</v>
      </c>
      <c r="B47" s="81" t="s">
        <v>277</v>
      </c>
      <c r="C47" s="10">
        <v>7524785</v>
      </c>
      <c r="D47" s="10">
        <v>0</v>
      </c>
      <c r="E47" s="10" t="s">
        <v>278</v>
      </c>
      <c r="F47" t="s">
        <v>279</v>
      </c>
      <c r="H47" s="1"/>
      <c r="Y47" s="1"/>
      <c r="Z47" s="94" t="s">
        <v>257</v>
      </c>
    </row>
    <row r="48" spans="1:29" ht="16.5">
      <c r="A48" s="92">
        <v>63</v>
      </c>
      <c r="B48" s="81" t="s">
        <v>280</v>
      </c>
      <c r="C48" s="10">
        <v>17363557</v>
      </c>
      <c r="D48" s="10">
        <v>5</v>
      </c>
      <c r="E48" s="10" t="s">
        <v>281</v>
      </c>
      <c r="H48" s="1"/>
      <c r="Y48" s="1"/>
      <c r="Z48" s="94" t="s">
        <v>257</v>
      </c>
    </row>
    <row r="49" spans="1:26" ht="15">
      <c r="A49" s="92">
        <v>82</v>
      </c>
      <c r="B49" s="3" t="s">
        <v>282</v>
      </c>
      <c r="C49" s="10">
        <v>7246699</v>
      </c>
      <c r="D49" s="10">
        <v>3</v>
      </c>
      <c r="E49" s="10"/>
      <c r="F49" t="s">
        <v>283</v>
      </c>
      <c r="H49" s="1"/>
      <c r="Y49" s="1"/>
    </row>
    <row r="50" spans="1:26" ht="18.75">
      <c r="A50" s="110">
        <v>79</v>
      </c>
      <c r="B50" s="112" t="s">
        <v>284</v>
      </c>
      <c r="C50" s="113">
        <v>8140260</v>
      </c>
      <c r="D50" s="113">
        <v>4</v>
      </c>
      <c r="E50" s="113" t="s">
        <v>285</v>
      </c>
      <c r="F50" s="163" t="s">
        <v>286</v>
      </c>
      <c r="G50" s="163"/>
      <c r="H50" s="163"/>
      <c r="I50" s="163"/>
      <c r="J50" s="163"/>
      <c r="K50" s="163"/>
      <c r="L50" s="163"/>
      <c r="M50" s="163"/>
      <c r="N50" s="163"/>
      <c r="O50" s="163"/>
      <c r="P50" s="163"/>
      <c r="Q50" s="163"/>
      <c r="R50" s="163"/>
      <c r="S50" s="163"/>
      <c r="T50" s="163"/>
      <c r="U50" s="163"/>
      <c r="V50" s="163"/>
      <c r="W50" s="163"/>
      <c r="X50" s="164"/>
      <c r="Y50" s="111"/>
      <c r="Z50" s="111"/>
    </row>
    <row r="51" spans="1:26" ht="30.75">
      <c r="A51" s="107">
        <v>75</v>
      </c>
      <c r="B51" s="108" t="s">
        <v>287</v>
      </c>
      <c r="C51" s="109">
        <v>9849577</v>
      </c>
      <c r="D51" s="12">
        <v>0</v>
      </c>
      <c r="E51" s="12"/>
      <c r="F51" s="27"/>
      <c r="G51" s="27"/>
      <c r="H51" s="26"/>
      <c r="I51" s="27"/>
      <c r="J51" s="27"/>
      <c r="K51" s="27"/>
      <c r="L51" s="27"/>
      <c r="M51" s="27"/>
      <c r="N51" s="27"/>
      <c r="O51" s="27"/>
      <c r="P51" s="27"/>
      <c r="Q51" s="27"/>
      <c r="R51" s="27"/>
      <c r="S51" s="27"/>
      <c r="T51" s="27"/>
      <c r="U51" s="27"/>
      <c r="V51" s="27"/>
      <c r="W51" s="27"/>
      <c r="X51" s="27"/>
      <c r="Y51" s="26"/>
      <c r="Z51" s="27"/>
    </row>
    <row r="52" spans="1:26" ht="49.5">
      <c r="A52" s="97">
        <v>47</v>
      </c>
      <c r="B52" s="90" t="s">
        <v>288</v>
      </c>
      <c r="C52" s="91">
        <v>7007068</v>
      </c>
      <c r="D52" s="91">
        <v>5</v>
      </c>
      <c r="E52" s="91"/>
      <c r="F52" s="94">
        <v>77</v>
      </c>
      <c r="G52" s="94" t="s">
        <v>71</v>
      </c>
      <c r="H52" s="94" t="s">
        <v>289</v>
      </c>
      <c r="I52" s="94">
        <v>2024</v>
      </c>
      <c r="J52" s="94">
        <v>2024</v>
      </c>
      <c r="K52" s="94" t="s">
        <v>28</v>
      </c>
      <c r="L52" s="94" t="s">
        <v>271</v>
      </c>
      <c r="M52" s="96">
        <v>45161</v>
      </c>
      <c r="N52" s="94" t="s">
        <v>290</v>
      </c>
      <c r="O52" s="94" t="s">
        <v>291</v>
      </c>
      <c r="P52" s="94" t="s">
        <v>92</v>
      </c>
      <c r="Q52" s="94" t="s">
        <v>292</v>
      </c>
      <c r="R52" s="94" t="s">
        <v>293</v>
      </c>
      <c r="S52" s="94" t="s">
        <v>294</v>
      </c>
      <c r="T52" s="94" t="s">
        <v>245</v>
      </c>
      <c r="U52" s="96">
        <v>45887</v>
      </c>
      <c r="V52" s="96">
        <v>45918</v>
      </c>
      <c r="W52" s="94"/>
      <c r="X52" s="94"/>
      <c r="Y52" s="95" t="s">
        <v>295</v>
      </c>
      <c r="Z52" s="94" t="s">
        <v>257</v>
      </c>
    </row>
  </sheetData>
  <autoFilter ref="A4:AR36" xr:uid="{00000000-0009-0000-0000-000001000000}">
    <filterColumn colId="2">
      <filters>
        <filter val="6765579"/>
      </filters>
    </filterColumn>
  </autoFilter>
  <mergeCells count="1">
    <mergeCell ref="F50:X50"/>
  </mergeCells>
  <conditionalFormatting sqref="V20:V35">
    <cfRule type="containsText" dxfId="37" priority="4" operator="containsText" text="vigente">
      <formula>NOT(ISERROR(SEARCH("vigente",V20)))</formula>
    </cfRule>
    <cfRule type="containsText" dxfId="36" priority="5" operator="containsText" text="por vencer">
      <formula>NOT(ISERROR(SEARCH("por vencer",V20)))</formula>
    </cfRule>
    <cfRule type="containsText" dxfId="35" priority="6" operator="containsText" text="vencido">
      <formula>NOT(ISERROR(SEARCH("vencido",V20)))</formula>
    </cfRule>
  </conditionalFormatting>
  <conditionalFormatting sqref="X35">
    <cfRule type="containsText" dxfId="34" priority="1" operator="containsText" text="vigente">
      <formula>NOT(ISERROR(SEARCH("vigente",X35)))</formula>
    </cfRule>
    <cfRule type="containsText" dxfId="33" priority="2" operator="containsText" text="por vencer">
      <formula>NOT(ISERROR(SEARCH("por vencer",X35)))</formula>
    </cfRule>
    <cfRule type="containsText" dxfId="32" priority="3" operator="containsText" text="vencido">
      <formula>NOT(ISERROR(SEARCH("vencido",X35)))</formula>
    </cfRule>
  </conditionalFormatting>
  <dataValidations count="4">
    <dataValidation type="list" allowBlank="1" showInputMessage="1" showErrorMessage="1" sqref="G6:H6 F14 H14:I14 F19:G19 I19 F26:G26 F33:I33" xr:uid="{00000000-0002-0000-0100-000000000000}">
      <formula1>"Ovalle, Punitaqui ,Rio Hurtado, Combarbala, Monte patria"</formula1>
    </dataValidation>
    <dataValidation type="list" allowBlank="1" showInputMessage="1" showErrorMessage="1" sqref="L9 K14 K16 O18 O20 K22 K24 K26 O33 K18:K20 K33:K34 L5:L7 M37 M39 Q39" xr:uid="{00000000-0002-0000-0100-000001000000}">
      <formula1>"Sospecha, Confirmacion, Etapificacion, tratamiento, Seguimiento"</formula1>
    </dataValidation>
    <dataValidation type="list" allowBlank="1" showInputMessage="1" showErrorMessage="1" sqref="N11 N14:N15 O5:O9" xr:uid="{00000000-0002-0000-0100-000002000000}">
      <formula1>"Hospital de Ovalle (HDATL), Hospital de La serena (HSJD), Hospital de Coquimbo (HSP), Hospital de Valparaiso (HCVB)"</formula1>
    </dataValidation>
    <dataValidation type="list" allowBlank="1" showInputMessage="1" showErrorMessage="1" sqref="O17 O19 O22 O34 O11:O12 O14:O15 O24:O27 P5:P9 Q37" xr:uid="{00000000-0002-0000-0100-000003000000}">
      <formula1>"EN CURSO, DETENIDO"</formula1>
    </dataValidation>
  </dataValidation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4580-7E37-4340-AC4D-3426994801EB}">
  <dimension ref="A1:E8"/>
  <sheetViews>
    <sheetView workbookViewId="0">
      <selection activeCell="A7" sqref="A7:C7"/>
    </sheetView>
  </sheetViews>
  <sheetFormatPr defaultColWidth="11" defaultRowHeight="13.5" customHeight="1"/>
  <cols>
    <col min="1" max="1" width="26.125" customWidth="1"/>
    <col min="4" max="4" width="19" customWidth="1"/>
    <col min="5" max="5" width="39.25" customWidth="1"/>
  </cols>
  <sheetData>
    <row r="1" spans="1:5" ht="15">
      <c r="A1" s="165" t="s">
        <v>296</v>
      </c>
      <c r="B1" s="166"/>
      <c r="C1" s="166"/>
      <c r="D1" s="166"/>
      <c r="E1" s="167"/>
    </row>
    <row r="2" spans="1:5">
      <c r="A2" s="115" t="s">
        <v>297</v>
      </c>
      <c r="B2" s="115" t="s">
        <v>298</v>
      </c>
      <c r="C2" s="115" t="s">
        <v>3</v>
      </c>
      <c r="D2" s="115" t="s">
        <v>299</v>
      </c>
      <c r="E2" s="25"/>
    </row>
    <row r="3" spans="1:5" ht="30.75">
      <c r="A3" s="90" t="s">
        <v>300</v>
      </c>
      <c r="B3" s="116">
        <v>41081575</v>
      </c>
      <c r="C3" s="116">
        <v>3</v>
      </c>
      <c r="D3" s="101" t="s">
        <v>43</v>
      </c>
      <c r="E3" s="121" t="s">
        <v>301</v>
      </c>
    </row>
    <row r="4" spans="1:5" ht="27" customHeight="1">
      <c r="A4" s="99" t="s">
        <v>302</v>
      </c>
      <c r="B4" s="122">
        <v>6722693</v>
      </c>
      <c r="C4" s="122">
        <v>3</v>
      </c>
      <c r="D4" s="123" t="s">
        <v>43</v>
      </c>
      <c r="E4" s="124" t="s">
        <v>301</v>
      </c>
    </row>
    <row r="5" spans="1:5" ht="28.5" customHeight="1">
      <c r="A5" s="114" t="s">
        <v>303</v>
      </c>
      <c r="B5" s="117">
        <v>5797685</v>
      </c>
      <c r="C5" s="117">
        <v>3</v>
      </c>
      <c r="D5" s="101" t="s">
        <v>43</v>
      </c>
      <c r="E5" s="106" t="s">
        <v>301</v>
      </c>
    </row>
    <row r="6" spans="1:5" ht="13.5" customHeight="1">
      <c r="A6" s="90" t="s">
        <v>304</v>
      </c>
      <c r="B6" s="116">
        <v>8846116</v>
      </c>
      <c r="C6" s="118">
        <v>9</v>
      </c>
      <c r="D6" s="101" t="s">
        <v>43</v>
      </c>
      <c r="E6" s="95" t="s">
        <v>305</v>
      </c>
    </row>
    <row r="7" spans="1:5" ht="13.5" customHeight="1">
      <c r="A7" s="94" t="s">
        <v>306</v>
      </c>
      <c r="B7" s="117">
        <v>6742154</v>
      </c>
      <c r="C7" s="117" t="s">
        <v>180</v>
      </c>
      <c r="D7" s="101" t="s">
        <v>307</v>
      </c>
      <c r="E7" s="95" t="s">
        <v>308</v>
      </c>
    </row>
    <row r="8" spans="1:5" ht="13.5" customHeight="1">
      <c r="A8" s="94" t="s">
        <v>309</v>
      </c>
      <c r="B8" s="94">
        <v>9790329</v>
      </c>
      <c r="C8" s="94">
        <v>8</v>
      </c>
      <c r="D8" s="94" t="s">
        <v>43</v>
      </c>
      <c r="E8" s="95" t="s">
        <v>310</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00B7-C865-4878-A367-61C56E582D19}">
  <dimension ref="A1"/>
  <sheetViews>
    <sheetView workbookViewId="0"/>
  </sheetViews>
  <sheetFormatPr defaultRowHeight="1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2E22-C1B4-4E02-9AD4-6716B969BECA}">
  <dimension ref="A1:AC85"/>
  <sheetViews>
    <sheetView tabSelected="1" workbookViewId="0">
      <pane xSplit="2" topLeftCell="S54" activePane="topRight" state="frozen"/>
      <selection pane="topRight" activeCell="AC82" sqref="AC82:AC83"/>
    </sheetView>
  </sheetViews>
  <sheetFormatPr defaultRowHeight="13.5"/>
  <cols>
    <col min="1" max="1" width="16.125" style="143" customWidth="1"/>
    <col min="2" max="2" width="28.625" style="125" customWidth="1"/>
    <col min="3" max="4" width="16.125" style="125" customWidth="1"/>
    <col min="5" max="5" width="17.25" style="125" customWidth="1"/>
    <col min="6" max="7" width="16.125" style="143" customWidth="1"/>
    <col min="8" max="8" width="25.25" style="125" customWidth="1"/>
    <col min="9" max="9" width="16.125" style="127" customWidth="1"/>
    <col min="10" max="14" width="16.125" style="125" customWidth="1"/>
    <col min="15" max="15" width="26.875" style="147" customWidth="1"/>
    <col min="16" max="16" width="18.125" style="125" customWidth="1"/>
    <col min="17" max="17" width="17.25" style="125" customWidth="1"/>
    <col min="18" max="18" width="24.75" style="125" customWidth="1"/>
    <col min="19" max="19" width="41" style="127" customWidth="1"/>
    <col min="20" max="20" width="18.125" style="125" customWidth="1"/>
    <col min="21" max="21" width="10.75" style="125" customWidth="1"/>
    <col min="22" max="22" width="12.625" style="125" customWidth="1"/>
    <col min="23" max="23" width="11.75" style="125" customWidth="1"/>
    <col min="24" max="24" width="15.875" style="125" customWidth="1"/>
    <col min="25" max="25" width="9.625" style="125" customWidth="1"/>
    <col min="26" max="26" width="15.875" style="127" customWidth="1"/>
    <col min="27" max="27" width="10" style="127" customWidth="1"/>
    <col min="28" max="28" width="18.125" style="125" customWidth="1"/>
    <col min="29" max="29" width="18.125" style="127" customWidth="1"/>
    <col min="30" max="16384" width="9" style="125"/>
  </cols>
  <sheetData>
    <row r="1" spans="1:29" s="150" customFormat="1" ht="34.5">
      <c r="A1" s="148" t="s">
        <v>311</v>
      </c>
      <c r="B1" s="144" t="s">
        <v>1</v>
      </c>
      <c r="C1" s="144" t="s">
        <v>2</v>
      </c>
      <c r="D1" s="144" t="s">
        <v>3</v>
      </c>
      <c r="E1" s="144" t="s">
        <v>312</v>
      </c>
      <c r="F1" s="149" t="s">
        <v>4</v>
      </c>
      <c r="G1" s="149" t="s">
        <v>299</v>
      </c>
      <c r="H1" s="144" t="s">
        <v>5</v>
      </c>
      <c r="I1" s="144" t="s">
        <v>229</v>
      </c>
      <c r="J1" s="144" t="s">
        <v>7</v>
      </c>
      <c r="K1" s="144" t="s">
        <v>8</v>
      </c>
      <c r="L1" s="144" t="s">
        <v>9</v>
      </c>
      <c r="M1" s="144" t="s">
        <v>10</v>
      </c>
      <c r="N1" s="144" t="s">
        <v>11</v>
      </c>
      <c r="O1" s="146" t="s">
        <v>12</v>
      </c>
      <c r="P1" s="144" t="s">
        <v>13</v>
      </c>
      <c r="Q1" s="144" t="s">
        <v>14</v>
      </c>
      <c r="R1" s="144" t="s">
        <v>15</v>
      </c>
      <c r="S1" s="144" t="s">
        <v>16</v>
      </c>
      <c r="T1" s="144" t="s">
        <v>17</v>
      </c>
      <c r="U1" s="144" t="s">
        <v>313</v>
      </c>
      <c r="V1" s="144" t="s">
        <v>314</v>
      </c>
      <c r="W1" s="144" t="s">
        <v>315</v>
      </c>
      <c r="X1" s="144" t="s">
        <v>316</v>
      </c>
      <c r="Y1" s="144" t="s">
        <v>317</v>
      </c>
      <c r="Z1" s="144" t="s">
        <v>318</v>
      </c>
      <c r="AA1" s="144" t="s">
        <v>319</v>
      </c>
      <c r="AB1" s="144" t="s">
        <v>320</v>
      </c>
      <c r="AC1" s="151" t="s">
        <v>321</v>
      </c>
    </row>
    <row r="2" spans="1:29" customFormat="1" ht="55.5" customHeight="1">
      <c r="A2" s="142">
        <v>1</v>
      </c>
      <c r="B2" s="130" t="s">
        <v>322</v>
      </c>
      <c r="C2" s="130">
        <v>3816806</v>
      </c>
      <c r="D2" s="130">
        <v>1</v>
      </c>
      <c r="E2" s="130"/>
      <c r="F2" s="141">
        <v>90</v>
      </c>
      <c r="G2" s="141"/>
      <c r="H2" s="131" t="s">
        <v>64</v>
      </c>
      <c r="I2" s="130"/>
      <c r="J2" s="131"/>
      <c r="K2" s="131"/>
      <c r="L2" s="131" t="s">
        <v>50</v>
      </c>
      <c r="M2" s="131" t="s">
        <v>323</v>
      </c>
      <c r="N2" s="131" t="s">
        <v>272</v>
      </c>
      <c r="O2" s="130" t="s">
        <v>272</v>
      </c>
      <c r="P2" s="131" t="s">
        <v>69</v>
      </c>
      <c r="Q2" s="131" t="s">
        <v>92</v>
      </c>
      <c r="R2" s="130" t="s">
        <v>324</v>
      </c>
      <c r="S2" s="130" t="s">
        <v>325</v>
      </c>
      <c r="T2" s="131"/>
      <c r="U2" s="131" t="s">
        <v>326</v>
      </c>
      <c r="V2" s="131"/>
      <c r="W2" s="131"/>
      <c r="X2" s="132">
        <f ca="1">W2-TODAY()</f>
        <v>-46085</v>
      </c>
      <c r="Y2" s="132" t="str">
        <f ca="1">IF(X2&gt;=25,"Vigente",IF(AND(X2&gt;=1,X2&lt;=25),"Por Vencer","Vencido"))</f>
        <v>Vencido</v>
      </c>
      <c r="Z2" s="130" t="s">
        <v>327</v>
      </c>
      <c r="AA2" s="130" t="s">
        <v>50</v>
      </c>
      <c r="AB2" s="131" t="s">
        <v>257</v>
      </c>
      <c r="AC2" s="152"/>
    </row>
    <row r="3" spans="1:29" customFormat="1" ht="44.25">
      <c r="A3" s="142">
        <v>2</v>
      </c>
      <c r="B3" s="130" t="s">
        <v>328</v>
      </c>
      <c r="C3" s="130">
        <v>7298291</v>
      </c>
      <c r="D3" s="130">
        <v>6</v>
      </c>
      <c r="E3" s="130"/>
      <c r="F3" s="141">
        <v>69</v>
      </c>
      <c r="G3" s="141"/>
      <c r="H3" s="131" t="s">
        <v>329</v>
      </c>
      <c r="I3" s="130" t="s">
        <v>330</v>
      </c>
      <c r="J3" s="131">
        <v>2023</v>
      </c>
      <c r="K3" s="131">
        <v>2023</v>
      </c>
      <c r="L3" s="131" t="s">
        <v>50</v>
      </c>
      <c r="M3" s="131" t="s">
        <v>271</v>
      </c>
      <c r="N3" s="131"/>
      <c r="O3" s="130"/>
      <c r="P3" s="131" t="s">
        <v>69</v>
      </c>
      <c r="Q3" s="131" t="s">
        <v>57</v>
      </c>
      <c r="R3" s="131"/>
      <c r="S3" s="130" t="s">
        <v>331</v>
      </c>
      <c r="T3" s="131" t="s">
        <v>332</v>
      </c>
      <c r="U3" s="131" t="s">
        <v>326</v>
      </c>
      <c r="V3" s="133">
        <v>45747</v>
      </c>
      <c r="W3" s="133">
        <v>46112</v>
      </c>
      <c r="X3" s="132">
        <f ca="1">W3-TODAY()</f>
        <v>27</v>
      </c>
      <c r="Y3" s="132" t="str">
        <f ca="1">IF(X3&gt;=25,"Vigente",IF(AND(X3&gt;=1,X3&lt;=25),"Por Vencer","Vencido"))</f>
        <v>Vigente</v>
      </c>
      <c r="Z3" s="130" t="s">
        <v>333</v>
      </c>
      <c r="AA3" s="130"/>
      <c r="AB3" s="131" t="s">
        <v>257</v>
      </c>
      <c r="AC3" s="152"/>
    </row>
    <row r="4" spans="1:29" customFormat="1" ht="29.25">
      <c r="A4" s="142">
        <v>3</v>
      </c>
      <c r="B4" s="131" t="s">
        <v>309</v>
      </c>
      <c r="C4" s="131">
        <v>9790329</v>
      </c>
      <c r="D4" s="131">
        <v>8</v>
      </c>
      <c r="E4" s="131"/>
      <c r="F4" s="141"/>
      <c r="G4" s="141"/>
      <c r="H4" s="131"/>
      <c r="I4" s="130" t="s">
        <v>334</v>
      </c>
      <c r="J4" s="131">
        <v>2025</v>
      </c>
      <c r="K4" s="131">
        <v>2025</v>
      </c>
      <c r="L4" s="131" t="s">
        <v>50</v>
      </c>
      <c r="M4" s="131" t="s">
        <v>335</v>
      </c>
      <c r="N4" s="131" t="s">
        <v>272</v>
      </c>
      <c r="O4" s="131" t="s">
        <v>272</v>
      </c>
      <c r="P4" s="131" t="s">
        <v>69</v>
      </c>
      <c r="Q4" s="131" t="s">
        <v>92</v>
      </c>
      <c r="R4" s="131" t="s">
        <v>336</v>
      </c>
      <c r="S4" s="130" t="s">
        <v>337</v>
      </c>
      <c r="T4" s="131" t="s">
        <v>118</v>
      </c>
      <c r="U4" s="131" t="s">
        <v>326</v>
      </c>
      <c r="V4" s="131" t="s">
        <v>338</v>
      </c>
      <c r="W4" s="131" t="s">
        <v>338</v>
      </c>
      <c r="X4" s="132" t="e">
        <f ca="1">W4-TODAY()</f>
        <v>#VALUE!</v>
      </c>
      <c r="Y4" s="132" t="e">
        <f ca="1">IF(X4&gt;=25,"Vigente",IF(AND(X4&gt;=1,X4&lt;=25),"Por Vencer","Vencido"))</f>
        <v>#VALUE!</v>
      </c>
      <c r="Z4" s="130" t="s">
        <v>339</v>
      </c>
      <c r="AA4" s="130"/>
      <c r="AB4" s="131" t="s">
        <v>257</v>
      </c>
      <c r="AC4" s="152" t="s">
        <v>340</v>
      </c>
    </row>
    <row r="5" spans="1:29" customFormat="1" ht="29.25">
      <c r="A5" s="142">
        <v>4</v>
      </c>
      <c r="B5" s="130" t="s">
        <v>341</v>
      </c>
      <c r="C5" s="130">
        <v>9223652</v>
      </c>
      <c r="D5" s="130">
        <v>8</v>
      </c>
      <c r="E5" s="130"/>
      <c r="F5" s="141">
        <v>63</v>
      </c>
      <c r="G5" s="141"/>
      <c r="H5" s="131" t="s">
        <v>191</v>
      </c>
      <c r="I5" s="130" t="s">
        <v>342</v>
      </c>
      <c r="J5" s="131">
        <v>2023</v>
      </c>
      <c r="K5" s="131">
        <v>2023</v>
      </c>
      <c r="L5" s="131" t="s">
        <v>28</v>
      </c>
      <c r="M5" s="131" t="s">
        <v>271</v>
      </c>
      <c r="N5" s="131"/>
      <c r="O5" s="130" t="s">
        <v>343</v>
      </c>
      <c r="P5" s="131" t="s">
        <v>69</v>
      </c>
      <c r="Q5" s="131" t="s">
        <v>57</v>
      </c>
      <c r="R5" s="131"/>
      <c r="S5" s="130" t="s">
        <v>344</v>
      </c>
      <c r="T5" s="131" t="s">
        <v>345</v>
      </c>
      <c r="U5" s="131" t="s">
        <v>326</v>
      </c>
      <c r="V5" s="133">
        <v>45932</v>
      </c>
      <c r="W5" s="133">
        <v>46114</v>
      </c>
      <c r="X5" s="132">
        <f ca="1">W5-TODAY()</f>
        <v>29</v>
      </c>
      <c r="Y5" s="132" t="str">
        <f ca="1">IF(X5&gt;=25,"Vigente",IF(AND(X5&gt;=1,X5&lt;=25),"Por Vencer","Vencido"))</f>
        <v>Vigente</v>
      </c>
      <c r="Z5" s="130" t="s">
        <v>346</v>
      </c>
      <c r="AA5" s="130"/>
      <c r="AB5" s="131" t="s">
        <v>257</v>
      </c>
      <c r="AC5" s="152"/>
    </row>
    <row r="6" spans="1:29" customFormat="1" ht="29.25">
      <c r="A6" s="142">
        <v>5</v>
      </c>
      <c r="B6" s="131" t="s">
        <v>347</v>
      </c>
      <c r="C6" s="131">
        <v>3231537</v>
      </c>
      <c r="D6" s="131">
        <v>2</v>
      </c>
      <c r="E6" s="131"/>
      <c r="F6" s="141">
        <v>94</v>
      </c>
      <c r="G6" s="141"/>
      <c r="H6" s="131" t="s">
        <v>71</v>
      </c>
      <c r="I6" s="130" t="s">
        <v>348</v>
      </c>
      <c r="J6" s="131">
        <v>2024</v>
      </c>
      <c r="K6" s="131">
        <v>2024</v>
      </c>
      <c r="L6" s="131" t="s">
        <v>28</v>
      </c>
      <c r="M6" s="131" t="s">
        <v>349</v>
      </c>
      <c r="N6" s="133">
        <v>45664</v>
      </c>
      <c r="O6" s="130" t="s">
        <v>350</v>
      </c>
      <c r="P6" s="131" t="s">
        <v>69</v>
      </c>
      <c r="Q6" s="131" t="s">
        <v>57</v>
      </c>
      <c r="R6" s="131"/>
      <c r="S6" s="130" t="s">
        <v>351</v>
      </c>
      <c r="T6" s="131" t="s">
        <v>118</v>
      </c>
      <c r="U6" s="131" t="s">
        <v>326</v>
      </c>
      <c r="V6" s="133">
        <v>46024</v>
      </c>
      <c r="W6" s="133">
        <v>46055</v>
      </c>
      <c r="X6" s="132">
        <f ca="1">W6-TODAY()</f>
        <v>-30</v>
      </c>
      <c r="Y6" s="132" t="str">
        <f ca="1">IF(X6&gt;=25,"Vigente",IF(AND(X6&gt;=1,X6&lt;=25),"Por Vencer","Vencido"))</f>
        <v>Vencido</v>
      </c>
      <c r="Z6" s="130" t="s">
        <v>352</v>
      </c>
      <c r="AA6" s="130" t="s">
        <v>50</v>
      </c>
      <c r="AB6" s="131" t="s">
        <v>257</v>
      </c>
      <c r="AC6" s="152"/>
    </row>
    <row r="7" spans="1:29" customFormat="1" ht="114.75" customHeight="1">
      <c r="A7" s="142">
        <v>6</v>
      </c>
      <c r="B7" s="130" t="s">
        <v>353</v>
      </c>
      <c r="C7" s="130">
        <v>5342559</v>
      </c>
      <c r="D7" s="130">
        <v>3</v>
      </c>
      <c r="E7" s="130"/>
      <c r="F7" s="141"/>
      <c r="G7" s="141"/>
      <c r="H7" s="131" t="s">
        <v>71</v>
      </c>
      <c r="I7" s="130" t="s">
        <v>354</v>
      </c>
      <c r="J7" s="131">
        <v>2024</v>
      </c>
      <c r="K7" s="131">
        <v>2024</v>
      </c>
      <c r="L7" s="131" t="s">
        <v>28</v>
      </c>
      <c r="M7" s="131" t="s">
        <v>271</v>
      </c>
      <c r="N7" s="131">
        <v>2024</v>
      </c>
      <c r="O7" s="131"/>
      <c r="P7" s="131" t="s">
        <v>69</v>
      </c>
      <c r="Q7" s="131" t="s">
        <v>92</v>
      </c>
      <c r="R7" s="130" t="s">
        <v>355</v>
      </c>
      <c r="S7" s="130" t="s">
        <v>356</v>
      </c>
      <c r="T7" s="131" t="s">
        <v>345</v>
      </c>
      <c r="U7" s="131" t="s">
        <v>326</v>
      </c>
      <c r="V7" s="131"/>
      <c r="W7" s="131"/>
      <c r="X7" s="132">
        <f ca="1">W7-TODAY()</f>
        <v>-46085</v>
      </c>
      <c r="Y7" s="132" t="str">
        <f ca="1">IF(X7&gt;=25,"Vigente",IF(AND(X7&gt;=1,X7&lt;=25),"Por Vencer","Vencido"))</f>
        <v>Vencido</v>
      </c>
      <c r="Z7" s="130" t="s">
        <v>357</v>
      </c>
      <c r="AA7" s="130" t="s">
        <v>50</v>
      </c>
      <c r="AB7" s="131" t="s">
        <v>257</v>
      </c>
      <c r="AC7" s="152"/>
    </row>
    <row r="8" spans="1:29" customFormat="1" ht="29.25">
      <c r="A8" s="142">
        <v>8</v>
      </c>
      <c r="B8" s="130" t="s">
        <v>358</v>
      </c>
      <c r="C8" s="130">
        <v>6075651</v>
      </c>
      <c r="D8" s="130">
        <v>1</v>
      </c>
      <c r="E8" s="130"/>
      <c r="F8" s="141">
        <v>77</v>
      </c>
      <c r="G8" s="141"/>
      <c r="H8" s="131" t="s">
        <v>359</v>
      </c>
      <c r="I8" s="130" t="s">
        <v>360</v>
      </c>
      <c r="J8" s="131">
        <v>2024</v>
      </c>
      <c r="K8" s="131">
        <v>2024</v>
      </c>
      <c r="L8" s="131" t="s">
        <v>28</v>
      </c>
      <c r="M8" s="131" t="s">
        <v>349</v>
      </c>
      <c r="N8" s="133">
        <v>45748</v>
      </c>
      <c r="O8" s="131" t="s">
        <v>361</v>
      </c>
      <c r="P8" s="131" t="s">
        <v>116</v>
      </c>
      <c r="Q8" s="131" t="s">
        <v>57</v>
      </c>
      <c r="R8" s="131"/>
      <c r="S8" s="130" t="s">
        <v>362</v>
      </c>
      <c r="T8" s="131" t="s">
        <v>363</v>
      </c>
      <c r="U8" s="131" t="s">
        <v>326</v>
      </c>
      <c r="V8" s="133">
        <v>45756</v>
      </c>
      <c r="W8" s="133">
        <v>46031</v>
      </c>
      <c r="X8" s="132">
        <f ca="1">W8-TODAY()</f>
        <v>-54</v>
      </c>
      <c r="Y8" s="132" t="str">
        <f ca="1">IF(X8&gt;=25,"Vigente",IF(AND(X8&gt;=1,X8&lt;=25),"Por Vencer","Vencido"))</f>
        <v>Vencido</v>
      </c>
      <c r="Z8" s="130" t="s">
        <v>364</v>
      </c>
      <c r="AA8" s="130" t="s">
        <v>50</v>
      </c>
      <c r="AB8" s="131" t="s">
        <v>257</v>
      </c>
      <c r="AC8" s="152"/>
    </row>
    <row r="9" spans="1:29" customFormat="1" ht="72.75">
      <c r="A9" s="142">
        <v>17</v>
      </c>
      <c r="B9" s="134" t="s">
        <v>365</v>
      </c>
      <c r="C9" s="130">
        <v>3525360</v>
      </c>
      <c r="D9" s="130">
        <v>2</v>
      </c>
      <c r="E9" s="130"/>
      <c r="F9" s="141">
        <v>91</v>
      </c>
      <c r="G9" s="141"/>
      <c r="H9" s="131" t="s">
        <v>71</v>
      </c>
      <c r="I9" s="130" t="s">
        <v>366</v>
      </c>
      <c r="J9" s="131">
        <v>2023</v>
      </c>
      <c r="K9" s="131">
        <v>2025</v>
      </c>
      <c r="L9" s="131" t="s">
        <v>28</v>
      </c>
      <c r="M9" s="131" t="s">
        <v>271</v>
      </c>
      <c r="N9" s="133">
        <v>45572</v>
      </c>
      <c r="O9" s="130" t="s">
        <v>367</v>
      </c>
      <c r="P9" s="131" t="s">
        <v>69</v>
      </c>
      <c r="Q9" s="131" t="s">
        <v>92</v>
      </c>
      <c r="R9" s="131" t="s">
        <v>368</v>
      </c>
      <c r="S9" s="130" t="s">
        <v>369</v>
      </c>
      <c r="T9" s="131" t="s">
        <v>118</v>
      </c>
      <c r="U9" s="131" t="s">
        <v>326</v>
      </c>
      <c r="V9" s="133">
        <v>45856</v>
      </c>
      <c r="W9" s="133">
        <v>45918</v>
      </c>
      <c r="X9" s="132">
        <f ca="1">W9-TODAY()</f>
        <v>-167</v>
      </c>
      <c r="Y9" s="132" t="str">
        <f ca="1">IF(X9&gt;=25,"Vigente",IF(AND(X9&gt;=1,X9&lt;=25),"Por Vencer","Vencido"))</f>
        <v>Vencido</v>
      </c>
      <c r="Z9" s="130" t="s">
        <v>370</v>
      </c>
      <c r="AA9" s="130" t="s">
        <v>50</v>
      </c>
      <c r="AB9" s="131" t="s">
        <v>257</v>
      </c>
      <c r="AC9" s="152"/>
    </row>
    <row r="10" spans="1:29" customFormat="1" ht="72.75">
      <c r="A10" s="142">
        <v>24</v>
      </c>
      <c r="B10" s="130" t="s">
        <v>371</v>
      </c>
      <c r="C10" s="134">
        <v>3731677</v>
      </c>
      <c r="D10" s="130">
        <v>6</v>
      </c>
      <c r="E10" s="130"/>
      <c r="F10" s="141">
        <v>90</v>
      </c>
      <c r="G10" s="141"/>
      <c r="H10" s="131" t="s">
        <v>359</v>
      </c>
      <c r="I10" s="130" t="s">
        <v>372</v>
      </c>
      <c r="J10" s="131">
        <v>2024</v>
      </c>
      <c r="K10" s="131">
        <v>2024</v>
      </c>
      <c r="L10" s="131" t="s">
        <v>28</v>
      </c>
      <c r="M10" s="131" t="s">
        <v>271</v>
      </c>
      <c r="N10" s="133">
        <v>45512</v>
      </c>
      <c r="O10" s="131" t="s">
        <v>373</v>
      </c>
      <c r="P10" s="131" t="s">
        <v>69</v>
      </c>
      <c r="Q10" s="131" t="s">
        <v>92</v>
      </c>
      <c r="R10" s="131" t="s">
        <v>374</v>
      </c>
      <c r="S10" s="130" t="s">
        <v>375</v>
      </c>
      <c r="T10" s="131" t="s">
        <v>118</v>
      </c>
      <c r="U10" s="131" t="s">
        <v>326</v>
      </c>
      <c r="V10" s="133">
        <v>45712</v>
      </c>
      <c r="W10" s="133">
        <v>45771</v>
      </c>
      <c r="X10" s="132">
        <f ca="1">W10-TODAY()</f>
        <v>-314</v>
      </c>
      <c r="Y10" s="132" t="str">
        <f ca="1">IF(X10&gt;=25,"Vigente",IF(AND(X10&gt;=1,X10&lt;=25),"Por Vencer","Vencido"))</f>
        <v>Vencido</v>
      </c>
      <c r="Z10" s="130" t="s">
        <v>376</v>
      </c>
      <c r="AA10" s="130" t="s">
        <v>50</v>
      </c>
      <c r="AB10" s="131" t="s">
        <v>257</v>
      </c>
      <c r="AC10" s="152"/>
    </row>
    <row r="11" spans="1:29" customFormat="1" ht="29.25">
      <c r="A11" s="142">
        <v>10</v>
      </c>
      <c r="B11" s="130" t="s">
        <v>377</v>
      </c>
      <c r="C11" s="130">
        <v>12944518</v>
      </c>
      <c r="D11" s="130">
        <v>1</v>
      </c>
      <c r="E11" s="130"/>
      <c r="F11" s="141">
        <v>49</v>
      </c>
      <c r="G11" s="141"/>
      <c r="H11" s="131" t="s">
        <v>191</v>
      </c>
      <c r="I11" s="130" t="s">
        <v>378</v>
      </c>
      <c r="J11" s="131">
        <v>2020</v>
      </c>
      <c r="K11" s="131">
        <v>2020</v>
      </c>
      <c r="L11" s="131" t="s">
        <v>28</v>
      </c>
      <c r="M11" s="131" t="s">
        <v>271</v>
      </c>
      <c r="N11" s="133">
        <v>44104</v>
      </c>
      <c r="O11" s="131" t="s">
        <v>379</v>
      </c>
      <c r="P11" s="131" t="s">
        <v>116</v>
      </c>
      <c r="Q11" s="131" t="s">
        <v>57</v>
      </c>
      <c r="R11" s="131"/>
      <c r="S11" s="130" t="s">
        <v>380</v>
      </c>
      <c r="T11" s="131" t="s">
        <v>363</v>
      </c>
      <c r="U11" s="131" t="s">
        <v>326</v>
      </c>
      <c r="V11" s="133">
        <v>46022</v>
      </c>
      <c r="W11" s="133">
        <v>46081</v>
      </c>
      <c r="X11" s="132">
        <f ca="1">W11-TODAY()</f>
        <v>-4</v>
      </c>
      <c r="Y11" s="132" t="str">
        <f ca="1">IF(X11&gt;=25,"Vigente",IF(AND(X11&gt;=1,X11&lt;=25),"Por Vencer","Vencido"))</f>
        <v>Vencido</v>
      </c>
      <c r="Z11" s="130" t="s">
        <v>364</v>
      </c>
      <c r="AA11" s="130"/>
      <c r="AB11" s="131" t="s">
        <v>257</v>
      </c>
      <c r="AC11" s="152"/>
    </row>
    <row r="12" spans="1:29" customFormat="1" ht="58.5">
      <c r="A12" s="142">
        <v>36</v>
      </c>
      <c r="B12" s="135" t="s">
        <v>381</v>
      </c>
      <c r="C12" s="135">
        <v>15044426</v>
      </c>
      <c r="D12" s="135">
        <v>8</v>
      </c>
      <c r="E12" s="135"/>
      <c r="F12" s="145">
        <v>43</v>
      </c>
      <c r="G12" s="145"/>
      <c r="H12" s="136" t="s">
        <v>71</v>
      </c>
      <c r="I12" s="135" t="s">
        <v>382</v>
      </c>
      <c r="J12" s="136">
        <v>2024</v>
      </c>
      <c r="K12" s="136">
        <v>2024</v>
      </c>
      <c r="L12" s="136" t="s">
        <v>28</v>
      </c>
      <c r="M12" s="136" t="s">
        <v>271</v>
      </c>
      <c r="N12" s="137">
        <v>45505</v>
      </c>
      <c r="O12" s="136" t="s">
        <v>383</v>
      </c>
      <c r="P12" s="136" t="s">
        <v>116</v>
      </c>
      <c r="Q12" s="136" t="s">
        <v>57</v>
      </c>
      <c r="R12" s="136"/>
      <c r="S12" s="135" t="s">
        <v>384</v>
      </c>
      <c r="T12" s="136" t="s">
        <v>345</v>
      </c>
      <c r="U12" s="136" t="s">
        <v>326</v>
      </c>
      <c r="V12" s="137">
        <v>45840</v>
      </c>
      <c r="W12" s="137">
        <v>46024</v>
      </c>
      <c r="X12" s="132">
        <f ca="1">W12-TODAY()</f>
        <v>-61</v>
      </c>
      <c r="Y12" s="132" t="str">
        <f ca="1">IF(X12&gt;=25,"Vigente",IF(AND(X12&gt;=1,X12&lt;=25),"Por Vencer","Vencido"))</f>
        <v>Vencido</v>
      </c>
      <c r="Z12" s="135" t="s">
        <v>385</v>
      </c>
      <c r="AA12" s="135" t="s">
        <v>50</v>
      </c>
      <c r="AB12" s="136" t="s">
        <v>257</v>
      </c>
      <c r="AC12" s="152"/>
    </row>
    <row r="13" spans="1:29" customFormat="1" ht="29.25" hidden="1">
      <c r="A13" s="142">
        <v>12</v>
      </c>
      <c r="B13" s="130" t="s">
        <v>386</v>
      </c>
      <c r="C13" s="130">
        <v>7346224</v>
      </c>
      <c r="D13" s="130" t="s">
        <v>180</v>
      </c>
      <c r="E13" s="130"/>
      <c r="F13" s="141">
        <v>79</v>
      </c>
      <c r="G13" s="141"/>
      <c r="H13" s="131" t="s">
        <v>387</v>
      </c>
      <c r="I13" s="130" t="s">
        <v>388</v>
      </c>
      <c r="J13" s="131">
        <v>2025</v>
      </c>
      <c r="K13" s="131">
        <v>2025</v>
      </c>
      <c r="L13" s="131" t="s">
        <v>50</v>
      </c>
      <c r="M13" s="131" t="s">
        <v>271</v>
      </c>
      <c r="N13" s="131" t="s">
        <v>272</v>
      </c>
      <c r="O13" s="131" t="s">
        <v>272</v>
      </c>
      <c r="P13" s="131" t="s">
        <v>69</v>
      </c>
      <c r="Q13" s="131" t="s">
        <v>57</v>
      </c>
      <c r="R13" s="131"/>
      <c r="S13" s="130" t="s">
        <v>389</v>
      </c>
      <c r="T13" s="131" t="s">
        <v>390</v>
      </c>
      <c r="U13" s="131" t="s">
        <v>245</v>
      </c>
      <c r="V13" s="133">
        <v>46000</v>
      </c>
      <c r="W13" s="133">
        <v>46182</v>
      </c>
      <c r="X13" s="132">
        <f ca="1">W13-TODAY()</f>
        <v>97</v>
      </c>
      <c r="Y13" s="132" t="str">
        <f ca="1">IF(X13&gt;=25,"Vigente",IF(AND(X13&gt;=1,X13&lt;=25),"Por Vencer","Vencido"))</f>
        <v>Vigente</v>
      </c>
      <c r="Z13" s="130" t="s">
        <v>391</v>
      </c>
      <c r="AA13" s="130"/>
      <c r="AB13" s="131" t="s">
        <v>257</v>
      </c>
      <c r="AC13" s="152"/>
    </row>
    <row r="14" spans="1:29" customFormat="1" ht="58.5">
      <c r="A14" s="142">
        <v>37</v>
      </c>
      <c r="B14" s="130" t="s">
        <v>300</v>
      </c>
      <c r="C14" s="130">
        <v>41081575</v>
      </c>
      <c r="D14" s="130">
        <v>3</v>
      </c>
      <c r="E14" s="138">
        <v>14366</v>
      </c>
      <c r="F14" s="141">
        <v>54</v>
      </c>
      <c r="G14" s="141"/>
      <c r="H14" s="131" t="s">
        <v>71</v>
      </c>
      <c r="I14" s="130" t="s">
        <v>392</v>
      </c>
      <c r="J14" s="131">
        <v>2025</v>
      </c>
      <c r="K14" s="131">
        <v>2025</v>
      </c>
      <c r="L14" s="131" t="s">
        <v>50</v>
      </c>
      <c r="M14" s="131" t="s">
        <v>323</v>
      </c>
      <c r="N14" s="133">
        <v>46049</v>
      </c>
      <c r="O14" s="131"/>
      <c r="P14" s="131"/>
      <c r="Q14" s="131" t="s">
        <v>92</v>
      </c>
      <c r="R14" s="131" t="s">
        <v>393</v>
      </c>
      <c r="S14" s="130" t="s">
        <v>394</v>
      </c>
      <c r="T14" s="131" t="s">
        <v>118</v>
      </c>
      <c r="U14" s="131" t="s">
        <v>326</v>
      </c>
      <c r="V14" s="133">
        <v>45988</v>
      </c>
      <c r="W14" s="133">
        <v>46049</v>
      </c>
      <c r="X14" s="132">
        <f ca="1">W14-TODAY()</f>
        <v>-36</v>
      </c>
      <c r="Y14" s="132" t="str">
        <f ca="1">IF(X14&gt;=25,"Vigente",IF(AND(X14&gt;=1,X14&lt;=25),"Por Vencer","Vencido"))</f>
        <v>Vencido</v>
      </c>
      <c r="Z14" s="130" t="s">
        <v>395</v>
      </c>
      <c r="AA14" s="130" t="s">
        <v>50</v>
      </c>
      <c r="AB14" s="131" t="s">
        <v>257</v>
      </c>
      <c r="AC14" s="152"/>
    </row>
    <row r="15" spans="1:29" customFormat="1" ht="29.25" hidden="1">
      <c r="A15" s="142">
        <v>14</v>
      </c>
      <c r="B15" s="135" t="s">
        <v>396</v>
      </c>
      <c r="C15" s="135">
        <v>5994273</v>
      </c>
      <c r="D15" s="135">
        <v>5</v>
      </c>
      <c r="E15" s="135"/>
      <c r="F15" s="145">
        <v>78</v>
      </c>
      <c r="G15" s="145"/>
      <c r="H15" s="136" t="s">
        <v>71</v>
      </c>
      <c r="I15" s="135" t="s">
        <v>397</v>
      </c>
      <c r="J15" s="136">
        <v>2024</v>
      </c>
      <c r="K15" s="136">
        <v>2024</v>
      </c>
      <c r="L15" s="136" t="s">
        <v>50</v>
      </c>
      <c r="M15" s="136" t="s">
        <v>271</v>
      </c>
      <c r="N15" s="136" t="s">
        <v>272</v>
      </c>
      <c r="O15" s="136" t="s">
        <v>272</v>
      </c>
      <c r="P15" s="136" t="s">
        <v>69</v>
      </c>
      <c r="Q15" s="136" t="s">
        <v>57</v>
      </c>
      <c r="R15" s="136"/>
      <c r="S15" s="135" t="s">
        <v>398</v>
      </c>
      <c r="T15" s="136" t="s">
        <v>332</v>
      </c>
      <c r="U15" s="136" t="s">
        <v>245</v>
      </c>
      <c r="V15" s="137">
        <v>45902</v>
      </c>
      <c r="W15" s="137">
        <v>46267</v>
      </c>
      <c r="X15" s="132">
        <f ca="1">W15-TODAY()</f>
        <v>182</v>
      </c>
      <c r="Y15" s="132" t="str">
        <f ca="1">IF(X15&gt;=25,"Vigente",IF(AND(X15&gt;=1,X15&lt;=25),"Por Vencer","Vencido"))</f>
        <v>Vigente</v>
      </c>
      <c r="Z15" s="135" t="s">
        <v>399</v>
      </c>
      <c r="AA15" s="135"/>
      <c r="AB15" s="136" t="s">
        <v>257</v>
      </c>
      <c r="AC15" s="152"/>
    </row>
    <row r="16" spans="1:29" customFormat="1" ht="74.25" customHeight="1">
      <c r="A16" s="142">
        <v>38</v>
      </c>
      <c r="B16" s="130" t="s">
        <v>400</v>
      </c>
      <c r="C16" s="130">
        <v>6412605</v>
      </c>
      <c r="D16" s="130">
        <v>9</v>
      </c>
      <c r="E16" s="138">
        <v>26198</v>
      </c>
      <c r="F16" s="141">
        <v>85</v>
      </c>
      <c r="G16" s="141"/>
      <c r="H16" s="131" t="s">
        <v>401</v>
      </c>
      <c r="I16" s="130" t="s">
        <v>402</v>
      </c>
      <c r="J16" s="131">
        <v>2024</v>
      </c>
      <c r="K16" s="131">
        <v>2024</v>
      </c>
      <c r="L16" s="131" t="s">
        <v>28</v>
      </c>
      <c r="M16" s="131" t="s">
        <v>271</v>
      </c>
      <c r="N16" s="133">
        <v>45837</v>
      </c>
      <c r="O16" s="131" t="s">
        <v>403</v>
      </c>
      <c r="P16" s="131" t="s">
        <v>404</v>
      </c>
      <c r="Q16" s="131" t="s">
        <v>57</v>
      </c>
      <c r="R16" s="131"/>
      <c r="S16" s="130" t="s">
        <v>405</v>
      </c>
      <c r="T16" s="131" t="s">
        <v>406</v>
      </c>
      <c r="U16" s="131" t="s">
        <v>326</v>
      </c>
      <c r="V16" s="133">
        <v>45901</v>
      </c>
      <c r="W16" s="133">
        <v>46054</v>
      </c>
      <c r="X16" s="132">
        <f ca="1">W16-TODAY()</f>
        <v>-31</v>
      </c>
      <c r="Y16" s="132" t="str">
        <f ca="1">IF(X16&gt;=25,"Vigente",IF(AND(X16&gt;=1,X16&lt;=25),"Por Vencer","Vencido"))</f>
        <v>Vencido</v>
      </c>
      <c r="Z16" s="130" t="s">
        <v>407</v>
      </c>
      <c r="AA16" s="130" t="s">
        <v>50</v>
      </c>
      <c r="AB16" s="131" t="s">
        <v>257</v>
      </c>
      <c r="AC16" s="152"/>
    </row>
    <row r="17" spans="1:29" customFormat="1" ht="44.25">
      <c r="A17" s="142">
        <v>16</v>
      </c>
      <c r="B17" s="130" t="s">
        <v>408</v>
      </c>
      <c r="C17" s="130">
        <v>17364503</v>
      </c>
      <c r="D17" s="130">
        <v>1</v>
      </c>
      <c r="E17" s="130"/>
      <c r="F17" s="141">
        <v>35</v>
      </c>
      <c r="G17" s="141"/>
      <c r="H17" s="131" t="s">
        <v>71</v>
      </c>
      <c r="I17" s="130" t="s">
        <v>409</v>
      </c>
      <c r="J17" s="131">
        <v>2025</v>
      </c>
      <c r="K17" s="131">
        <v>2025</v>
      </c>
      <c r="L17" s="131" t="s">
        <v>50</v>
      </c>
      <c r="M17" s="131" t="s">
        <v>271</v>
      </c>
      <c r="N17" s="133">
        <v>45797</v>
      </c>
      <c r="O17" s="130" t="s">
        <v>271</v>
      </c>
      <c r="P17" s="131" t="s">
        <v>69</v>
      </c>
      <c r="Q17" s="131" t="s">
        <v>92</v>
      </c>
      <c r="R17" s="130" t="s">
        <v>410</v>
      </c>
      <c r="S17" s="130" t="s">
        <v>411</v>
      </c>
      <c r="T17" s="131" t="s">
        <v>412</v>
      </c>
      <c r="U17" s="131" t="s">
        <v>326</v>
      </c>
      <c r="V17" s="133">
        <v>46044</v>
      </c>
      <c r="W17" s="133">
        <v>46075</v>
      </c>
      <c r="X17" s="132">
        <f ca="1">W17-TODAY()</f>
        <v>-10</v>
      </c>
      <c r="Y17" s="132" t="str">
        <f ca="1">IF(X17&gt;=25,"Vigente",IF(AND(X17&gt;=1,X17&lt;=25),"Por Vencer","Vencido"))</f>
        <v>Vencido</v>
      </c>
      <c r="Z17" s="130" t="s">
        <v>413</v>
      </c>
      <c r="AA17" s="130" t="s">
        <v>28</v>
      </c>
      <c r="AB17" s="131" t="s">
        <v>257</v>
      </c>
      <c r="AC17" s="152" t="s">
        <v>414</v>
      </c>
    </row>
    <row r="18" spans="1:29" customFormat="1" ht="58.5">
      <c r="A18" s="142">
        <v>42</v>
      </c>
      <c r="B18" s="130" t="s">
        <v>415</v>
      </c>
      <c r="C18" s="130">
        <v>11940914</v>
      </c>
      <c r="D18" s="130">
        <v>4</v>
      </c>
      <c r="E18" s="130"/>
      <c r="F18" s="141">
        <v>54</v>
      </c>
      <c r="G18" s="141"/>
      <c r="H18" s="131" t="s">
        <v>64</v>
      </c>
      <c r="I18" s="130" t="s">
        <v>416</v>
      </c>
      <c r="J18" s="131">
        <v>2024</v>
      </c>
      <c r="K18" s="131">
        <v>2024</v>
      </c>
      <c r="L18" s="131" t="s">
        <v>28</v>
      </c>
      <c r="M18" s="131" t="s">
        <v>349</v>
      </c>
      <c r="N18" s="133">
        <v>45692</v>
      </c>
      <c r="O18" s="131" t="s">
        <v>417</v>
      </c>
      <c r="P18" s="131" t="s">
        <v>116</v>
      </c>
      <c r="Q18" s="131" t="s">
        <v>57</v>
      </c>
      <c r="R18" s="131"/>
      <c r="S18" s="130" t="s">
        <v>418</v>
      </c>
      <c r="T18" s="131" t="s">
        <v>244</v>
      </c>
      <c r="U18" s="131" t="s">
        <v>419</v>
      </c>
      <c r="V18" s="133">
        <v>45734</v>
      </c>
      <c r="W18" s="133">
        <v>45826</v>
      </c>
      <c r="X18" s="132">
        <f ca="1">W18-TODAY()</f>
        <v>-259</v>
      </c>
      <c r="Y18" s="132" t="str">
        <f ca="1">IF(X18&gt;=25,"Vigente",IF(AND(X18&gt;=1,X18&lt;=25),"Por Vencer","Vencido"))</f>
        <v>Vencido</v>
      </c>
      <c r="Z18" s="130" t="s">
        <v>420</v>
      </c>
      <c r="AA18" s="130" t="s">
        <v>50</v>
      </c>
      <c r="AB18" s="131" t="s">
        <v>257</v>
      </c>
      <c r="AC18" s="152"/>
    </row>
    <row r="19" spans="1:29" customFormat="1" ht="44.25" hidden="1">
      <c r="A19" s="142">
        <v>18</v>
      </c>
      <c r="B19" s="130" t="s">
        <v>421</v>
      </c>
      <c r="C19" s="130">
        <v>5886629</v>
      </c>
      <c r="D19" s="130">
        <v>6</v>
      </c>
      <c r="E19" s="130"/>
      <c r="F19" s="141">
        <v>77</v>
      </c>
      <c r="G19" s="141"/>
      <c r="H19" s="131" t="s">
        <v>422</v>
      </c>
      <c r="I19" s="130" t="s">
        <v>423</v>
      </c>
      <c r="J19" s="131">
        <v>2023</v>
      </c>
      <c r="K19" s="131">
        <v>2024</v>
      </c>
      <c r="L19" s="131" t="s">
        <v>50</v>
      </c>
      <c r="M19" s="131" t="s">
        <v>271</v>
      </c>
      <c r="N19" s="131" t="s">
        <v>272</v>
      </c>
      <c r="O19" s="131" t="s">
        <v>272</v>
      </c>
      <c r="P19" s="131" t="s">
        <v>69</v>
      </c>
      <c r="Q19" s="131" t="s">
        <v>92</v>
      </c>
      <c r="R19" s="131" t="s">
        <v>424</v>
      </c>
      <c r="S19" s="130" t="s">
        <v>425</v>
      </c>
      <c r="T19" s="131" t="s">
        <v>426</v>
      </c>
      <c r="U19" s="131" t="s">
        <v>275</v>
      </c>
      <c r="V19" s="133">
        <v>45940</v>
      </c>
      <c r="W19" s="133">
        <v>46122</v>
      </c>
      <c r="X19" s="132">
        <f ca="1">W19-TODAY()</f>
        <v>37</v>
      </c>
      <c r="Y19" s="132" t="str">
        <f ca="1">IF(X19&gt;=25,"Vigente",IF(AND(X19&gt;=1,X19&lt;=25),"Por Vencer","Vencido"))</f>
        <v>Vigente</v>
      </c>
      <c r="Z19" s="130" t="s">
        <v>427</v>
      </c>
      <c r="AA19" s="130"/>
      <c r="AB19" s="131" t="s">
        <v>257</v>
      </c>
      <c r="AC19" s="152"/>
    </row>
    <row r="20" spans="1:29" customFormat="1" ht="72.75">
      <c r="A20" s="142">
        <v>47</v>
      </c>
      <c r="B20" s="130" t="s">
        <v>428</v>
      </c>
      <c r="C20" s="130">
        <v>9410168</v>
      </c>
      <c r="D20" s="130">
        <v>9</v>
      </c>
      <c r="E20" s="130"/>
      <c r="F20" s="141">
        <v>67</v>
      </c>
      <c r="G20" s="141"/>
      <c r="H20" s="131" t="s">
        <v>191</v>
      </c>
      <c r="I20" s="130" t="s">
        <v>429</v>
      </c>
      <c r="J20" s="131">
        <v>2024</v>
      </c>
      <c r="K20" s="131">
        <v>2025</v>
      </c>
      <c r="L20" s="131" t="s">
        <v>28</v>
      </c>
      <c r="M20" s="131" t="s">
        <v>349</v>
      </c>
      <c r="N20" s="133">
        <v>45748</v>
      </c>
      <c r="O20" s="131" t="s">
        <v>430</v>
      </c>
      <c r="P20" s="131" t="s">
        <v>291</v>
      </c>
      <c r="Q20" s="131" t="s">
        <v>92</v>
      </c>
      <c r="R20" s="131" t="s">
        <v>431</v>
      </c>
      <c r="S20" s="130" t="s">
        <v>432</v>
      </c>
      <c r="T20" s="131" t="s">
        <v>118</v>
      </c>
      <c r="U20" s="131" t="s">
        <v>419</v>
      </c>
      <c r="V20" s="133">
        <v>45964</v>
      </c>
      <c r="W20" s="133">
        <v>46056</v>
      </c>
      <c r="X20" s="132">
        <f ca="1">W20-TODAY()</f>
        <v>-29</v>
      </c>
      <c r="Y20" s="132" t="str">
        <f ca="1">IF(X20&gt;=25,"Vigente",IF(AND(X20&gt;=1,X20&lt;=25),"Por Vencer","Vencido"))</f>
        <v>Vencido</v>
      </c>
      <c r="Z20" s="130" t="s">
        <v>433</v>
      </c>
      <c r="AA20" s="130" t="s">
        <v>50</v>
      </c>
      <c r="AB20" s="131" t="s">
        <v>257</v>
      </c>
      <c r="AC20" s="152"/>
    </row>
    <row r="21" spans="1:29" customFormat="1" ht="29.25" hidden="1">
      <c r="A21" s="142">
        <v>20</v>
      </c>
      <c r="B21" s="130" t="s">
        <v>434</v>
      </c>
      <c r="C21" s="130">
        <v>5694350</v>
      </c>
      <c r="D21" s="130">
        <v>1</v>
      </c>
      <c r="E21" s="130"/>
      <c r="F21" s="141">
        <v>79</v>
      </c>
      <c r="G21" s="141"/>
      <c r="H21" s="131" t="s">
        <v>71</v>
      </c>
      <c r="I21" s="130" t="s">
        <v>435</v>
      </c>
      <c r="J21" s="131">
        <v>2018</v>
      </c>
      <c r="K21" s="131">
        <v>2019</v>
      </c>
      <c r="L21" s="131" t="s">
        <v>50</v>
      </c>
      <c r="M21" s="131" t="s">
        <v>271</v>
      </c>
      <c r="N21" s="131" t="s">
        <v>272</v>
      </c>
      <c r="O21" s="131" t="s">
        <v>272</v>
      </c>
      <c r="P21" s="131" t="s">
        <v>69</v>
      </c>
      <c r="Q21" s="131" t="s">
        <v>92</v>
      </c>
      <c r="R21" s="131" t="s">
        <v>436</v>
      </c>
      <c r="S21" s="130" t="s">
        <v>437</v>
      </c>
      <c r="T21" s="131" t="s">
        <v>438</v>
      </c>
      <c r="U21" s="131" t="s">
        <v>439</v>
      </c>
      <c r="V21" s="133">
        <v>45729</v>
      </c>
      <c r="W21" s="133">
        <v>46094</v>
      </c>
      <c r="X21" s="132">
        <f ca="1">W21-TODAY()</f>
        <v>9</v>
      </c>
      <c r="Y21" s="132" t="str">
        <f ca="1">IF(X21&gt;=25,"Vigente",IF(AND(X21&gt;=1,X21&lt;=25),"Por Vencer","Vencido"))</f>
        <v>Por Vencer</v>
      </c>
      <c r="Z21" s="130"/>
      <c r="AA21" s="130"/>
      <c r="AB21" s="131" t="s">
        <v>257</v>
      </c>
      <c r="AC21" s="152"/>
    </row>
    <row r="22" spans="1:29" customFormat="1" ht="15" hidden="1">
      <c r="A22" s="142">
        <v>21</v>
      </c>
      <c r="B22" s="130" t="s">
        <v>440</v>
      </c>
      <c r="C22" s="130">
        <v>11512752</v>
      </c>
      <c r="D22" s="130">
        <v>7</v>
      </c>
      <c r="E22" s="130"/>
      <c r="F22" s="141"/>
      <c r="G22" s="141"/>
      <c r="H22" s="131" t="s">
        <v>71</v>
      </c>
      <c r="I22" s="130" t="s">
        <v>441</v>
      </c>
      <c r="J22" s="131">
        <v>2023</v>
      </c>
      <c r="K22" s="131">
        <v>2023</v>
      </c>
      <c r="L22" s="131" t="s">
        <v>28</v>
      </c>
      <c r="M22" s="131" t="s">
        <v>271</v>
      </c>
      <c r="N22" s="133">
        <v>45266</v>
      </c>
      <c r="O22" s="131" t="s">
        <v>271</v>
      </c>
      <c r="P22" s="131" t="s">
        <v>69</v>
      </c>
      <c r="Q22" s="131" t="s">
        <v>57</v>
      </c>
      <c r="R22" s="130"/>
      <c r="S22" s="130" t="s">
        <v>442</v>
      </c>
      <c r="T22" s="131" t="s">
        <v>244</v>
      </c>
      <c r="U22" s="131" t="s">
        <v>275</v>
      </c>
      <c r="V22" s="133">
        <v>46056</v>
      </c>
      <c r="W22" s="133">
        <v>46237</v>
      </c>
      <c r="X22" s="132">
        <f ca="1">W22-TODAY()</f>
        <v>152</v>
      </c>
      <c r="Y22" s="132" t="str">
        <f ca="1">IF(X22&gt;=25,"Vigente",IF(AND(X22&gt;=1,X22&lt;=25),"Por Vencer","Vencido"))</f>
        <v>Vigente</v>
      </c>
      <c r="Z22" s="130" t="s">
        <v>443</v>
      </c>
      <c r="AA22" s="130"/>
      <c r="AB22" s="131"/>
      <c r="AC22" s="152"/>
    </row>
    <row r="23" spans="1:29" customFormat="1" ht="68.25" customHeight="1">
      <c r="A23" s="142">
        <v>53</v>
      </c>
      <c r="B23" s="130" t="s">
        <v>444</v>
      </c>
      <c r="C23" s="130">
        <v>7372435</v>
      </c>
      <c r="D23" s="130" t="s">
        <v>216</v>
      </c>
      <c r="E23" s="130"/>
      <c r="F23" s="141">
        <v>76</v>
      </c>
      <c r="G23" s="141"/>
      <c r="H23" s="131" t="s">
        <v>71</v>
      </c>
      <c r="I23" s="130" t="s">
        <v>445</v>
      </c>
      <c r="J23" s="131">
        <v>2024</v>
      </c>
      <c r="K23" s="131">
        <v>2024</v>
      </c>
      <c r="L23" s="131" t="s">
        <v>50</v>
      </c>
      <c r="M23" s="131" t="s">
        <v>271</v>
      </c>
      <c r="N23" s="133">
        <v>45490</v>
      </c>
      <c r="O23" s="131" t="s">
        <v>446</v>
      </c>
      <c r="P23" s="131"/>
      <c r="Q23" s="131" t="s">
        <v>92</v>
      </c>
      <c r="R23" s="131" t="s">
        <v>447</v>
      </c>
      <c r="S23" s="130" t="s">
        <v>448</v>
      </c>
      <c r="T23" s="131" t="s">
        <v>345</v>
      </c>
      <c r="U23" s="131" t="s">
        <v>449</v>
      </c>
      <c r="V23" s="133">
        <v>45783</v>
      </c>
      <c r="W23" s="133">
        <v>45967</v>
      </c>
      <c r="X23" s="132">
        <f ca="1">W23-TODAY()</f>
        <v>-118</v>
      </c>
      <c r="Y23" s="132" t="str">
        <f ca="1">IF(X23&gt;=25,"Vigente",IF(AND(X23&gt;=1,X23&lt;=25),"Por Vencer","Vencido"))</f>
        <v>Vencido</v>
      </c>
      <c r="Z23" s="130" t="s">
        <v>450</v>
      </c>
      <c r="AA23" s="130" t="s">
        <v>50</v>
      </c>
      <c r="AB23" s="131" t="s">
        <v>257</v>
      </c>
      <c r="AC23" s="152"/>
    </row>
    <row r="24" spans="1:29" customFormat="1" ht="42.75" customHeight="1">
      <c r="A24" s="142">
        <v>60</v>
      </c>
      <c r="B24" s="130" t="s">
        <v>451</v>
      </c>
      <c r="C24" s="130">
        <v>18011420</v>
      </c>
      <c r="D24" s="130">
        <v>3</v>
      </c>
      <c r="E24" s="130"/>
      <c r="F24" s="141">
        <v>33</v>
      </c>
      <c r="G24" s="141"/>
      <c r="H24" s="131" t="s">
        <v>71</v>
      </c>
      <c r="I24" s="130" t="s">
        <v>452</v>
      </c>
      <c r="J24" s="131">
        <v>2025</v>
      </c>
      <c r="K24" s="131">
        <v>2025</v>
      </c>
      <c r="L24" s="131" t="s">
        <v>50</v>
      </c>
      <c r="M24" s="131" t="s">
        <v>271</v>
      </c>
      <c r="N24" s="133">
        <v>45601</v>
      </c>
      <c r="O24" s="131" t="s">
        <v>453</v>
      </c>
      <c r="P24" s="131" t="s">
        <v>69</v>
      </c>
      <c r="Q24" s="131" t="s">
        <v>57</v>
      </c>
      <c r="R24" s="131"/>
      <c r="S24" s="130" t="s">
        <v>454</v>
      </c>
      <c r="T24" s="131" t="s">
        <v>345</v>
      </c>
      <c r="U24" s="131" t="s">
        <v>326</v>
      </c>
      <c r="V24" s="133">
        <v>45840</v>
      </c>
      <c r="W24" s="133">
        <v>46024</v>
      </c>
      <c r="X24" s="132">
        <f ca="1">W24-TODAY()</f>
        <v>-61</v>
      </c>
      <c r="Y24" s="132" t="str">
        <f ca="1">IF(X24&gt;=25,"Vigente",IF(AND(X24&gt;=1,X24&lt;=25),"Por Vencer","Vencido"))</f>
        <v>Vencido</v>
      </c>
      <c r="Z24" s="130" t="s">
        <v>455</v>
      </c>
      <c r="AA24" s="130" t="s">
        <v>50</v>
      </c>
      <c r="AB24" s="131" t="s">
        <v>257</v>
      </c>
      <c r="AC24" s="152"/>
    </row>
    <row r="25" spans="1:29" customFormat="1" ht="58.5">
      <c r="A25" s="142">
        <v>65</v>
      </c>
      <c r="B25" s="130" t="s">
        <v>456</v>
      </c>
      <c r="C25" s="130">
        <v>15024790</v>
      </c>
      <c r="D25" s="130" t="s">
        <v>216</v>
      </c>
      <c r="E25" s="130"/>
      <c r="F25" s="141">
        <v>42</v>
      </c>
      <c r="G25" s="141"/>
      <c r="H25" s="131" t="s">
        <v>71</v>
      </c>
      <c r="I25" s="130" t="s">
        <v>457</v>
      </c>
      <c r="J25" s="131">
        <v>2022</v>
      </c>
      <c r="K25" s="131">
        <v>2022</v>
      </c>
      <c r="L25" s="131" t="s">
        <v>28</v>
      </c>
      <c r="M25" s="131" t="s">
        <v>271</v>
      </c>
      <c r="N25" s="131">
        <v>2022</v>
      </c>
      <c r="O25" s="131">
        <v>2022</v>
      </c>
      <c r="P25" s="131" t="s">
        <v>291</v>
      </c>
      <c r="Q25" s="131" t="s">
        <v>57</v>
      </c>
      <c r="R25" s="131"/>
      <c r="S25" s="130" t="s">
        <v>458</v>
      </c>
      <c r="T25" s="131" t="s">
        <v>244</v>
      </c>
      <c r="U25" s="131" t="s">
        <v>326</v>
      </c>
      <c r="V25" s="133">
        <v>45714</v>
      </c>
      <c r="W25" s="133">
        <v>45803</v>
      </c>
      <c r="X25" s="132">
        <f ca="1">W25-TODAY()</f>
        <v>-282</v>
      </c>
      <c r="Y25" s="132" t="str">
        <f ca="1">IF(X25&gt;=25,"Vigente",IF(AND(X25&gt;=1,X25&lt;=25),"Por Vencer","Vencido"))</f>
        <v>Vencido</v>
      </c>
      <c r="Z25" s="130" t="s">
        <v>459</v>
      </c>
      <c r="AA25" s="130" t="s">
        <v>50</v>
      </c>
      <c r="AB25" s="131" t="s">
        <v>257</v>
      </c>
      <c r="AC25" s="152"/>
    </row>
    <row r="26" spans="1:29" customFormat="1" ht="87" customHeight="1">
      <c r="A26" s="142">
        <v>66</v>
      </c>
      <c r="B26" s="130" t="s">
        <v>460</v>
      </c>
      <c r="C26" s="130">
        <v>12089845</v>
      </c>
      <c r="D26" s="130">
        <v>0</v>
      </c>
      <c r="E26" s="130"/>
      <c r="F26" s="141">
        <v>61</v>
      </c>
      <c r="G26" s="141"/>
      <c r="H26" s="131" t="s">
        <v>64</v>
      </c>
      <c r="I26" s="130" t="s">
        <v>461</v>
      </c>
      <c r="J26" s="131">
        <v>2023</v>
      </c>
      <c r="K26" s="131">
        <v>2023</v>
      </c>
      <c r="L26" s="131" t="s">
        <v>28</v>
      </c>
      <c r="M26" s="131" t="s">
        <v>271</v>
      </c>
      <c r="N26" s="131">
        <v>2023</v>
      </c>
      <c r="O26" s="131">
        <v>2023</v>
      </c>
      <c r="P26" s="131" t="s">
        <v>116</v>
      </c>
      <c r="Q26" s="131" t="s">
        <v>92</v>
      </c>
      <c r="R26" s="131" t="s">
        <v>459</v>
      </c>
      <c r="S26" s="130" t="s">
        <v>462</v>
      </c>
      <c r="T26" s="131" t="s">
        <v>244</v>
      </c>
      <c r="U26" s="131" t="s">
        <v>326</v>
      </c>
      <c r="V26" s="131">
        <v>2023</v>
      </c>
      <c r="W26" s="131">
        <v>2026</v>
      </c>
      <c r="X26" s="132">
        <f ca="1">W26-TODAY()</f>
        <v>-44059</v>
      </c>
      <c r="Y26" s="132" t="str">
        <f ca="1">IF(X26&gt;=25,"Vigente",IF(AND(X26&gt;=1,X26&lt;=25),"Por Vencer","Vencido"))</f>
        <v>Vencido</v>
      </c>
      <c r="Z26" s="130" t="s">
        <v>459</v>
      </c>
      <c r="AA26" s="130" t="s">
        <v>50</v>
      </c>
      <c r="AB26" s="131" t="s">
        <v>257</v>
      </c>
      <c r="AC26" s="152"/>
    </row>
    <row r="27" spans="1:29" customFormat="1" ht="87.75">
      <c r="A27" s="142">
        <v>26</v>
      </c>
      <c r="B27" s="130" t="s">
        <v>463</v>
      </c>
      <c r="C27" s="130">
        <v>10510225</v>
      </c>
      <c r="D27" s="130">
        <v>9</v>
      </c>
      <c r="E27" s="130"/>
      <c r="F27" s="141">
        <v>89</v>
      </c>
      <c r="G27" s="141"/>
      <c r="H27" s="131" t="s">
        <v>191</v>
      </c>
      <c r="I27" s="130" t="s">
        <v>464</v>
      </c>
      <c r="J27" s="131">
        <v>2025</v>
      </c>
      <c r="K27" s="131">
        <v>2025</v>
      </c>
      <c r="L27" s="131" t="s">
        <v>50</v>
      </c>
      <c r="M27" s="131" t="s">
        <v>323</v>
      </c>
      <c r="N27" s="131" t="s">
        <v>272</v>
      </c>
      <c r="O27" s="131" t="s">
        <v>272</v>
      </c>
      <c r="P27" s="131" t="s">
        <v>69</v>
      </c>
      <c r="Q27" s="131" t="s">
        <v>92</v>
      </c>
      <c r="R27" s="131" t="s">
        <v>465</v>
      </c>
      <c r="S27" s="130" t="s">
        <v>466</v>
      </c>
      <c r="T27" s="131" t="s">
        <v>118</v>
      </c>
      <c r="U27" s="131" t="s">
        <v>449</v>
      </c>
      <c r="V27" s="133">
        <v>46042</v>
      </c>
      <c r="W27" s="133">
        <v>46073</v>
      </c>
      <c r="X27" s="132">
        <f ca="1">W27-TODAY()</f>
        <v>-12</v>
      </c>
      <c r="Y27" s="132" t="str">
        <f ca="1">IF(X27&gt;=25,"Vigente",IF(AND(X27&gt;=1,X27&lt;=25),"Por Vencer","Vencido"))</f>
        <v>Vencido</v>
      </c>
      <c r="Z27" s="130" t="s">
        <v>467</v>
      </c>
      <c r="AA27" s="130"/>
      <c r="AB27" s="131" t="s">
        <v>257</v>
      </c>
      <c r="AC27" s="152"/>
    </row>
    <row r="28" spans="1:29" customFormat="1" ht="72.75">
      <c r="A28" s="142">
        <v>71</v>
      </c>
      <c r="B28" s="130" t="s">
        <v>304</v>
      </c>
      <c r="C28" s="130" t="s">
        <v>468</v>
      </c>
      <c r="D28" s="139">
        <v>9</v>
      </c>
      <c r="E28" s="139"/>
      <c r="F28" s="141">
        <v>66</v>
      </c>
      <c r="G28" s="141"/>
      <c r="H28" s="131" t="s">
        <v>191</v>
      </c>
      <c r="I28" s="130" t="s">
        <v>469</v>
      </c>
      <c r="J28" s="131">
        <v>2025</v>
      </c>
      <c r="K28" s="131">
        <v>2025</v>
      </c>
      <c r="L28" s="131" t="s">
        <v>28</v>
      </c>
      <c r="M28" s="131" t="s">
        <v>323</v>
      </c>
      <c r="N28" s="133">
        <v>45909</v>
      </c>
      <c r="O28" s="131" t="s">
        <v>470</v>
      </c>
      <c r="P28" s="131" t="s">
        <v>69</v>
      </c>
      <c r="Q28" s="131" t="s">
        <v>57</v>
      </c>
      <c r="R28" s="131"/>
      <c r="S28" s="130" t="s">
        <v>471</v>
      </c>
      <c r="T28" s="131"/>
      <c r="U28" s="131" t="s">
        <v>326</v>
      </c>
      <c r="V28" s="133">
        <v>46041</v>
      </c>
      <c r="W28" s="133">
        <v>46055</v>
      </c>
      <c r="X28" s="132">
        <f ca="1">W28-TODAY()</f>
        <v>-30</v>
      </c>
      <c r="Y28" s="132" t="str">
        <f ca="1">IF(X28&gt;=25,"Vigente",IF(AND(X28&gt;=1,X28&lt;=25),"Por Vencer","Vencido"))</f>
        <v>Vencido</v>
      </c>
      <c r="Z28" s="130" t="s">
        <v>472</v>
      </c>
      <c r="AA28" s="130" t="s">
        <v>50</v>
      </c>
      <c r="AB28" s="131" t="s">
        <v>257</v>
      </c>
      <c r="AC28" s="152"/>
    </row>
    <row r="29" spans="1:29" customFormat="1" ht="117" hidden="1">
      <c r="A29" s="142">
        <v>28</v>
      </c>
      <c r="B29" s="130" t="s">
        <v>473</v>
      </c>
      <c r="C29" s="130">
        <v>5732378</v>
      </c>
      <c r="D29" s="130">
        <v>7</v>
      </c>
      <c r="E29" s="130"/>
      <c r="F29" s="141">
        <v>78</v>
      </c>
      <c r="G29" s="141"/>
      <c r="H29" s="131" t="s">
        <v>71</v>
      </c>
      <c r="I29" s="130" t="s">
        <v>474</v>
      </c>
      <c r="J29" s="131">
        <v>2025</v>
      </c>
      <c r="K29" s="131">
        <v>2025</v>
      </c>
      <c r="L29" s="131" t="s">
        <v>50</v>
      </c>
      <c r="M29" s="131" t="s">
        <v>271</v>
      </c>
      <c r="N29" s="131" t="s">
        <v>272</v>
      </c>
      <c r="O29" s="131" t="s">
        <v>272</v>
      </c>
      <c r="P29" s="131" t="s">
        <v>69</v>
      </c>
      <c r="Q29" s="131" t="s">
        <v>57</v>
      </c>
      <c r="R29" s="131"/>
      <c r="S29" s="131" t="s">
        <v>475</v>
      </c>
      <c r="T29" s="131" t="s">
        <v>345</v>
      </c>
      <c r="U29" s="131" t="s">
        <v>275</v>
      </c>
      <c r="V29" s="133">
        <v>45993</v>
      </c>
      <c r="W29" s="133">
        <v>46175</v>
      </c>
      <c r="X29" s="132">
        <f ca="1">W29-TODAY()</f>
        <v>90</v>
      </c>
      <c r="Y29" s="132" t="str">
        <f ca="1">IF(X29&gt;=25,"Vigente",IF(AND(X29&gt;=1,X29&lt;=25),"Por Vencer","Vencido"))</f>
        <v>Vigente</v>
      </c>
      <c r="Z29" s="130" t="s">
        <v>476</v>
      </c>
      <c r="AA29" s="130"/>
      <c r="AB29" s="131" t="s">
        <v>257</v>
      </c>
      <c r="AC29" s="152"/>
    </row>
    <row r="30" spans="1:29" customFormat="1" ht="58.5">
      <c r="A30" s="142">
        <v>29</v>
      </c>
      <c r="B30" s="130" t="s">
        <v>477</v>
      </c>
      <c r="C30" s="130">
        <v>9260196</v>
      </c>
      <c r="D30" s="130" t="s">
        <v>216</v>
      </c>
      <c r="E30" s="130"/>
      <c r="F30" s="141">
        <v>64</v>
      </c>
      <c r="G30" s="141"/>
      <c r="H30" s="131" t="s">
        <v>71</v>
      </c>
      <c r="I30" s="130" t="s">
        <v>478</v>
      </c>
      <c r="J30" s="131"/>
      <c r="K30" s="131">
        <v>2022</v>
      </c>
      <c r="L30" s="131" t="s">
        <v>50</v>
      </c>
      <c r="M30" s="131" t="s">
        <v>271</v>
      </c>
      <c r="N30" s="133">
        <v>45273</v>
      </c>
      <c r="O30" s="131" t="s">
        <v>479</v>
      </c>
      <c r="P30" s="131" t="s">
        <v>69</v>
      </c>
      <c r="Q30" s="131" t="s">
        <v>57</v>
      </c>
      <c r="R30" s="131"/>
      <c r="S30" s="131" t="s">
        <v>480</v>
      </c>
      <c r="T30" s="131" t="s">
        <v>332</v>
      </c>
      <c r="U30" s="131" t="s">
        <v>326</v>
      </c>
      <c r="V30" s="133">
        <v>45908</v>
      </c>
      <c r="W30" s="133">
        <v>46273</v>
      </c>
      <c r="X30" s="132">
        <f ca="1">W30-TODAY()</f>
        <v>188</v>
      </c>
      <c r="Y30" s="132" t="str">
        <f ca="1">IF(X30&gt;=25,"Vigente",IF(AND(X30&gt;=1,X30&lt;=25),"Por Vencer","Vencido"))</f>
        <v>Vigente</v>
      </c>
      <c r="Z30" s="130" t="s">
        <v>481</v>
      </c>
      <c r="AA30" s="130"/>
      <c r="AB30" s="131" t="s">
        <v>257</v>
      </c>
      <c r="AC30" s="152"/>
    </row>
    <row r="31" spans="1:29" customFormat="1" ht="44.25" hidden="1">
      <c r="A31" s="142">
        <v>30</v>
      </c>
      <c r="B31" s="130" t="s">
        <v>482</v>
      </c>
      <c r="C31" s="130">
        <v>5642156</v>
      </c>
      <c r="D31" s="130">
        <v>4</v>
      </c>
      <c r="E31" s="130"/>
      <c r="F31" s="141">
        <v>82</v>
      </c>
      <c r="G31" s="141"/>
      <c r="H31" s="131" t="s">
        <v>359</v>
      </c>
      <c r="I31" s="130" t="s">
        <v>483</v>
      </c>
      <c r="J31" s="131">
        <v>2024</v>
      </c>
      <c r="K31" s="131">
        <v>2024</v>
      </c>
      <c r="L31" s="131" t="s">
        <v>28</v>
      </c>
      <c r="M31" s="131" t="s">
        <v>349</v>
      </c>
      <c r="N31" s="133">
        <v>45708</v>
      </c>
      <c r="O31" s="131" t="s">
        <v>484</v>
      </c>
      <c r="P31" s="131" t="s">
        <v>116</v>
      </c>
      <c r="Q31" s="131" t="s">
        <v>57</v>
      </c>
      <c r="R31" s="131"/>
      <c r="S31" s="131" t="s">
        <v>485</v>
      </c>
      <c r="T31" s="131" t="s">
        <v>406</v>
      </c>
      <c r="U31" s="131" t="s">
        <v>275</v>
      </c>
      <c r="V31" s="133">
        <v>46043</v>
      </c>
      <c r="W31" s="133">
        <v>46102</v>
      </c>
      <c r="X31" s="132">
        <f ca="1">W31-TODAY()</f>
        <v>17</v>
      </c>
      <c r="Y31" s="132" t="str">
        <f ca="1">IF(X31&gt;=25,"Vigente",IF(AND(X31&gt;=1,X31&lt;=25),"Por Vencer","Vencido"))</f>
        <v>Por Vencer</v>
      </c>
      <c r="Z31" s="130"/>
      <c r="AA31" s="130"/>
      <c r="AB31" s="131" t="s">
        <v>257</v>
      </c>
      <c r="AC31" s="152"/>
    </row>
    <row r="32" spans="1:29" customFormat="1" ht="15">
      <c r="A32" s="142">
        <v>74</v>
      </c>
      <c r="B32" s="130" t="s">
        <v>486</v>
      </c>
      <c r="C32" s="130">
        <v>4197432</v>
      </c>
      <c r="D32" s="130" t="s">
        <v>180</v>
      </c>
      <c r="E32" s="138">
        <v>14238</v>
      </c>
      <c r="F32" s="141">
        <v>87</v>
      </c>
      <c r="G32" s="141"/>
      <c r="H32" s="131" t="s">
        <v>71</v>
      </c>
      <c r="I32" s="131" t="s">
        <v>487</v>
      </c>
      <c r="J32" s="133">
        <v>45539</v>
      </c>
      <c r="K32" s="133">
        <v>45539</v>
      </c>
      <c r="L32" s="131" t="s">
        <v>175</v>
      </c>
      <c r="M32" s="131" t="s">
        <v>271</v>
      </c>
      <c r="N32" s="131" t="s">
        <v>175</v>
      </c>
      <c r="O32" s="131" t="s">
        <v>175</v>
      </c>
      <c r="P32" s="131" t="s">
        <v>69</v>
      </c>
      <c r="Q32" s="131" t="s">
        <v>57</v>
      </c>
      <c r="R32" s="131"/>
      <c r="S32" s="130" t="s">
        <v>488</v>
      </c>
      <c r="T32" s="131" t="s">
        <v>345</v>
      </c>
      <c r="U32" s="131" t="s">
        <v>326</v>
      </c>
      <c r="V32" s="138">
        <v>45881</v>
      </c>
      <c r="W32" s="138">
        <v>46065</v>
      </c>
      <c r="X32" s="132">
        <f ca="1">W32-TODAY()</f>
        <v>-20</v>
      </c>
      <c r="Y32" s="132" t="str">
        <f ca="1">IF(X32&gt;=25,"Vigente",IF(AND(X32&gt;=1,X32&lt;=25),"Por Vencer","Vencido"))</f>
        <v>Vencido</v>
      </c>
      <c r="Z32" s="131"/>
      <c r="AA32" s="131" t="s">
        <v>50</v>
      </c>
      <c r="AB32" s="131" t="s">
        <v>257</v>
      </c>
      <c r="AC32" s="152"/>
    </row>
    <row r="33" spans="1:29" customFormat="1" ht="15" hidden="1">
      <c r="A33" s="142">
        <v>32</v>
      </c>
      <c r="B33" s="131" t="s">
        <v>489</v>
      </c>
      <c r="C33" s="131">
        <v>6290748</v>
      </c>
      <c r="D33" s="131">
        <v>7</v>
      </c>
      <c r="E33" s="131"/>
      <c r="F33" s="141">
        <v>77</v>
      </c>
      <c r="G33" s="141"/>
      <c r="H33" s="131"/>
      <c r="I33" s="130"/>
      <c r="J33" s="131"/>
      <c r="K33" s="131"/>
      <c r="L33" s="131"/>
      <c r="M33" s="131"/>
      <c r="N33" s="131"/>
      <c r="O33" s="131"/>
      <c r="P33" s="131"/>
      <c r="Q33" s="131"/>
      <c r="R33" s="131"/>
      <c r="S33" s="131"/>
      <c r="T33" s="131"/>
      <c r="U33" s="131"/>
      <c r="V33" s="131"/>
      <c r="W33" s="131"/>
      <c r="X33" s="132">
        <f ca="1">W33-TODAY()</f>
        <v>-46085</v>
      </c>
      <c r="Y33" s="132" t="str">
        <f ca="1">IF(X33&gt;=25,"Vigente",IF(AND(X33&gt;=1,X33&lt;=25),"Por Vencer","Vencido"))</f>
        <v>Vencido</v>
      </c>
      <c r="Z33" s="130"/>
      <c r="AA33" s="130"/>
      <c r="AB33" s="131" t="s">
        <v>257</v>
      </c>
      <c r="AC33" s="152"/>
    </row>
    <row r="34" spans="1:29" ht="58.5">
      <c r="A34" s="142">
        <v>9</v>
      </c>
      <c r="B34" s="131" t="s">
        <v>490</v>
      </c>
      <c r="C34" s="131">
        <v>22739977</v>
      </c>
      <c r="D34" s="131">
        <v>5</v>
      </c>
      <c r="E34" s="131"/>
      <c r="F34" s="141">
        <v>17</v>
      </c>
      <c r="G34" s="141"/>
      <c r="H34" s="131" t="s">
        <v>71</v>
      </c>
      <c r="I34" s="130" t="s">
        <v>491</v>
      </c>
      <c r="J34" s="131">
        <v>2025</v>
      </c>
      <c r="K34" s="131">
        <v>2025</v>
      </c>
      <c r="L34" s="131" t="s">
        <v>50</v>
      </c>
      <c r="M34" s="131" t="s">
        <v>229</v>
      </c>
      <c r="N34" s="131" t="s">
        <v>272</v>
      </c>
      <c r="O34" s="131" t="s">
        <v>272</v>
      </c>
      <c r="P34" s="131" t="s">
        <v>69</v>
      </c>
      <c r="Q34" s="131" t="s">
        <v>92</v>
      </c>
      <c r="R34" s="131" t="s">
        <v>492</v>
      </c>
      <c r="S34" s="130" t="s">
        <v>493</v>
      </c>
      <c r="T34" s="131" t="s">
        <v>118</v>
      </c>
      <c r="U34" s="131" t="s">
        <v>326</v>
      </c>
      <c r="V34" s="133">
        <v>45922</v>
      </c>
      <c r="W34" s="133">
        <v>46013</v>
      </c>
      <c r="X34" s="132">
        <f ca="1">W34-TODAY()</f>
        <v>-72</v>
      </c>
      <c r="Y34" s="132" t="str">
        <f ca="1">IF(X34&gt;=25,"Vigente",IF(AND(X34&gt;=1,X34&lt;=25),"Por Vencer","Vencido"))</f>
        <v>Vencido</v>
      </c>
      <c r="Z34" s="130" t="s">
        <v>494</v>
      </c>
      <c r="AA34" s="130" t="s">
        <v>495</v>
      </c>
      <c r="AB34" s="131" t="s">
        <v>257</v>
      </c>
      <c r="AC34" s="152" t="s">
        <v>496</v>
      </c>
    </row>
    <row r="35" spans="1:29" customFormat="1" ht="44.25">
      <c r="A35" s="142">
        <v>34</v>
      </c>
      <c r="B35" s="130" t="s">
        <v>497</v>
      </c>
      <c r="C35" s="130">
        <v>7797739</v>
      </c>
      <c r="D35" s="130">
        <v>2</v>
      </c>
      <c r="E35" s="130"/>
      <c r="F35" s="141">
        <v>66</v>
      </c>
      <c r="G35" s="141"/>
      <c r="H35" s="131" t="s">
        <v>71</v>
      </c>
      <c r="I35" s="130" t="s">
        <v>498</v>
      </c>
      <c r="J35" s="131">
        <v>2021</v>
      </c>
      <c r="K35" s="131">
        <v>2021</v>
      </c>
      <c r="L35" s="131" t="s">
        <v>28</v>
      </c>
      <c r="M35" s="131" t="s">
        <v>271</v>
      </c>
      <c r="N35" s="133">
        <v>44595</v>
      </c>
      <c r="O35" s="131" t="s">
        <v>479</v>
      </c>
      <c r="P35" s="131" t="s">
        <v>69</v>
      </c>
      <c r="Q35" s="131" t="s">
        <v>92</v>
      </c>
      <c r="R35" s="131" t="s">
        <v>499</v>
      </c>
      <c r="S35" s="131" t="s">
        <v>500</v>
      </c>
      <c r="T35" s="131" t="s">
        <v>118</v>
      </c>
      <c r="U35" s="131" t="s">
        <v>326</v>
      </c>
      <c r="V35" s="133">
        <v>45957</v>
      </c>
      <c r="W35" s="133">
        <v>46080</v>
      </c>
      <c r="X35" s="132">
        <f ca="1">W35-TODAY()</f>
        <v>-5</v>
      </c>
      <c r="Y35" s="132" t="str">
        <f ca="1">IF(X35&gt;=25,"Vigente",IF(AND(X35&gt;=1,X35&lt;=25),"Por Vencer","Vencido"))</f>
        <v>Vencido</v>
      </c>
      <c r="Z35" s="130" t="s">
        <v>501</v>
      </c>
      <c r="AA35" s="130"/>
      <c r="AB35" s="131" t="s">
        <v>257</v>
      </c>
      <c r="AC35" s="152"/>
    </row>
    <row r="36" spans="1:29" ht="58.5">
      <c r="A36" s="142">
        <v>43</v>
      </c>
      <c r="B36" s="130" t="s">
        <v>502</v>
      </c>
      <c r="C36" s="130">
        <v>4849233</v>
      </c>
      <c r="D36" s="130">
        <v>9</v>
      </c>
      <c r="E36" s="130"/>
      <c r="F36" s="141">
        <v>78</v>
      </c>
      <c r="G36" s="141"/>
      <c r="H36" s="131" t="s">
        <v>503</v>
      </c>
      <c r="I36" s="130" t="s">
        <v>504</v>
      </c>
      <c r="J36" s="131">
        <v>2025</v>
      </c>
      <c r="K36" s="131">
        <v>2025</v>
      </c>
      <c r="L36" s="131" t="s">
        <v>50</v>
      </c>
      <c r="M36" s="131" t="s">
        <v>323</v>
      </c>
      <c r="N36" s="131" t="s">
        <v>272</v>
      </c>
      <c r="O36" s="131" t="s">
        <v>272</v>
      </c>
      <c r="P36" s="131" t="s">
        <v>69</v>
      </c>
      <c r="Q36" s="131" t="s">
        <v>92</v>
      </c>
      <c r="R36" s="131" t="s">
        <v>505</v>
      </c>
      <c r="S36" s="130" t="s">
        <v>506</v>
      </c>
      <c r="T36" s="131" t="s">
        <v>118</v>
      </c>
      <c r="U36" s="131" t="s">
        <v>507</v>
      </c>
      <c r="V36" s="133">
        <v>45972</v>
      </c>
      <c r="W36" s="133">
        <v>46033</v>
      </c>
      <c r="X36" s="132">
        <f ca="1">W36-TODAY()</f>
        <v>-52</v>
      </c>
      <c r="Y36" s="132" t="str">
        <f ca="1">IF(X36&gt;=25,"Vigente",IF(AND(X36&gt;=1,X36&lt;=25),"Por Vencer","Vencido"))</f>
        <v>Vencido</v>
      </c>
      <c r="Z36" s="130" t="s">
        <v>508</v>
      </c>
      <c r="AA36" s="130" t="s">
        <v>495</v>
      </c>
      <c r="AB36" s="131" t="s">
        <v>257</v>
      </c>
      <c r="AC36" s="152" t="s">
        <v>496</v>
      </c>
    </row>
    <row r="37" spans="1:29" ht="87.75">
      <c r="A37" s="142">
        <v>70</v>
      </c>
      <c r="B37" s="130" t="s">
        <v>509</v>
      </c>
      <c r="C37" s="130">
        <v>6694895</v>
      </c>
      <c r="D37" s="130">
        <v>1</v>
      </c>
      <c r="E37" s="130"/>
      <c r="F37" s="141">
        <v>82</v>
      </c>
      <c r="G37" s="141"/>
      <c r="H37" s="131" t="s">
        <v>64</v>
      </c>
      <c r="I37" s="130" t="s">
        <v>510</v>
      </c>
      <c r="J37" s="131">
        <v>2025</v>
      </c>
      <c r="K37" s="131">
        <v>2025</v>
      </c>
      <c r="L37" s="131" t="s">
        <v>50</v>
      </c>
      <c r="M37" s="131" t="s">
        <v>323</v>
      </c>
      <c r="N37" s="131" t="s">
        <v>272</v>
      </c>
      <c r="O37" s="131" t="s">
        <v>272</v>
      </c>
      <c r="P37" s="131" t="s">
        <v>69</v>
      </c>
      <c r="Q37" s="131" t="s">
        <v>92</v>
      </c>
      <c r="R37" s="131"/>
      <c r="S37" s="130" t="s">
        <v>511</v>
      </c>
      <c r="T37" s="131" t="s">
        <v>118</v>
      </c>
      <c r="U37" s="131" t="s">
        <v>326</v>
      </c>
      <c r="V37" s="133">
        <v>45874</v>
      </c>
      <c r="W37" s="133">
        <v>46058</v>
      </c>
      <c r="X37" s="132">
        <f ca="1">W37-TODAY()</f>
        <v>-27</v>
      </c>
      <c r="Y37" s="132" t="str">
        <f ca="1">IF(X37&gt;=25,"Vigente",IF(AND(X37&gt;=1,X37&lt;=25),"Por Vencer","Vencido"))</f>
        <v>Vencido</v>
      </c>
      <c r="Z37" s="130" t="s">
        <v>512</v>
      </c>
      <c r="AA37" s="130" t="s">
        <v>495</v>
      </c>
      <c r="AB37" s="131" t="s">
        <v>257</v>
      </c>
      <c r="AC37" s="152" t="s">
        <v>513</v>
      </c>
    </row>
    <row r="38" spans="1:29" ht="15" hidden="1">
      <c r="A38" s="142">
        <v>73</v>
      </c>
      <c r="B38" s="130" t="s">
        <v>514</v>
      </c>
      <c r="C38" s="130">
        <v>3866780</v>
      </c>
      <c r="D38" s="130">
        <v>7</v>
      </c>
      <c r="E38" s="138">
        <v>12490</v>
      </c>
      <c r="F38" s="141">
        <v>91</v>
      </c>
      <c r="G38" s="141"/>
      <c r="H38" s="131" t="s">
        <v>71</v>
      </c>
      <c r="I38" s="131" t="s">
        <v>487</v>
      </c>
      <c r="J38" s="133">
        <v>44796</v>
      </c>
      <c r="K38" s="133">
        <v>44796</v>
      </c>
      <c r="L38" s="131" t="s">
        <v>175</v>
      </c>
      <c r="M38" s="131" t="s">
        <v>271</v>
      </c>
      <c r="N38" s="131" t="s">
        <v>175</v>
      </c>
      <c r="O38" s="131" t="s">
        <v>175</v>
      </c>
      <c r="P38" s="131" t="s">
        <v>69</v>
      </c>
      <c r="Q38" s="131" t="s">
        <v>57</v>
      </c>
      <c r="R38" s="131"/>
      <c r="S38" s="130" t="s">
        <v>515</v>
      </c>
      <c r="T38" s="131" t="s">
        <v>118</v>
      </c>
      <c r="U38" s="131" t="s">
        <v>245</v>
      </c>
      <c r="V38" s="138">
        <v>45938</v>
      </c>
      <c r="W38" s="138">
        <v>45969</v>
      </c>
      <c r="X38" s="132">
        <f ca="1">W38-TODAY()</f>
        <v>-116</v>
      </c>
      <c r="Y38" s="132" t="str">
        <f ca="1">IF(X38&gt;=25,"Vigente",IF(AND(X38&gt;=1,X38&lt;=25),"Por Vencer","Vencido"))</f>
        <v>Vencido</v>
      </c>
      <c r="Z38" s="131"/>
      <c r="AA38" s="131" t="s">
        <v>495</v>
      </c>
      <c r="AB38" s="131" t="s">
        <v>257</v>
      </c>
      <c r="AC38" s="152"/>
    </row>
    <row r="39" spans="1:29" ht="147">
      <c r="A39" s="142">
        <v>7</v>
      </c>
      <c r="B39" s="130" t="s">
        <v>516</v>
      </c>
      <c r="C39" s="130">
        <v>4656189</v>
      </c>
      <c r="D39" s="130">
        <v>9</v>
      </c>
      <c r="E39" s="130"/>
      <c r="F39" s="141">
        <v>81</v>
      </c>
      <c r="G39" s="141"/>
      <c r="H39" s="131" t="s">
        <v>71</v>
      </c>
      <c r="I39" s="130" t="s">
        <v>517</v>
      </c>
      <c r="J39" s="131">
        <v>2025</v>
      </c>
      <c r="K39" s="131">
        <v>2025</v>
      </c>
      <c r="L39" s="131" t="s">
        <v>28</v>
      </c>
      <c r="M39" s="131" t="s">
        <v>323</v>
      </c>
      <c r="N39" s="133">
        <v>45916</v>
      </c>
      <c r="O39" s="130" t="s">
        <v>518</v>
      </c>
      <c r="P39" s="131" t="s">
        <v>69</v>
      </c>
      <c r="Q39" s="131" t="s">
        <v>57</v>
      </c>
      <c r="R39" s="131"/>
      <c r="S39" s="130" t="s">
        <v>519</v>
      </c>
      <c r="T39" s="131" t="s">
        <v>118</v>
      </c>
      <c r="U39" s="131" t="s">
        <v>326</v>
      </c>
      <c r="V39" s="133">
        <v>46058</v>
      </c>
      <c r="W39" s="133">
        <v>46069</v>
      </c>
      <c r="X39" s="132">
        <f ca="1">W39-TODAY()</f>
        <v>-16</v>
      </c>
      <c r="Y39" s="132" t="str">
        <f ca="1">IF(X39&gt;=25,"Vigente",IF(AND(X39&gt;=1,X39&lt;=25),"Por Vencer","Vencido"))</f>
        <v>Vencido</v>
      </c>
      <c r="Z39" s="130" t="s">
        <v>520</v>
      </c>
      <c r="AA39" s="130" t="s">
        <v>28</v>
      </c>
      <c r="AB39" s="131" t="s">
        <v>257</v>
      </c>
      <c r="AC39" s="152" t="s">
        <v>521</v>
      </c>
    </row>
    <row r="40" spans="1:29" customFormat="1" ht="15" hidden="1">
      <c r="A40" s="142">
        <v>39</v>
      </c>
      <c r="B40" s="130" t="s">
        <v>522</v>
      </c>
      <c r="C40" s="130">
        <v>9442686</v>
      </c>
      <c r="D40" s="130">
        <v>3</v>
      </c>
      <c r="E40" s="130"/>
      <c r="F40" s="141"/>
      <c r="G40" s="141"/>
      <c r="H40" s="131"/>
      <c r="I40" s="130" t="s">
        <v>523</v>
      </c>
      <c r="J40" s="131">
        <v>2024</v>
      </c>
      <c r="K40" s="131">
        <v>2024</v>
      </c>
      <c r="L40" s="131" t="s">
        <v>50</v>
      </c>
      <c r="M40" s="131" t="s">
        <v>271</v>
      </c>
      <c r="N40" s="131" t="s">
        <v>272</v>
      </c>
      <c r="O40" s="131" t="s">
        <v>272</v>
      </c>
      <c r="P40" s="131" t="s">
        <v>69</v>
      </c>
      <c r="Q40" s="131" t="s">
        <v>92</v>
      </c>
      <c r="R40" s="131" t="s">
        <v>524</v>
      </c>
      <c r="S40" s="131" t="s">
        <v>525</v>
      </c>
      <c r="T40" s="131" t="s">
        <v>345</v>
      </c>
      <c r="U40" s="131" t="s">
        <v>245</v>
      </c>
      <c r="V40" s="133">
        <v>45938</v>
      </c>
      <c r="W40" s="133">
        <v>46120</v>
      </c>
      <c r="X40" s="132">
        <f ca="1">W40-TODAY()</f>
        <v>35</v>
      </c>
      <c r="Y40" s="132" t="str">
        <f ca="1">IF(X40&gt;=25,"Vigente",IF(AND(X40&gt;=1,X40&lt;=25),"Por Vencer","Vencido"))</f>
        <v>Vigente</v>
      </c>
      <c r="Z40" s="130" t="s">
        <v>526</v>
      </c>
      <c r="AA40" s="130"/>
      <c r="AB40" s="131" t="s">
        <v>257</v>
      </c>
      <c r="AC40" s="152"/>
    </row>
    <row r="41" spans="1:29" ht="58.5">
      <c r="A41" s="142">
        <v>13</v>
      </c>
      <c r="B41" s="130" t="s">
        <v>527</v>
      </c>
      <c r="C41" s="130">
        <v>10437492</v>
      </c>
      <c r="D41" s="130">
        <v>1</v>
      </c>
      <c r="E41" s="130"/>
      <c r="F41" s="141">
        <v>58</v>
      </c>
      <c r="G41" s="141"/>
      <c r="H41" s="131" t="s">
        <v>64</v>
      </c>
      <c r="I41" s="130" t="s">
        <v>528</v>
      </c>
      <c r="J41" s="131">
        <v>2023</v>
      </c>
      <c r="K41" s="131">
        <v>2023</v>
      </c>
      <c r="L41" s="131" t="s">
        <v>28</v>
      </c>
      <c r="M41" s="131" t="s">
        <v>349</v>
      </c>
      <c r="N41" s="133">
        <v>45867</v>
      </c>
      <c r="O41" s="130" t="s">
        <v>529</v>
      </c>
      <c r="P41" s="131" t="s">
        <v>69</v>
      </c>
      <c r="Q41" s="131" t="s">
        <v>92</v>
      </c>
      <c r="R41" s="131" t="s">
        <v>530</v>
      </c>
      <c r="S41" s="130" t="s">
        <v>531</v>
      </c>
      <c r="T41" s="131" t="s">
        <v>118</v>
      </c>
      <c r="U41" s="131" t="s">
        <v>326</v>
      </c>
      <c r="V41" s="133">
        <v>45874</v>
      </c>
      <c r="W41" s="133">
        <v>46027</v>
      </c>
      <c r="X41" s="132">
        <f ca="1">W41-TODAY()</f>
        <v>-58</v>
      </c>
      <c r="Y41" s="132" t="str">
        <f ca="1">IF(X41&gt;=25,"Vigente",IF(AND(X41&gt;=1,X41&lt;=25),"Por Vencer","Vencido"))</f>
        <v>Vencido</v>
      </c>
      <c r="Z41" s="130" t="s">
        <v>530</v>
      </c>
      <c r="AA41" s="130" t="s">
        <v>28</v>
      </c>
      <c r="AB41" s="131" t="s">
        <v>257</v>
      </c>
      <c r="AC41" s="152" t="s">
        <v>532</v>
      </c>
    </row>
    <row r="42" spans="1:29" customFormat="1" ht="15" hidden="1">
      <c r="A42" s="142">
        <v>41</v>
      </c>
      <c r="B42" s="131" t="s">
        <v>533</v>
      </c>
      <c r="C42" s="131">
        <v>12807556</v>
      </c>
      <c r="D42" s="131">
        <v>9</v>
      </c>
      <c r="E42" s="133">
        <v>27399</v>
      </c>
      <c r="F42" s="141">
        <v>51</v>
      </c>
      <c r="G42" s="141"/>
      <c r="H42" s="131" t="s">
        <v>71</v>
      </c>
      <c r="I42" s="130" t="s">
        <v>441</v>
      </c>
      <c r="J42" s="131">
        <v>2025</v>
      </c>
      <c r="K42" s="131"/>
      <c r="L42" s="131"/>
      <c r="M42" s="131"/>
      <c r="N42" s="131"/>
      <c r="O42" s="131" t="s">
        <v>534</v>
      </c>
      <c r="P42" s="131" t="s">
        <v>69</v>
      </c>
      <c r="Q42" s="131"/>
      <c r="R42" s="131"/>
      <c r="S42" s="131" t="s">
        <v>535</v>
      </c>
      <c r="T42" s="131" t="s">
        <v>118</v>
      </c>
      <c r="U42" s="131" t="s">
        <v>439</v>
      </c>
      <c r="V42" s="133">
        <v>46058</v>
      </c>
      <c r="W42" s="133">
        <v>46086</v>
      </c>
      <c r="X42" s="132">
        <f ca="1">W42-TODAY()</f>
        <v>1</v>
      </c>
      <c r="Y42" s="132" t="str">
        <f ca="1">IF(X42&gt;=25,"Vigente",IF(AND(X42&gt;=1,X42&lt;=25),"Por Vencer","Vencido"))</f>
        <v>Por Vencer</v>
      </c>
      <c r="Z42" s="130"/>
      <c r="AA42" s="130"/>
      <c r="AB42" s="131" t="s">
        <v>257</v>
      </c>
      <c r="AC42" s="152"/>
    </row>
    <row r="43" spans="1:29" ht="44.25">
      <c r="A43" s="142">
        <v>15</v>
      </c>
      <c r="B43" s="131" t="s">
        <v>536</v>
      </c>
      <c r="C43" s="130">
        <v>6012493</v>
      </c>
      <c r="D43" s="130">
        <v>0</v>
      </c>
      <c r="E43" s="138">
        <v>33666</v>
      </c>
      <c r="F43" s="141">
        <v>76</v>
      </c>
      <c r="G43" s="141"/>
      <c r="H43" s="131" t="s">
        <v>191</v>
      </c>
      <c r="I43" s="130" t="s">
        <v>537</v>
      </c>
      <c r="J43" s="131">
        <v>2026</v>
      </c>
      <c r="K43" s="131">
        <v>2026</v>
      </c>
      <c r="L43" s="131" t="s">
        <v>50</v>
      </c>
      <c r="M43" s="131" t="s">
        <v>538</v>
      </c>
      <c r="N43" s="131" t="s">
        <v>272</v>
      </c>
      <c r="O43" s="130" t="s">
        <v>272</v>
      </c>
      <c r="P43" s="131" t="s">
        <v>69</v>
      </c>
      <c r="Q43" s="131" t="s">
        <v>92</v>
      </c>
      <c r="R43" s="130" t="s">
        <v>539</v>
      </c>
      <c r="S43" s="130" t="s">
        <v>540</v>
      </c>
      <c r="T43" s="130" t="s">
        <v>118</v>
      </c>
      <c r="U43" s="130" t="s">
        <v>541</v>
      </c>
      <c r="V43" s="133">
        <v>45993</v>
      </c>
      <c r="W43" s="133">
        <v>46055</v>
      </c>
      <c r="X43" s="132">
        <f ca="1">W43-TODAY()</f>
        <v>-30</v>
      </c>
      <c r="Y43" s="132" t="str">
        <f ca="1">IF(X43&gt;=25,"Vigente",IF(AND(X43&gt;=1,X43&lt;=25),"Por Vencer","Vencido"))</f>
        <v>Vencido</v>
      </c>
      <c r="Z43" s="130" t="s">
        <v>542</v>
      </c>
      <c r="AA43" s="130" t="s">
        <v>28</v>
      </c>
      <c r="AB43" s="131" t="s">
        <v>257</v>
      </c>
      <c r="AC43" s="152" t="s">
        <v>543</v>
      </c>
    </row>
    <row r="44" spans="1:29" ht="72.75">
      <c r="A44" s="142">
        <v>19</v>
      </c>
      <c r="B44" s="130" t="s">
        <v>544</v>
      </c>
      <c r="C44" s="130">
        <v>4612794</v>
      </c>
      <c r="D44" s="130">
        <v>3</v>
      </c>
      <c r="E44" s="130"/>
      <c r="F44" s="141">
        <v>83</v>
      </c>
      <c r="G44" s="141"/>
      <c r="H44" s="131" t="s">
        <v>71</v>
      </c>
      <c r="I44" s="130" t="s">
        <v>545</v>
      </c>
      <c r="J44" s="131">
        <v>2024</v>
      </c>
      <c r="K44" s="131">
        <v>2024</v>
      </c>
      <c r="L44" s="131" t="s">
        <v>28</v>
      </c>
      <c r="M44" s="131" t="s">
        <v>271</v>
      </c>
      <c r="N44" s="133">
        <v>45874</v>
      </c>
      <c r="O44" s="130" t="s">
        <v>529</v>
      </c>
      <c r="P44" s="131" t="s">
        <v>69</v>
      </c>
      <c r="Q44" s="131" t="s">
        <v>92</v>
      </c>
      <c r="R44" s="131" t="s">
        <v>546</v>
      </c>
      <c r="S44" s="130" t="s">
        <v>547</v>
      </c>
      <c r="T44" s="131" t="s">
        <v>118</v>
      </c>
      <c r="U44" s="131" t="s">
        <v>326</v>
      </c>
      <c r="V44" s="133">
        <v>45957</v>
      </c>
      <c r="W44" s="133">
        <v>45684</v>
      </c>
      <c r="X44" s="132">
        <f ca="1">W44-TODAY()</f>
        <v>-401</v>
      </c>
      <c r="Y44" s="132" t="str">
        <f ca="1">IF(X44&gt;=25,"Vigente",IF(AND(X44&gt;=1,X44&lt;=25),"Por Vencer","Vencido"))</f>
        <v>Vencido</v>
      </c>
      <c r="Z44" s="130" t="s">
        <v>548</v>
      </c>
      <c r="AA44" s="130" t="s">
        <v>28</v>
      </c>
      <c r="AB44" s="131" t="s">
        <v>257</v>
      </c>
      <c r="AC44" s="152" t="s">
        <v>532</v>
      </c>
    </row>
    <row r="45" spans="1:29" ht="63" customHeight="1">
      <c r="A45" s="142">
        <v>33</v>
      </c>
      <c r="B45" s="130" t="s">
        <v>302</v>
      </c>
      <c r="C45" s="130">
        <v>6722693</v>
      </c>
      <c r="D45" s="130">
        <v>3</v>
      </c>
      <c r="E45" s="130"/>
      <c r="F45" s="141">
        <v>75</v>
      </c>
      <c r="G45" s="141"/>
      <c r="H45" s="131" t="s">
        <v>71</v>
      </c>
      <c r="I45" s="130" t="s">
        <v>549</v>
      </c>
      <c r="J45" s="131">
        <v>2026</v>
      </c>
      <c r="K45" s="131">
        <v>2026</v>
      </c>
      <c r="L45" s="131" t="s">
        <v>50</v>
      </c>
      <c r="M45" s="131" t="s">
        <v>323</v>
      </c>
      <c r="N45" s="131" t="s">
        <v>272</v>
      </c>
      <c r="O45" s="130" t="s">
        <v>272</v>
      </c>
      <c r="P45" s="131" t="s">
        <v>69</v>
      </c>
      <c r="Q45" s="131" t="s">
        <v>92</v>
      </c>
      <c r="R45" s="131" t="s">
        <v>393</v>
      </c>
      <c r="S45" s="130" t="s">
        <v>550</v>
      </c>
      <c r="T45" s="131" t="s">
        <v>118</v>
      </c>
      <c r="U45" s="131" t="s">
        <v>326</v>
      </c>
      <c r="V45" s="133">
        <v>45988</v>
      </c>
      <c r="W45" s="133">
        <v>46049</v>
      </c>
      <c r="X45" s="132">
        <f ca="1">W45-TODAY()</f>
        <v>-36</v>
      </c>
      <c r="Y45" s="132" t="str">
        <f ca="1">IF(X45&gt;=25,"Vigente",IF(AND(X45&gt;=1,X45&lt;=25),"Por Vencer","Vencido"))</f>
        <v>Vencido</v>
      </c>
      <c r="Z45" s="130" t="s">
        <v>551</v>
      </c>
      <c r="AA45" s="130" t="s">
        <v>28</v>
      </c>
      <c r="AB45" s="131" t="s">
        <v>257</v>
      </c>
      <c r="AC45" s="152" t="s">
        <v>552</v>
      </c>
    </row>
    <row r="46" spans="1:29" ht="102.75">
      <c r="A46" s="142">
        <v>40</v>
      </c>
      <c r="B46" s="130" t="s">
        <v>553</v>
      </c>
      <c r="C46" s="130">
        <v>6109928</v>
      </c>
      <c r="D46" s="130" t="s">
        <v>216</v>
      </c>
      <c r="E46" s="130"/>
      <c r="F46" s="141">
        <v>76</v>
      </c>
      <c r="G46" s="141"/>
      <c r="H46" s="131" t="s">
        <v>71</v>
      </c>
      <c r="I46" s="130" t="s">
        <v>554</v>
      </c>
      <c r="J46" s="131">
        <v>2025</v>
      </c>
      <c r="K46" s="131">
        <v>2025</v>
      </c>
      <c r="L46" s="131" t="s">
        <v>50</v>
      </c>
      <c r="M46" s="131" t="s">
        <v>349</v>
      </c>
      <c r="N46" s="133">
        <v>45982</v>
      </c>
      <c r="O46" s="130" t="s">
        <v>529</v>
      </c>
      <c r="P46" s="131" t="s">
        <v>69</v>
      </c>
      <c r="Q46" s="131" t="s">
        <v>92</v>
      </c>
      <c r="R46" s="131" t="s">
        <v>530</v>
      </c>
      <c r="S46" s="130" t="s">
        <v>555</v>
      </c>
      <c r="T46" s="131" t="s">
        <v>118</v>
      </c>
      <c r="U46" s="131" t="s">
        <v>419</v>
      </c>
      <c r="V46" s="133">
        <v>45980</v>
      </c>
      <c r="W46" s="133">
        <v>46041</v>
      </c>
      <c r="X46" s="132">
        <f ca="1">W46-TODAY()</f>
        <v>-44</v>
      </c>
      <c r="Y46" s="132" t="str">
        <f ca="1">IF(X46&gt;=25,"Vigente",IF(AND(X46&gt;=1,X46&lt;=25),"Por Vencer","Vencido"))</f>
        <v>Vencido</v>
      </c>
      <c r="Z46" s="130" t="s">
        <v>556</v>
      </c>
      <c r="AA46" s="130" t="s">
        <v>28</v>
      </c>
      <c r="AB46" s="131" t="s">
        <v>257</v>
      </c>
      <c r="AC46" s="152" t="s">
        <v>557</v>
      </c>
    </row>
    <row r="47" spans="1:29" ht="44.25">
      <c r="A47" s="142">
        <v>44</v>
      </c>
      <c r="B47" s="130" t="s">
        <v>558</v>
      </c>
      <c r="C47" s="130">
        <v>5739252</v>
      </c>
      <c r="D47" s="130">
        <v>5</v>
      </c>
      <c r="E47" s="130"/>
      <c r="F47" s="141">
        <v>77</v>
      </c>
      <c r="G47" s="141"/>
      <c r="H47" s="131" t="s">
        <v>64</v>
      </c>
      <c r="I47" s="130" t="s">
        <v>559</v>
      </c>
      <c r="J47" s="131">
        <v>2025</v>
      </c>
      <c r="K47" s="131">
        <v>2025</v>
      </c>
      <c r="L47" s="131" t="s">
        <v>50</v>
      </c>
      <c r="M47" s="131" t="s">
        <v>323</v>
      </c>
      <c r="N47" s="131" t="s">
        <v>272</v>
      </c>
      <c r="O47" s="130" t="s">
        <v>272</v>
      </c>
      <c r="P47" s="131" t="s">
        <v>69</v>
      </c>
      <c r="Q47" s="131" t="s">
        <v>92</v>
      </c>
      <c r="R47" s="131" t="s">
        <v>560</v>
      </c>
      <c r="S47" s="130" t="s">
        <v>561</v>
      </c>
      <c r="T47" s="131" t="s">
        <v>118</v>
      </c>
      <c r="U47" s="131" t="s">
        <v>507</v>
      </c>
      <c r="V47" s="133">
        <v>45931</v>
      </c>
      <c r="W47" s="133">
        <v>45992</v>
      </c>
      <c r="X47" s="132">
        <f ca="1">W47-TODAY()</f>
        <v>-93</v>
      </c>
      <c r="Y47" s="132" t="str">
        <f ca="1">IF(X47&gt;=25,"Vigente",IF(AND(X47&gt;=1,X47&lt;=25),"Por Vencer","Vencido"))</f>
        <v>Vencido</v>
      </c>
      <c r="Z47" s="130" t="s">
        <v>562</v>
      </c>
      <c r="AA47" s="130" t="s">
        <v>28</v>
      </c>
      <c r="AB47" s="131" t="s">
        <v>257</v>
      </c>
      <c r="AC47" s="152" t="s">
        <v>543</v>
      </c>
    </row>
    <row r="48" spans="1:29" ht="44.25">
      <c r="A48" s="142">
        <v>46</v>
      </c>
      <c r="B48" s="131" t="s">
        <v>303</v>
      </c>
      <c r="C48" s="131">
        <v>5797685</v>
      </c>
      <c r="D48" s="131">
        <v>3</v>
      </c>
      <c r="E48" s="131"/>
      <c r="F48" s="141">
        <v>75</v>
      </c>
      <c r="G48" s="141"/>
      <c r="H48" s="131" t="s">
        <v>71</v>
      </c>
      <c r="I48" s="130" t="s">
        <v>563</v>
      </c>
      <c r="J48" s="153">
        <v>45901</v>
      </c>
      <c r="K48" s="131">
        <v>2025</v>
      </c>
      <c r="L48" s="131" t="s">
        <v>50</v>
      </c>
      <c r="M48" s="131" t="s">
        <v>323</v>
      </c>
      <c r="N48" s="131" t="s">
        <v>272</v>
      </c>
      <c r="O48" s="130" t="s">
        <v>272</v>
      </c>
      <c r="P48" s="131" t="s">
        <v>69</v>
      </c>
      <c r="Q48" s="131" t="s">
        <v>92</v>
      </c>
      <c r="R48" s="131" t="s">
        <v>336</v>
      </c>
      <c r="S48" s="130" t="s">
        <v>337</v>
      </c>
      <c r="T48" s="131" t="s">
        <v>118</v>
      </c>
      <c r="U48" s="131" t="s">
        <v>326</v>
      </c>
      <c r="V48" s="133">
        <v>45988</v>
      </c>
      <c r="W48" s="133">
        <v>46015</v>
      </c>
      <c r="X48" s="132">
        <f ca="1">W48-TODAY()</f>
        <v>-70</v>
      </c>
      <c r="Y48" s="132" t="str">
        <f ca="1">IF(X48&gt;=25,"Vigente",IF(AND(X48&gt;=1,X48&lt;=25),"Por Vencer","Vencido"))</f>
        <v>Vencido</v>
      </c>
      <c r="Z48" s="130" t="s">
        <v>339</v>
      </c>
      <c r="AA48" s="130" t="s">
        <v>28</v>
      </c>
      <c r="AB48" s="131" t="s">
        <v>257</v>
      </c>
      <c r="AC48" s="152" t="s">
        <v>552</v>
      </c>
    </row>
    <row r="49" spans="1:29" ht="44.25">
      <c r="A49" s="142">
        <v>77</v>
      </c>
      <c r="B49" s="130" t="s">
        <v>306</v>
      </c>
      <c r="C49" s="131">
        <v>6742154</v>
      </c>
      <c r="D49" s="131" t="s">
        <v>180</v>
      </c>
      <c r="E49" s="131"/>
      <c r="F49" s="141">
        <v>74</v>
      </c>
      <c r="G49" s="141"/>
      <c r="H49" s="131" t="s">
        <v>71</v>
      </c>
      <c r="I49" s="130" t="s">
        <v>564</v>
      </c>
      <c r="J49" s="131">
        <v>2025</v>
      </c>
      <c r="K49" s="131">
        <v>2025</v>
      </c>
      <c r="L49" s="131" t="s">
        <v>50</v>
      </c>
      <c r="M49" s="131" t="s">
        <v>323</v>
      </c>
      <c r="N49" s="131" t="s">
        <v>272</v>
      </c>
      <c r="O49" s="130" t="s">
        <v>272</v>
      </c>
      <c r="P49" s="131" t="s">
        <v>69</v>
      </c>
      <c r="Q49" s="131" t="s">
        <v>92</v>
      </c>
      <c r="R49" s="131" t="s">
        <v>336</v>
      </c>
      <c r="S49" s="130" t="s">
        <v>565</v>
      </c>
      <c r="T49" s="131" t="s">
        <v>118</v>
      </c>
      <c r="U49" s="131" t="s">
        <v>326</v>
      </c>
      <c r="V49" s="133">
        <v>45988</v>
      </c>
      <c r="W49" s="133">
        <v>46018</v>
      </c>
      <c r="X49" s="132">
        <f ca="1">W49-TODAY()</f>
        <v>-67</v>
      </c>
      <c r="Y49" s="132" t="str">
        <f ca="1">IF(X49&gt;=25,"Vigente",IF(AND(X49&gt;=1,X49&lt;=25),"Por Vencer","Vencido"))</f>
        <v>Vencido</v>
      </c>
      <c r="Z49" s="130" t="s">
        <v>566</v>
      </c>
      <c r="AA49" s="130" t="s">
        <v>567</v>
      </c>
      <c r="AB49" s="131" t="s">
        <v>257</v>
      </c>
      <c r="AC49" s="152" t="s">
        <v>552</v>
      </c>
    </row>
    <row r="50" spans="1:29" customFormat="1" ht="15">
      <c r="A50" s="142">
        <v>49</v>
      </c>
      <c r="B50" s="130" t="s">
        <v>568</v>
      </c>
      <c r="C50" s="134">
        <v>6078257</v>
      </c>
      <c r="D50" s="130">
        <v>1</v>
      </c>
      <c r="E50" s="130"/>
      <c r="F50" s="141">
        <v>75</v>
      </c>
      <c r="G50" s="141"/>
      <c r="H50" s="131" t="s">
        <v>71</v>
      </c>
      <c r="I50" s="130" t="s">
        <v>569</v>
      </c>
      <c r="J50" s="131">
        <v>2020</v>
      </c>
      <c r="K50" s="131">
        <v>2020</v>
      </c>
      <c r="L50" s="131" t="s">
        <v>28</v>
      </c>
      <c r="M50" s="131" t="s">
        <v>271</v>
      </c>
      <c r="N50" s="131">
        <v>2022</v>
      </c>
      <c r="O50" s="131" t="s">
        <v>570</v>
      </c>
      <c r="P50" s="131" t="s">
        <v>69</v>
      </c>
      <c r="Q50" s="131" t="s">
        <v>57</v>
      </c>
      <c r="R50" s="131"/>
      <c r="S50" s="130" t="s">
        <v>571</v>
      </c>
      <c r="T50" s="131" t="s">
        <v>345</v>
      </c>
      <c r="U50" s="131" t="s">
        <v>326</v>
      </c>
      <c r="V50" s="133">
        <v>45957</v>
      </c>
      <c r="W50" s="133">
        <v>46119</v>
      </c>
      <c r="X50" s="132">
        <f ca="1">W50-TODAY()</f>
        <v>34</v>
      </c>
      <c r="Y50" s="132" t="str">
        <f ca="1">IF(X50&gt;=25,"Vigente",IF(AND(X50&gt;=1,X50&lt;=25),"Por Vencer","Vencido"))</f>
        <v>Vigente</v>
      </c>
      <c r="Z50" s="130" t="s">
        <v>526</v>
      </c>
      <c r="AA50" s="130"/>
      <c r="AB50" s="131" t="s">
        <v>257</v>
      </c>
      <c r="AC50" s="152"/>
    </row>
    <row r="51" spans="1:29" customFormat="1" ht="29.25" hidden="1">
      <c r="A51" s="142">
        <v>50</v>
      </c>
      <c r="B51" s="130" t="s">
        <v>572</v>
      </c>
      <c r="C51" s="130">
        <v>5585793</v>
      </c>
      <c r="D51" s="130">
        <v>8</v>
      </c>
      <c r="E51" s="130"/>
      <c r="F51" s="141">
        <v>80</v>
      </c>
      <c r="G51" s="141"/>
      <c r="H51" s="131"/>
      <c r="I51" s="130" t="s">
        <v>573</v>
      </c>
      <c r="J51" s="131">
        <v>2024</v>
      </c>
      <c r="K51" s="131">
        <v>2024</v>
      </c>
      <c r="L51" s="131" t="s">
        <v>50</v>
      </c>
      <c r="M51" s="131" t="s">
        <v>271</v>
      </c>
      <c r="N51" s="131" t="s">
        <v>272</v>
      </c>
      <c r="O51" s="131" t="s">
        <v>272</v>
      </c>
      <c r="P51" s="131" t="s">
        <v>69</v>
      </c>
      <c r="Q51" s="131" t="s">
        <v>57</v>
      </c>
      <c r="R51" s="131"/>
      <c r="S51" s="131" t="s">
        <v>574</v>
      </c>
      <c r="T51" s="131" t="s">
        <v>345</v>
      </c>
      <c r="U51" s="131" t="s">
        <v>275</v>
      </c>
      <c r="V51" s="133">
        <v>46056</v>
      </c>
      <c r="W51" s="133">
        <v>46421</v>
      </c>
      <c r="X51" s="132">
        <f ca="1">W51-TODAY()</f>
        <v>336</v>
      </c>
      <c r="Y51" s="132" t="str">
        <f ca="1">IF(X51&gt;=25,"Vigente",IF(AND(X51&gt;=1,X51&lt;=25),"Por Vencer","Vencido"))</f>
        <v>Vigente</v>
      </c>
      <c r="Z51" s="130" t="s">
        <v>575</v>
      </c>
      <c r="AA51" s="130"/>
      <c r="AB51" s="131"/>
      <c r="AC51" s="152"/>
    </row>
    <row r="52" spans="1:29" customFormat="1" ht="29.25">
      <c r="A52" s="142">
        <v>11</v>
      </c>
      <c r="B52" s="130" t="s">
        <v>576</v>
      </c>
      <c r="C52" s="130">
        <v>6959628</v>
      </c>
      <c r="D52" s="130">
        <v>2</v>
      </c>
      <c r="E52" s="130"/>
      <c r="F52" s="141">
        <v>75</v>
      </c>
      <c r="G52" s="141"/>
      <c r="H52" s="131" t="s">
        <v>577</v>
      </c>
      <c r="I52" s="130" t="s">
        <v>578</v>
      </c>
      <c r="J52" s="131">
        <v>2024</v>
      </c>
      <c r="K52" s="131">
        <v>2025</v>
      </c>
      <c r="L52" s="131" t="s">
        <v>28</v>
      </c>
      <c r="M52" s="131" t="s">
        <v>271</v>
      </c>
      <c r="N52" s="133">
        <v>45790</v>
      </c>
      <c r="O52" s="131" t="s">
        <v>271</v>
      </c>
      <c r="P52" s="131" t="s">
        <v>69</v>
      </c>
      <c r="Q52" s="131" t="s">
        <v>92</v>
      </c>
      <c r="R52" s="131" t="s">
        <v>579</v>
      </c>
      <c r="S52" s="130" t="s">
        <v>580</v>
      </c>
      <c r="T52" s="131" t="s">
        <v>345</v>
      </c>
      <c r="U52" s="131" t="s">
        <v>326</v>
      </c>
      <c r="V52" s="133">
        <v>45797</v>
      </c>
      <c r="W52" s="133">
        <v>45981</v>
      </c>
      <c r="X52" s="132">
        <f ca="1">W52-TODAY()</f>
        <v>-104</v>
      </c>
      <c r="Y52" s="132" t="str">
        <f ca="1">IF(X52&gt;=25,"Vigente",IF(AND(X52&gt;=1,X52&lt;=25),"Por Vencer","Vencido"))</f>
        <v>Vencido</v>
      </c>
      <c r="Z52" s="130" t="s">
        <v>581</v>
      </c>
      <c r="AA52" s="130"/>
      <c r="AB52" s="131" t="s">
        <v>257</v>
      </c>
      <c r="AC52" s="152"/>
    </row>
    <row r="53" spans="1:29" customFormat="1" ht="58.5" hidden="1">
      <c r="A53" s="142">
        <v>52</v>
      </c>
      <c r="B53" s="130" t="s">
        <v>582</v>
      </c>
      <c r="C53" s="130">
        <v>9060739</v>
      </c>
      <c r="D53" s="130">
        <v>1</v>
      </c>
      <c r="E53" s="130"/>
      <c r="F53" s="141">
        <v>65</v>
      </c>
      <c r="G53" s="141"/>
      <c r="H53" s="131" t="s">
        <v>71</v>
      </c>
      <c r="I53" s="130" t="s">
        <v>583</v>
      </c>
      <c r="J53" s="131">
        <v>2023</v>
      </c>
      <c r="K53" s="131">
        <v>2023</v>
      </c>
      <c r="L53" s="131" t="s">
        <v>50</v>
      </c>
      <c r="M53" s="131" t="s">
        <v>271</v>
      </c>
      <c r="N53" s="133">
        <v>45371</v>
      </c>
      <c r="O53" s="131" t="s">
        <v>584</v>
      </c>
      <c r="P53" s="131" t="s">
        <v>69</v>
      </c>
      <c r="Q53" s="131" t="s">
        <v>92</v>
      </c>
      <c r="R53" s="131" t="s">
        <v>585</v>
      </c>
      <c r="S53" s="131" t="s">
        <v>586</v>
      </c>
      <c r="T53" s="131" t="s">
        <v>244</v>
      </c>
      <c r="U53" s="131" t="s">
        <v>587</v>
      </c>
      <c r="V53" s="131">
        <v>2024</v>
      </c>
      <c r="W53" s="131">
        <v>2026</v>
      </c>
      <c r="X53" s="132">
        <f ca="1">W53-TODAY()</f>
        <v>-44059</v>
      </c>
      <c r="Y53" s="132" t="str">
        <f ca="1">IF(X53&gt;=25,"Vigente",IF(AND(X53&gt;=1,X53&lt;=25),"Por Vencer","Vencido"))</f>
        <v>Vencido</v>
      </c>
      <c r="Z53" s="130" t="s">
        <v>588</v>
      </c>
      <c r="AA53" s="130" t="s">
        <v>589</v>
      </c>
      <c r="AB53" s="131" t="s">
        <v>257</v>
      </c>
      <c r="AC53" s="152"/>
    </row>
    <row r="54" spans="1:29" customFormat="1" ht="58.5">
      <c r="A54" s="142">
        <v>22</v>
      </c>
      <c r="B54" s="130" t="s">
        <v>590</v>
      </c>
      <c r="C54" s="130">
        <v>3913360</v>
      </c>
      <c r="D54" s="130">
        <v>1</v>
      </c>
      <c r="E54" s="130"/>
      <c r="F54" s="141">
        <v>87</v>
      </c>
      <c r="G54" s="141"/>
      <c r="H54" s="131" t="s">
        <v>71</v>
      </c>
      <c r="I54" s="130" t="s">
        <v>591</v>
      </c>
      <c r="J54" s="131">
        <v>2024</v>
      </c>
      <c r="K54" s="131">
        <v>2025</v>
      </c>
      <c r="L54" s="131" t="s">
        <v>28</v>
      </c>
      <c r="M54" s="131" t="s">
        <v>271</v>
      </c>
      <c r="N54" s="133">
        <v>45818</v>
      </c>
      <c r="O54" s="131" t="s">
        <v>271</v>
      </c>
      <c r="P54" s="131" t="s">
        <v>69</v>
      </c>
      <c r="Q54" s="131" t="s">
        <v>92</v>
      </c>
      <c r="R54" s="131" t="s">
        <v>465</v>
      </c>
      <c r="S54" s="130" t="s">
        <v>592</v>
      </c>
      <c r="T54" s="131" t="s">
        <v>593</v>
      </c>
      <c r="U54" s="131" t="s">
        <v>449</v>
      </c>
      <c r="V54" s="133">
        <v>45923</v>
      </c>
      <c r="W54" s="133">
        <v>46014</v>
      </c>
      <c r="X54" s="132">
        <f ca="1">W54-TODAY()</f>
        <v>-71</v>
      </c>
      <c r="Y54" s="132" t="str">
        <f ca="1">IF(X54&gt;=25,"Vigente",IF(AND(X54&gt;=1,X54&lt;=25),"Por Vencer","Vencido"))</f>
        <v>Vencido</v>
      </c>
      <c r="Z54" s="130" t="s">
        <v>594</v>
      </c>
      <c r="AA54" s="130"/>
      <c r="AB54" s="131" t="s">
        <v>257</v>
      </c>
      <c r="AC54" s="152"/>
    </row>
    <row r="55" spans="1:29" customFormat="1" ht="44.25" hidden="1">
      <c r="A55" s="142">
        <v>23</v>
      </c>
      <c r="B55" s="130" t="s">
        <v>595</v>
      </c>
      <c r="C55" s="130">
        <v>4024903</v>
      </c>
      <c r="D55" s="130">
        <v>6</v>
      </c>
      <c r="E55" s="130"/>
      <c r="F55" s="141">
        <v>96</v>
      </c>
      <c r="G55" s="141"/>
      <c r="H55" s="131" t="s">
        <v>191</v>
      </c>
      <c r="I55" s="130" t="s">
        <v>596</v>
      </c>
      <c r="J55" s="131">
        <v>2024</v>
      </c>
      <c r="K55" s="131">
        <v>2025</v>
      </c>
      <c r="L55" s="131" t="s">
        <v>50</v>
      </c>
      <c r="M55" s="131" t="s">
        <v>271</v>
      </c>
      <c r="N55" s="131" t="s">
        <v>272</v>
      </c>
      <c r="O55" s="131" t="s">
        <v>272</v>
      </c>
      <c r="P55" s="131" t="s">
        <v>69</v>
      </c>
      <c r="Q55" s="131" t="s">
        <v>92</v>
      </c>
      <c r="R55" s="131" t="s">
        <v>597</v>
      </c>
      <c r="S55" s="131" t="s">
        <v>598</v>
      </c>
      <c r="T55" s="131" t="s">
        <v>294</v>
      </c>
      <c r="U55" s="131" t="s">
        <v>275</v>
      </c>
      <c r="V55" s="133">
        <v>45734</v>
      </c>
      <c r="W55" s="133">
        <v>45765</v>
      </c>
      <c r="X55" s="132">
        <f ca="1">W55-TODAY()</f>
        <v>-320</v>
      </c>
      <c r="Y55" s="132" t="str">
        <f ca="1">IF(X55&gt;=25,"Vigente",IF(AND(X55&gt;=1,X55&lt;=25),"Por Vencer","Vencido"))</f>
        <v>Vencido</v>
      </c>
      <c r="Z55" s="130" t="s">
        <v>599</v>
      </c>
      <c r="AA55" s="130"/>
      <c r="AB55" s="131" t="s">
        <v>257</v>
      </c>
      <c r="AC55" s="152"/>
    </row>
    <row r="56" spans="1:29" customFormat="1" ht="15" hidden="1">
      <c r="A56" s="142">
        <v>55</v>
      </c>
      <c r="B56" s="130" t="s">
        <v>600</v>
      </c>
      <c r="C56" s="130">
        <v>3898541</v>
      </c>
      <c r="D56" s="130">
        <v>8</v>
      </c>
      <c r="E56" s="130"/>
      <c r="F56" s="141">
        <v>89</v>
      </c>
      <c r="G56" s="141"/>
      <c r="H56" s="131" t="s">
        <v>359</v>
      </c>
      <c r="I56" s="130" t="s">
        <v>601</v>
      </c>
      <c r="J56" s="131">
        <v>2024</v>
      </c>
      <c r="K56" s="131">
        <v>2024</v>
      </c>
      <c r="L56" s="131" t="s">
        <v>50</v>
      </c>
      <c r="M56" s="131" t="s">
        <v>271</v>
      </c>
      <c r="N56" s="133">
        <v>45594</v>
      </c>
      <c r="O56" s="131" t="s">
        <v>479</v>
      </c>
      <c r="P56" s="131" t="s">
        <v>69</v>
      </c>
      <c r="Q56" s="131" t="s">
        <v>57</v>
      </c>
      <c r="R56" s="131"/>
      <c r="S56" s="131" t="s">
        <v>602</v>
      </c>
      <c r="T56" s="131" t="s">
        <v>332</v>
      </c>
      <c r="U56" s="131" t="s">
        <v>245</v>
      </c>
      <c r="V56" s="133">
        <v>46266</v>
      </c>
      <c r="W56" s="133">
        <v>46396</v>
      </c>
      <c r="X56" s="132">
        <f ca="1">W56-TODAY()</f>
        <v>311</v>
      </c>
      <c r="Y56" s="132" t="str">
        <f ca="1">IF(X56&gt;=25,"Vigente",IF(AND(X56&gt;=1,X56&lt;=25),"Por Vencer","Vencido"))</f>
        <v>Vigente</v>
      </c>
      <c r="Z56" s="130" t="s">
        <v>603</v>
      </c>
      <c r="AA56" s="130"/>
      <c r="AB56" s="131" t="s">
        <v>257</v>
      </c>
      <c r="AC56" s="152"/>
    </row>
    <row r="57" spans="1:29" customFormat="1" ht="15" hidden="1">
      <c r="A57" s="142">
        <v>56</v>
      </c>
      <c r="B57" s="130" t="s">
        <v>604</v>
      </c>
      <c r="C57" s="130">
        <v>10807342</v>
      </c>
      <c r="D57" s="130" t="s">
        <v>180</v>
      </c>
      <c r="E57" s="130"/>
      <c r="F57" s="141">
        <v>60</v>
      </c>
      <c r="G57" s="141"/>
      <c r="H57" s="131" t="s">
        <v>71</v>
      </c>
      <c r="I57" s="130" t="s">
        <v>605</v>
      </c>
      <c r="J57" s="131">
        <v>2025</v>
      </c>
      <c r="K57" s="131">
        <v>2025</v>
      </c>
      <c r="L57" s="131" t="s">
        <v>28</v>
      </c>
      <c r="M57" s="131" t="s">
        <v>271</v>
      </c>
      <c r="N57" s="131" t="s">
        <v>272</v>
      </c>
      <c r="O57" s="131" t="s">
        <v>272</v>
      </c>
      <c r="P57" s="131" t="s">
        <v>69</v>
      </c>
      <c r="Q57" s="131" t="s">
        <v>57</v>
      </c>
      <c r="R57" s="131"/>
      <c r="S57" s="131" t="s">
        <v>606</v>
      </c>
      <c r="T57" s="131"/>
      <c r="U57" s="131" t="s">
        <v>245</v>
      </c>
      <c r="V57" s="133">
        <v>45988</v>
      </c>
      <c r="W57" s="133">
        <v>46169</v>
      </c>
      <c r="X57" s="132">
        <f ca="1">W57-TODAY()</f>
        <v>84</v>
      </c>
      <c r="Y57" s="132" t="str">
        <f ca="1">IF(X57&gt;=25,"Vigente",IF(AND(X57&gt;=1,X57&lt;=25),"Por Vencer","Vencido"))</f>
        <v>Vigente</v>
      </c>
      <c r="Z57" s="130" t="s">
        <v>607</v>
      </c>
      <c r="AA57" s="130"/>
      <c r="AB57" s="131" t="s">
        <v>257</v>
      </c>
      <c r="AC57" s="152"/>
    </row>
    <row r="58" spans="1:29" customFormat="1" ht="29.25">
      <c r="A58" s="142">
        <v>57</v>
      </c>
      <c r="B58" s="130" t="s">
        <v>608</v>
      </c>
      <c r="C58" s="130">
        <v>14147664</v>
      </c>
      <c r="D58" s="130">
        <v>5</v>
      </c>
      <c r="E58" s="130"/>
      <c r="F58" s="141">
        <v>44</v>
      </c>
      <c r="G58" s="141"/>
      <c r="H58" s="131" t="s">
        <v>71</v>
      </c>
      <c r="I58" s="130" t="s">
        <v>609</v>
      </c>
      <c r="J58" s="131">
        <v>2016</v>
      </c>
      <c r="K58" s="131">
        <v>2016</v>
      </c>
      <c r="L58" s="131" t="s">
        <v>50</v>
      </c>
      <c r="M58" s="131" t="s">
        <v>271</v>
      </c>
      <c r="N58" s="131" t="s">
        <v>272</v>
      </c>
      <c r="O58" s="131" t="s">
        <v>272</v>
      </c>
      <c r="P58" s="131" t="s">
        <v>69</v>
      </c>
      <c r="Q58" s="131" t="s">
        <v>57</v>
      </c>
      <c r="R58" s="131"/>
      <c r="S58" s="131" t="s">
        <v>610</v>
      </c>
      <c r="T58" s="131" t="s">
        <v>332</v>
      </c>
      <c r="U58" s="131" t="s">
        <v>326</v>
      </c>
      <c r="V58" s="133">
        <v>45810</v>
      </c>
      <c r="W58" s="133">
        <v>46175</v>
      </c>
      <c r="X58" s="132">
        <f ca="1">W58-TODAY()</f>
        <v>90</v>
      </c>
      <c r="Y58" s="132" t="str">
        <f ca="1">IF(X58&gt;=25,"Vigente",IF(AND(X58&gt;=1,X58&lt;=25),"Por Vencer","Vencido"))</f>
        <v>Vigente</v>
      </c>
      <c r="Z58" s="130" t="s">
        <v>611</v>
      </c>
      <c r="AA58" s="130"/>
      <c r="AB58" s="131" t="s">
        <v>257</v>
      </c>
      <c r="AC58" s="152"/>
    </row>
    <row r="59" spans="1:29" customFormat="1" ht="15" hidden="1">
      <c r="A59" s="142">
        <v>58</v>
      </c>
      <c r="B59" s="130" t="s">
        <v>612</v>
      </c>
      <c r="C59" s="130">
        <v>8257472</v>
      </c>
      <c r="D59" s="130">
        <v>7</v>
      </c>
      <c r="E59" s="130"/>
      <c r="F59" s="141"/>
      <c r="G59" s="141"/>
      <c r="H59" s="131" t="s">
        <v>613</v>
      </c>
      <c r="I59" s="130"/>
      <c r="J59" s="131"/>
      <c r="K59" s="131"/>
      <c r="L59" s="131"/>
      <c r="M59" s="131"/>
      <c r="N59" s="131"/>
      <c r="O59" s="131"/>
      <c r="P59" s="131"/>
      <c r="Q59" s="131"/>
      <c r="R59" s="131"/>
      <c r="S59" s="131"/>
      <c r="T59" s="131"/>
      <c r="U59" s="131"/>
      <c r="V59" s="131"/>
      <c r="W59" s="131"/>
      <c r="X59" s="132">
        <f ca="1">W59-TODAY()</f>
        <v>-46085</v>
      </c>
      <c r="Y59" s="132" t="str">
        <f ca="1">IF(X59&gt;=25,"Vigente",IF(AND(X59&gt;=1,X59&lt;=25),"Por Vencer","Vencido"))</f>
        <v>Vencido</v>
      </c>
      <c r="Z59" s="130"/>
      <c r="AA59" s="130"/>
      <c r="AB59" s="131" t="s">
        <v>257</v>
      </c>
      <c r="AC59" s="152"/>
    </row>
    <row r="60" spans="1:29" customFormat="1" ht="29.25" hidden="1">
      <c r="A60" s="142">
        <v>59</v>
      </c>
      <c r="B60" s="131" t="s">
        <v>612</v>
      </c>
      <c r="C60" s="131">
        <v>8257472</v>
      </c>
      <c r="D60" s="131">
        <v>7</v>
      </c>
      <c r="E60" s="131"/>
      <c r="F60" s="141">
        <v>80</v>
      </c>
      <c r="G60" s="141"/>
      <c r="H60" s="131"/>
      <c r="I60" s="130" t="s">
        <v>614</v>
      </c>
      <c r="J60" s="133">
        <v>45945</v>
      </c>
      <c r="K60" s="133">
        <v>45953</v>
      </c>
      <c r="L60" s="131" t="s">
        <v>50</v>
      </c>
      <c r="M60" s="131" t="s">
        <v>229</v>
      </c>
      <c r="N60" s="131" t="s">
        <v>272</v>
      </c>
      <c r="O60" s="131" t="s">
        <v>272</v>
      </c>
      <c r="P60" s="131" t="s">
        <v>69</v>
      </c>
      <c r="Q60" s="131" t="s">
        <v>615</v>
      </c>
      <c r="R60" s="131" t="s">
        <v>616</v>
      </c>
      <c r="S60" s="131" t="s">
        <v>617</v>
      </c>
      <c r="T60" s="131" t="s">
        <v>118</v>
      </c>
      <c r="U60" s="131" t="s">
        <v>245</v>
      </c>
      <c r="V60" s="131" t="s">
        <v>338</v>
      </c>
      <c r="W60" s="131" t="s">
        <v>338</v>
      </c>
      <c r="X60" s="132" t="e">
        <f ca="1">W60-TODAY()</f>
        <v>#VALUE!</v>
      </c>
      <c r="Y60" s="132" t="e">
        <f ca="1">IF(X60&gt;=25,"Vigente",IF(AND(X60&gt;=1,X60&lt;=25),"Por Vencer","Vencido"))</f>
        <v>#VALUE!</v>
      </c>
      <c r="Z60" s="130" t="s">
        <v>618</v>
      </c>
      <c r="AA60" s="130"/>
      <c r="AB60" s="131" t="s">
        <v>257</v>
      </c>
      <c r="AC60" s="152"/>
    </row>
    <row r="61" spans="1:29" customFormat="1" ht="44.25" hidden="1">
      <c r="A61" s="142">
        <v>25</v>
      </c>
      <c r="B61" s="131" t="s">
        <v>619</v>
      </c>
      <c r="C61" s="131">
        <v>4297914</v>
      </c>
      <c r="D61" s="131">
        <v>7</v>
      </c>
      <c r="E61" s="131"/>
      <c r="F61" s="141">
        <v>94</v>
      </c>
      <c r="G61" s="141"/>
      <c r="H61" s="131" t="s">
        <v>191</v>
      </c>
      <c r="I61" s="130" t="s">
        <v>620</v>
      </c>
      <c r="J61" s="131">
        <v>2024</v>
      </c>
      <c r="K61" s="131">
        <v>2024</v>
      </c>
      <c r="L61" s="131" t="s">
        <v>50</v>
      </c>
      <c r="M61" s="131" t="s">
        <v>271</v>
      </c>
      <c r="N61" s="131" t="s">
        <v>272</v>
      </c>
      <c r="O61" s="131" t="s">
        <v>272</v>
      </c>
      <c r="P61" s="131" t="s">
        <v>69</v>
      </c>
      <c r="Q61" s="131" t="s">
        <v>92</v>
      </c>
      <c r="R61" s="131" t="s">
        <v>621</v>
      </c>
      <c r="S61" s="131" t="s">
        <v>622</v>
      </c>
      <c r="T61" s="131" t="s">
        <v>118</v>
      </c>
      <c r="U61" s="131" t="s">
        <v>275</v>
      </c>
      <c r="V61" s="133">
        <v>45632</v>
      </c>
      <c r="W61" s="133">
        <v>45694</v>
      </c>
      <c r="X61" s="132">
        <f ca="1">W61-TODAY()</f>
        <v>-391</v>
      </c>
      <c r="Y61" s="132" t="str">
        <f ca="1">IF(X61&gt;=25,"Vigente",IF(AND(X61&gt;=1,X61&lt;=25),"Por Vencer","Vencido"))</f>
        <v>Vencido</v>
      </c>
      <c r="Z61" s="130" t="s">
        <v>623</v>
      </c>
      <c r="AA61" s="130"/>
      <c r="AB61" s="131" t="s">
        <v>257</v>
      </c>
      <c r="AC61" s="152"/>
    </row>
    <row r="62" spans="1:29" customFormat="1" ht="29.25">
      <c r="A62" s="142">
        <v>61</v>
      </c>
      <c r="B62" s="130" t="s">
        <v>624</v>
      </c>
      <c r="C62" s="130">
        <v>10146430</v>
      </c>
      <c r="D62" s="130" t="s">
        <v>216</v>
      </c>
      <c r="E62" s="130"/>
      <c r="F62" s="141">
        <v>63</v>
      </c>
      <c r="G62" s="141"/>
      <c r="H62" s="131" t="s">
        <v>625</v>
      </c>
      <c r="I62" s="130" t="s">
        <v>626</v>
      </c>
      <c r="J62" s="131">
        <v>2025</v>
      </c>
      <c r="K62" s="131">
        <v>2025</v>
      </c>
      <c r="L62" s="131" t="s">
        <v>28</v>
      </c>
      <c r="M62" s="131" t="s">
        <v>271</v>
      </c>
      <c r="N62" s="133">
        <v>46028</v>
      </c>
      <c r="O62" s="131" t="s">
        <v>627</v>
      </c>
      <c r="P62" s="131" t="s">
        <v>69</v>
      </c>
      <c r="Q62" s="131" t="s">
        <v>57</v>
      </c>
      <c r="R62" s="131"/>
      <c r="S62" s="131" t="s">
        <v>628</v>
      </c>
      <c r="T62" s="131" t="s">
        <v>345</v>
      </c>
      <c r="U62" s="131" t="s">
        <v>507</v>
      </c>
      <c r="V62" s="133">
        <v>46035</v>
      </c>
      <c r="W62" s="133">
        <v>46216</v>
      </c>
      <c r="X62" s="132">
        <f ca="1">W62-TODAY()</f>
        <v>131</v>
      </c>
      <c r="Y62" s="132" t="str">
        <f ca="1">IF(X62&gt;=25,"Vigente",IF(AND(X62&gt;=1,X62&lt;=25),"Por Vencer","Vencido"))</f>
        <v>Vigente</v>
      </c>
      <c r="Z62" s="130" t="s">
        <v>629</v>
      </c>
      <c r="AA62" s="130"/>
      <c r="AB62" s="131" t="s">
        <v>257</v>
      </c>
      <c r="AC62" s="152"/>
    </row>
    <row r="63" spans="1:29" customFormat="1" ht="117">
      <c r="A63" s="142">
        <v>62</v>
      </c>
      <c r="B63" s="130" t="s">
        <v>630</v>
      </c>
      <c r="C63" s="130">
        <v>6464837</v>
      </c>
      <c r="D63" s="130">
        <v>3</v>
      </c>
      <c r="E63" s="130"/>
      <c r="F63" s="141">
        <v>72</v>
      </c>
      <c r="G63" s="141"/>
      <c r="H63" s="131" t="s">
        <v>71</v>
      </c>
      <c r="I63" s="130" t="s">
        <v>631</v>
      </c>
      <c r="J63" s="131">
        <v>2024</v>
      </c>
      <c r="K63" s="131">
        <v>2025</v>
      </c>
      <c r="L63" s="131" t="s">
        <v>28</v>
      </c>
      <c r="M63" s="131" t="s">
        <v>349</v>
      </c>
      <c r="N63" s="133">
        <v>45916</v>
      </c>
      <c r="O63" s="131" t="s">
        <v>632</v>
      </c>
      <c r="P63" s="131" t="s">
        <v>291</v>
      </c>
      <c r="Q63" s="131" t="s">
        <v>57</v>
      </c>
      <c r="R63" s="131"/>
      <c r="S63" s="131" t="s">
        <v>633</v>
      </c>
      <c r="T63" s="131" t="s">
        <v>634</v>
      </c>
      <c r="U63" s="131" t="s">
        <v>326</v>
      </c>
      <c r="V63" s="133">
        <v>45922</v>
      </c>
      <c r="W63" s="133">
        <v>46075</v>
      </c>
      <c r="X63" s="132">
        <f ca="1">W63-TODAY()</f>
        <v>-10</v>
      </c>
      <c r="Y63" s="132" t="str">
        <f ca="1">IF(X63&gt;=25,"Vigente",IF(AND(X63&gt;=1,X63&lt;=25),"Por Vencer","Vencido"))</f>
        <v>Vencido</v>
      </c>
      <c r="Z63" s="130" t="s">
        <v>364</v>
      </c>
      <c r="AA63" s="130"/>
      <c r="AB63" s="131" t="s">
        <v>257</v>
      </c>
      <c r="AC63" s="152"/>
    </row>
    <row r="64" spans="1:29" customFormat="1" ht="87.75" hidden="1">
      <c r="A64" s="142">
        <v>63</v>
      </c>
      <c r="B64" s="130" t="s">
        <v>635</v>
      </c>
      <c r="C64" s="130">
        <v>14314112</v>
      </c>
      <c r="D64" s="130">
        <v>8</v>
      </c>
      <c r="E64" s="130"/>
      <c r="F64" s="141">
        <v>50</v>
      </c>
      <c r="G64" s="141"/>
      <c r="H64" s="131" t="s">
        <v>636</v>
      </c>
      <c r="I64" s="130" t="s">
        <v>637</v>
      </c>
      <c r="J64" s="131">
        <v>2025</v>
      </c>
      <c r="K64" s="131">
        <v>2025</v>
      </c>
      <c r="L64" s="131" t="s">
        <v>50</v>
      </c>
      <c r="M64" s="131" t="s">
        <v>349</v>
      </c>
      <c r="N64" s="131" t="s">
        <v>272</v>
      </c>
      <c r="O64" s="131" t="s">
        <v>272</v>
      </c>
      <c r="P64" s="131" t="s">
        <v>69</v>
      </c>
      <c r="Q64" s="131" t="s">
        <v>92</v>
      </c>
      <c r="R64" s="131" t="s">
        <v>638</v>
      </c>
      <c r="S64" s="131" t="s">
        <v>639</v>
      </c>
      <c r="T64" s="131"/>
      <c r="U64" s="131"/>
      <c r="V64" s="133">
        <v>45930</v>
      </c>
      <c r="W64" s="133">
        <v>46021</v>
      </c>
      <c r="X64" s="132">
        <f ca="1">W64-TODAY()</f>
        <v>-64</v>
      </c>
      <c r="Y64" s="132" t="str">
        <f ca="1">IF(X64&gt;=25,"Vigente",IF(AND(X64&gt;=1,X64&lt;=25),"Por Vencer","Vencido"))</f>
        <v>Vencido</v>
      </c>
      <c r="Z64" s="130" t="s">
        <v>640</v>
      </c>
      <c r="AA64" s="130"/>
      <c r="AB64" s="131" t="s">
        <v>257</v>
      </c>
      <c r="AC64" s="152"/>
    </row>
    <row r="65" spans="1:29" customFormat="1" ht="44.25" hidden="1">
      <c r="A65" s="142">
        <v>64</v>
      </c>
      <c r="B65" s="131" t="s">
        <v>641</v>
      </c>
      <c r="C65" s="131">
        <v>9303227</v>
      </c>
      <c r="D65" s="131">
        <v>6</v>
      </c>
      <c r="E65" s="133">
        <v>22385</v>
      </c>
      <c r="F65" s="141">
        <v>64</v>
      </c>
      <c r="G65" s="141"/>
      <c r="H65" s="131" t="s">
        <v>191</v>
      </c>
      <c r="I65" s="130" t="s">
        <v>642</v>
      </c>
      <c r="J65" s="131">
        <v>2025</v>
      </c>
      <c r="K65" s="131"/>
      <c r="L65" s="131"/>
      <c r="M65" s="131" t="s">
        <v>271</v>
      </c>
      <c r="N65" s="131" t="s">
        <v>272</v>
      </c>
      <c r="O65" s="131" t="s">
        <v>272</v>
      </c>
      <c r="P65" s="131" t="s">
        <v>69</v>
      </c>
      <c r="Q65" s="131" t="s">
        <v>57</v>
      </c>
      <c r="R65" s="131"/>
      <c r="S65" s="131" t="s">
        <v>643</v>
      </c>
      <c r="T65" s="131" t="s">
        <v>244</v>
      </c>
      <c r="U65" s="131" t="s">
        <v>439</v>
      </c>
      <c r="V65" s="133">
        <v>46058</v>
      </c>
      <c r="W65" s="133">
        <v>46178</v>
      </c>
      <c r="X65" s="132">
        <f ca="1">W65-TODAY()</f>
        <v>93</v>
      </c>
      <c r="Y65" s="132" t="str">
        <f ca="1">IF(X65&gt;=25,"Vigente",IF(AND(X65&gt;=1,X65&lt;=25),"Por Vencer","Vencido"))</f>
        <v>Vigente</v>
      </c>
      <c r="Z65" s="130"/>
      <c r="AA65" s="130"/>
      <c r="AB65" s="131" t="s">
        <v>257</v>
      </c>
      <c r="AC65" s="152"/>
    </row>
    <row r="66" spans="1:29" customFormat="1" ht="29.25" hidden="1">
      <c r="A66" s="142">
        <v>27</v>
      </c>
      <c r="B66" s="130" t="s">
        <v>644</v>
      </c>
      <c r="C66" s="139">
        <v>7349231</v>
      </c>
      <c r="D66" s="139">
        <v>9</v>
      </c>
      <c r="E66" s="139"/>
      <c r="F66" s="141">
        <v>69</v>
      </c>
      <c r="G66" s="141"/>
      <c r="H66" s="131"/>
      <c r="I66" s="130" t="s">
        <v>645</v>
      </c>
      <c r="J66" s="131">
        <v>2025</v>
      </c>
      <c r="K66" s="131">
        <v>2025</v>
      </c>
      <c r="L66" s="131" t="s">
        <v>28</v>
      </c>
      <c r="M66" s="131" t="s">
        <v>93</v>
      </c>
      <c r="N66" s="133">
        <v>45748</v>
      </c>
      <c r="O66" s="130" t="s">
        <v>646</v>
      </c>
      <c r="P66" s="131" t="s">
        <v>116</v>
      </c>
      <c r="Q66" s="131" t="s">
        <v>57</v>
      </c>
      <c r="R66" s="131"/>
      <c r="S66" s="131" t="s">
        <v>647</v>
      </c>
      <c r="T66" s="131" t="s">
        <v>244</v>
      </c>
      <c r="U66" s="131" t="s">
        <v>275</v>
      </c>
      <c r="V66" s="133">
        <v>45754</v>
      </c>
      <c r="W66" s="133">
        <v>45845</v>
      </c>
      <c r="X66" s="132">
        <f ca="1">W66-TODAY()</f>
        <v>-240</v>
      </c>
      <c r="Y66" s="132" t="str">
        <f ca="1">IF(X66&gt;=25,"Vigente",IF(AND(X66&gt;=1,X66&lt;=25),"Por Vencer","Vencido"))</f>
        <v>Vencido</v>
      </c>
      <c r="Z66" s="130" t="s">
        <v>648</v>
      </c>
      <c r="AA66" s="130"/>
      <c r="AB66" s="131" t="s">
        <v>257</v>
      </c>
      <c r="AC66" s="152"/>
    </row>
    <row r="67" spans="1:29" customFormat="1" ht="58.5" hidden="1">
      <c r="A67" s="142">
        <v>31</v>
      </c>
      <c r="B67" s="130" t="s">
        <v>649</v>
      </c>
      <c r="C67" s="130">
        <v>4741488</v>
      </c>
      <c r="D67" s="130">
        <v>1</v>
      </c>
      <c r="E67" s="130"/>
      <c r="F67" s="141">
        <v>84</v>
      </c>
      <c r="G67" s="141"/>
      <c r="H67" s="131" t="s">
        <v>71</v>
      </c>
      <c r="I67" s="130" t="s">
        <v>650</v>
      </c>
      <c r="J67" s="131">
        <v>2024</v>
      </c>
      <c r="K67" s="131">
        <v>2024</v>
      </c>
      <c r="L67" s="131" t="s">
        <v>28</v>
      </c>
      <c r="M67" s="131" t="s">
        <v>271</v>
      </c>
      <c r="N67" s="133">
        <v>45608</v>
      </c>
      <c r="O67" s="131" t="s">
        <v>446</v>
      </c>
      <c r="P67" s="131" t="s">
        <v>69</v>
      </c>
      <c r="Q67" s="131" t="s">
        <v>57</v>
      </c>
      <c r="R67" s="131"/>
      <c r="S67" s="131" t="s">
        <v>651</v>
      </c>
      <c r="T67" s="131" t="s">
        <v>118</v>
      </c>
      <c r="U67" s="131" t="s">
        <v>275</v>
      </c>
      <c r="V67" s="133">
        <v>46028</v>
      </c>
      <c r="W67" s="133">
        <v>46059</v>
      </c>
      <c r="X67" s="132">
        <f ca="1">W67-TODAY()</f>
        <v>-26</v>
      </c>
      <c r="Y67" s="132" t="str">
        <f ca="1">IF(X67&gt;=25,"Vigente",IF(AND(X67&gt;=1,X67&lt;=25),"Por Vencer","Vencido"))</f>
        <v>Vencido</v>
      </c>
      <c r="Z67" s="130" t="s">
        <v>652</v>
      </c>
      <c r="AA67" s="130"/>
      <c r="AB67" s="131" t="s">
        <v>257</v>
      </c>
      <c r="AC67" s="152"/>
    </row>
    <row r="68" spans="1:29" customFormat="1" ht="44.25" hidden="1">
      <c r="A68" s="142">
        <v>35</v>
      </c>
      <c r="B68" s="130" t="s">
        <v>653</v>
      </c>
      <c r="C68" s="130">
        <v>7226705</v>
      </c>
      <c r="D68" s="130">
        <v>2</v>
      </c>
      <c r="E68" s="130"/>
      <c r="F68" s="141">
        <v>71</v>
      </c>
      <c r="G68" s="141"/>
      <c r="H68" s="131" t="s">
        <v>71</v>
      </c>
      <c r="I68" s="130" t="s">
        <v>654</v>
      </c>
      <c r="J68" s="131">
        <v>2018</v>
      </c>
      <c r="K68" s="131">
        <v>2018</v>
      </c>
      <c r="L68" s="131" t="s">
        <v>28</v>
      </c>
      <c r="M68" s="131" t="s">
        <v>271</v>
      </c>
      <c r="N68" s="131">
        <v>2018</v>
      </c>
      <c r="O68" s="131" t="s">
        <v>529</v>
      </c>
      <c r="P68" s="131" t="s">
        <v>116</v>
      </c>
      <c r="Q68" s="131" t="s">
        <v>92</v>
      </c>
      <c r="R68" s="131" t="s">
        <v>655</v>
      </c>
      <c r="S68" s="131"/>
      <c r="T68" s="131" t="s">
        <v>345</v>
      </c>
      <c r="U68" s="131" t="s">
        <v>275</v>
      </c>
      <c r="V68" s="133">
        <v>45685</v>
      </c>
      <c r="W68" s="133">
        <v>46050</v>
      </c>
      <c r="X68" s="132">
        <f ca="1">W68-TODAY()</f>
        <v>-35</v>
      </c>
      <c r="Y68" s="132" t="str">
        <f ca="1">IF(X68&gt;=25,"Vigente",IF(AND(X68&gt;=1,X68&lt;=25),"Por Vencer","Vencido"))</f>
        <v>Vencido</v>
      </c>
      <c r="Z68" s="130" t="s">
        <v>656</v>
      </c>
      <c r="AA68" s="130"/>
      <c r="AB68" s="131" t="s">
        <v>257</v>
      </c>
      <c r="AC68" s="152"/>
    </row>
    <row r="69" spans="1:29" customFormat="1" ht="29.25" hidden="1">
      <c r="A69" s="142">
        <v>68</v>
      </c>
      <c r="B69" s="130" t="s">
        <v>657</v>
      </c>
      <c r="C69" s="130">
        <v>7175266</v>
      </c>
      <c r="D69" s="130">
        <v>6</v>
      </c>
      <c r="E69" s="130"/>
      <c r="F69" s="141">
        <v>71</v>
      </c>
      <c r="G69" s="141"/>
      <c r="H69" s="131" t="s">
        <v>658</v>
      </c>
      <c r="I69" s="130" t="s">
        <v>659</v>
      </c>
      <c r="J69" s="131">
        <v>2024</v>
      </c>
      <c r="K69" s="131">
        <v>2024</v>
      </c>
      <c r="L69" s="131" t="s">
        <v>50</v>
      </c>
      <c r="M69" s="131" t="s">
        <v>271</v>
      </c>
      <c r="N69" s="131" t="s">
        <v>272</v>
      </c>
      <c r="O69" s="131" t="s">
        <v>272</v>
      </c>
      <c r="P69" s="131" t="s">
        <v>69</v>
      </c>
      <c r="Q69" s="131" t="s">
        <v>57</v>
      </c>
      <c r="R69" s="131"/>
      <c r="S69" s="130" t="s">
        <v>660</v>
      </c>
      <c r="T69" s="131" t="s">
        <v>332</v>
      </c>
      <c r="U69" s="131" t="s">
        <v>245</v>
      </c>
      <c r="V69" s="133">
        <v>45826</v>
      </c>
      <c r="W69" s="133">
        <v>46191</v>
      </c>
      <c r="X69" s="132">
        <f ca="1">W69-TODAY()</f>
        <v>106</v>
      </c>
      <c r="Y69" s="132" t="str">
        <f ca="1">IF(X69&gt;=25,"Vigente",IF(AND(X69&gt;=1,X69&lt;=25),"Por Vencer","Vencido"))</f>
        <v>Vigente</v>
      </c>
      <c r="Z69" s="130" t="s">
        <v>661</v>
      </c>
      <c r="AA69" s="130"/>
      <c r="AB69" s="131" t="s">
        <v>257</v>
      </c>
      <c r="AC69" s="152"/>
    </row>
    <row r="70" spans="1:29" customFormat="1" ht="15" hidden="1">
      <c r="A70" s="142">
        <v>69</v>
      </c>
      <c r="B70" s="130" t="s">
        <v>662</v>
      </c>
      <c r="C70" s="130">
        <v>3793779</v>
      </c>
      <c r="D70" s="130">
        <v>7</v>
      </c>
      <c r="E70" s="130"/>
      <c r="F70" s="141">
        <v>87</v>
      </c>
      <c r="G70" s="141"/>
      <c r="H70" s="131" t="s">
        <v>191</v>
      </c>
      <c r="I70" s="130" t="s">
        <v>663</v>
      </c>
      <c r="J70" s="131">
        <v>2025</v>
      </c>
      <c r="K70" s="131">
        <v>2025</v>
      </c>
      <c r="L70" s="131" t="s">
        <v>50</v>
      </c>
      <c r="M70" s="131" t="s">
        <v>664</v>
      </c>
      <c r="N70" s="131" t="s">
        <v>272</v>
      </c>
      <c r="O70" s="131" t="s">
        <v>272</v>
      </c>
      <c r="P70" s="131" t="s">
        <v>69</v>
      </c>
      <c r="Q70" s="131" t="s">
        <v>57</v>
      </c>
      <c r="R70" s="131"/>
      <c r="S70" s="131" t="s">
        <v>665</v>
      </c>
      <c r="T70" s="131" t="s">
        <v>345</v>
      </c>
      <c r="U70" s="131" t="s">
        <v>245</v>
      </c>
      <c r="V70" s="133">
        <v>46014</v>
      </c>
      <c r="W70" s="133">
        <v>46196</v>
      </c>
      <c r="X70" s="132">
        <f ca="1">W70-TODAY()</f>
        <v>111</v>
      </c>
      <c r="Y70" s="132" t="str">
        <f ca="1">IF(X70&gt;=25,"Vigente",IF(AND(X70&gt;=1,X70&lt;=25),"Por Vencer","Vencido"))</f>
        <v>Vigente</v>
      </c>
      <c r="Z70" s="130" t="s">
        <v>666</v>
      </c>
      <c r="AA70" s="130"/>
      <c r="AB70" s="131" t="s">
        <v>257</v>
      </c>
      <c r="AC70" s="152"/>
    </row>
    <row r="71" spans="1:29" customFormat="1" ht="29.25">
      <c r="A71" s="142">
        <v>45</v>
      </c>
      <c r="B71" s="135" t="s">
        <v>667</v>
      </c>
      <c r="C71" s="135">
        <v>6630983</v>
      </c>
      <c r="D71" s="135">
        <v>5</v>
      </c>
      <c r="E71" s="135"/>
      <c r="F71" s="145">
        <v>77</v>
      </c>
      <c r="G71" s="145"/>
      <c r="H71" s="136" t="s">
        <v>71</v>
      </c>
      <c r="I71" s="135" t="s">
        <v>668</v>
      </c>
      <c r="J71" s="136">
        <v>2025</v>
      </c>
      <c r="K71" s="136">
        <v>2025</v>
      </c>
      <c r="L71" s="136" t="s">
        <v>50</v>
      </c>
      <c r="M71" s="136" t="s">
        <v>669</v>
      </c>
      <c r="N71" s="136" t="s">
        <v>272</v>
      </c>
      <c r="O71" s="136" t="s">
        <v>272</v>
      </c>
      <c r="P71" s="136" t="s">
        <v>272</v>
      </c>
      <c r="Q71" s="136" t="s">
        <v>92</v>
      </c>
      <c r="R71" s="136"/>
      <c r="S71" s="135" t="s">
        <v>670</v>
      </c>
      <c r="T71" s="136"/>
      <c r="U71" s="136" t="s">
        <v>326</v>
      </c>
      <c r="V71" s="137">
        <v>45840</v>
      </c>
      <c r="W71" s="136"/>
      <c r="X71" s="132">
        <f ca="1">W71-TODAY()</f>
        <v>-46085</v>
      </c>
      <c r="Y71" s="132" t="str">
        <f ca="1">IF(X71&gt;=25,"Vigente",IF(AND(X71&gt;=1,X71&lt;=25),"Por Vencer","Vencido"))</f>
        <v>Vencido</v>
      </c>
      <c r="Z71" s="135" t="s">
        <v>671</v>
      </c>
      <c r="AA71" s="135"/>
      <c r="AB71" s="136" t="s">
        <v>257</v>
      </c>
      <c r="AC71" s="152"/>
    </row>
    <row r="72" spans="1:29" customFormat="1" ht="58.5" hidden="1">
      <c r="A72" s="142">
        <v>48</v>
      </c>
      <c r="B72" s="130" t="s">
        <v>672</v>
      </c>
      <c r="C72" s="131">
        <v>5361650</v>
      </c>
      <c r="D72" s="131" t="s">
        <v>216</v>
      </c>
      <c r="E72" s="130"/>
      <c r="F72" s="141">
        <v>79</v>
      </c>
      <c r="G72" s="141"/>
      <c r="H72" s="131" t="s">
        <v>71</v>
      </c>
      <c r="I72" s="130" t="s">
        <v>673</v>
      </c>
      <c r="J72" s="131">
        <v>2025</v>
      </c>
      <c r="K72" s="131">
        <v>2025</v>
      </c>
      <c r="L72" s="131" t="s">
        <v>674</v>
      </c>
      <c r="M72" s="131" t="s">
        <v>271</v>
      </c>
      <c r="N72" s="131" t="s">
        <v>675</v>
      </c>
      <c r="O72" s="131" t="s">
        <v>675</v>
      </c>
      <c r="P72" s="131" t="s">
        <v>69</v>
      </c>
      <c r="Q72" s="131" t="s">
        <v>57</v>
      </c>
      <c r="R72" s="131"/>
      <c r="S72" s="131" t="s">
        <v>676</v>
      </c>
      <c r="T72" s="131" t="s">
        <v>345</v>
      </c>
      <c r="U72" s="131" t="s">
        <v>245</v>
      </c>
      <c r="V72" s="133">
        <v>45825</v>
      </c>
      <c r="W72" s="133">
        <v>46039</v>
      </c>
      <c r="X72" s="132">
        <f ca="1">W72-TODAY()</f>
        <v>-46</v>
      </c>
      <c r="Y72" s="132" t="str">
        <f ca="1">IF(X72&gt;=25,"Vigente",IF(AND(X72&gt;=1,X72&lt;=25),"Por Vencer","Vencido"))</f>
        <v>Vencido</v>
      </c>
      <c r="Z72" s="130" t="s">
        <v>455</v>
      </c>
      <c r="AA72" s="130"/>
      <c r="AB72" s="131" t="s">
        <v>257</v>
      </c>
      <c r="AC72" s="152"/>
    </row>
    <row r="73" spans="1:29" customFormat="1" ht="15" hidden="1">
      <c r="A73" s="142">
        <v>72</v>
      </c>
      <c r="B73" s="130" t="s">
        <v>677</v>
      </c>
      <c r="C73" s="130">
        <v>5408372</v>
      </c>
      <c r="D73" s="130">
        <v>6</v>
      </c>
      <c r="E73" s="138">
        <v>16634</v>
      </c>
      <c r="F73" s="141">
        <v>80</v>
      </c>
      <c r="G73" s="141"/>
      <c r="H73" s="130" t="s">
        <v>191</v>
      </c>
      <c r="I73" s="131" t="s">
        <v>678</v>
      </c>
      <c r="J73" s="133">
        <v>45124</v>
      </c>
      <c r="K73" s="133">
        <v>45124</v>
      </c>
      <c r="L73" s="131" t="s">
        <v>175</v>
      </c>
      <c r="M73" s="131" t="s">
        <v>271</v>
      </c>
      <c r="N73" s="131" t="s">
        <v>175</v>
      </c>
      <c r="O73" s="131" t="s">
        <v>175</v>
      </c>
      <c r="P73" s="131" t="s">
        <v>69</v>
      </c>
      <c r="Q73" s="131" t="s">
        <v>57</v>
      </c>
      <c r="R73" s="131"/>
      <c r="S73" s="131" t="s">
        <v>679</v>
      </c>
      <c r="T73" s="131" t="s">
        <v>274</v>
      </c>
      <c r="U73" s="131" t="s">
        <v>245</v>
      </c>
      <c r="V73" s="138">
        <v>45937</v>
      </c>
      <c r="W73" s="138">
        <v>46302</v>
      </c>
      <c r="X73" s="132">
        <f ca="1">W73-TODAY()</f>
        <v>217</v>
      </c>
      <c r="Y73" s="132" t="str">
        <f ca="1">IF(X73&gt;=25,"Vigente",IF(AND(X73&gt;=1,X73&lt;=25),"Por Vencer","Vencido"))</f>
        <v>Vigente</v>
      </c>
      <c r="Z73" s="131"/>
      <c r="AA73" s="131"/>
      <c r="AB73" s="131" t="s">
        <v>257</v>
      </c>
      <c r="AC73" s="152"/>
    </row>
    <row r="74" spans="1:29" customFormat="1" ht="44.25" hidden="1">
      <c r="A74" s="142">
        <v>51</v>
      </c>
      <c r="B74" s="134" t="s">
        <v>680</v>
      </c>
      <c r="C74" s="130">
        <v>6435946</v>
      </c>
      <c r="D74" s="130">
        <v>0</v>
      </c>
      <c r="E74" s="130"/>
      <c r="F74" s="141">
        <v>74</v>
      </c>
      <c r="G74" s="141"/>
      <c r="H74" s="131" t="s">
        <v>681</v>
      </c>
      <c r="I74" s="130" t="s">
        <v>682</v>
      </c>
      <c r="J74" s="131">
        <v>2023</v>
      </c>
      <c r="K74" s="131">
        <v>2023</v>
      </c>
      <c r="L74" s="131" t="s">
        <v>50</v>
      </c>
      <c r="M74" s="131" t="s">
        <v>271</v>
      </c>
      <c r="N74" s="133">
        <v>45427</v>
      </c>
      <c r="O74" s="131" t="s">
        <v>683</v>
      </c>
      <c r="P74" s="131" t="s">
        <v>291</v>
      </c>
      <c r="Q74" s="131" t="s">
        <v>92</v>
      </c>
      <c r="R74" s="131" t="s">
        <v>684</v>
      </c>
      <c r="S74" s="131" t="s">
        <v>685</v>
      </c>
      <c r="T74" s="131" t="s">
        <v>345</v>
      </c>
      <c r="U74" s="131" t="s">
        <v>245</v>
      </c>
      <c r="V74" s="133">
        <v>45666</v>
      </c>
      <c r="W74" s="133">
        <v>45847</v>
      </c>
      <c r="X74" s="132">
        <f ca="1">W74-TODAY()</f>
        <v>-238</v>
      </c>
      <c r="Y74" s="132" t="str">
        <f ca="1">IF(X74&gt;=25,"Vigente",IF(AND(X74&gt;=1,X74&lt;=25),"Por Vencer","Vencido"))</f>
        <v>Vencido</v>
      </c>
      <c r="Z74" s="130" t="s">
        <v>686</v>
      </c>
      <c r="AA74" s="130"/>
      <c r="AB74" s="131" t="s">
        <v>257</v>
      </c>
      <c r="AC74" s="152"/>
    </row>
    <row r="75" spans="1:29" customFormat="1" ht="29.25">
      <c r="A75" s="142">
        <v>54</v>
      </c>
      <c r="B75" s="130" t="s">
        <v>687</v>
      </c>
      <c r="C75" s="130">
        <v>15043245</v>
      </c>
      <c r="D75" s="130">
        <v>6</v>
      </c>
      <c r="E75" s="130"/>
      <c r="F75" s="141">
        <v>40</v>
      </c>
      <c r="G75" s="141"/>
      <c r="H75" s="131" t="s">
        <v>71</v>
      </c>
      <c r="I75" s="130" t="s">
        <v>688</v>
      </c>
      <c r="J75" s="140" t="s">
        <v>689</v>
      </c>
      <c r="K75" s="140" t="s">
        <v>689</v>
      </c>
      <c r="L75" s="131" t="s">
        <v>50</v>
      </c>
      <c r="M75" s="131" t="s">
        <v>229</v>
      </c>
      <c r="N75" s="131" t="s">
        <v>272</v>
      </c>
      <c r="O75" s="131" t="s">
        <v>272</v>
      </c>
      <c r="P75" s="131" t="s">
        <v>69</v>
      </c>
      <c r="Q75" s="131" t="s">
        <v>92</v>
      </c>
      <c r="R75" s="131" t="s">
        <v>690</v>
      </c>
      <c r="S75" s="130" t="s">
        <v>691</v>
      </c>
      <c r="T75" s="131" t="s">
        <v>60</v>
      </c>
      <c r="U75" s="131" t="s">
        <v>326</v>
      </c>
      <c r="V75" s="131"/>
      <c r="W75" s="131"/>
      <c r="X75" s="132">
        <f ca="1">W75-TODAY()</f>
        <v>-46085</v>
      </c>
      <c r="Y75" s="132" t="str">
        <f ca="1">IF(X75&gt;=25,"Vigente",IF(AND(X75&gt;=1,X75&lt;=25),"Por Vencer","Vencido"))</f>
        <v>Vencido</v>
      </c>
      <c r="Z75" s="130"/>
      <c r="AA75" s="130"/>
      <c r="AB75" s="131" t="s">
        <v>257</v>
      </c>
      <c r="AC75" s="152"/>
    </row>
    <row r="76" spans="1:29" customFormat="1" ht="15" hidden="1">
      <c r="A76" s="142">
        <v>75</v>
      </c>
      <c r="B76" s="130" t="s">
        <v>692</v>
      </c>
      <c r="C76" s="130">
        <v>7918560</v>
      </c>
      <c r="D76" s="130">
        <v>4</v>
      </c>
      <c r="E76" s="133">
        <v>45099</v>
      </c>
      <c r="F76" s="141">
        <v>67</v>
      </c>
      <c r="G76" s="141"/>
      <c r="H76" s="131" t="s">
        <v>71</v>
      </c>
      <c r="I76" s="131" t="s">
        <v>693</v>
      </c>
      <c r="J76" s="133">
        <v>43878</v>
      </c>
      <c r="K76" s="133">
        <v>43878</v>
      </c>
      <c r="L76" s="131" t="s">
        <v>175</v>
      </c>
      <c r="M76" s="131" t="s">
        <v>271</v>
      </c>
      <c r="N76" s="131" t="s">
        <v>175</v>
      </c>
      <c r="O76" s="131" t="s">
        <v>175</v>
      </c>
      <c r="P76" s="131" t="s">
        <v>69</v>
      </c>
      <c r="Q76" s="131" t="s">
        <v>57</v>
      </c>
      <c r="R76" s="131"/>
      <c r="S76" s="131" t="s">
        <v>694</v>
      </c>
      <c r="T76" s="131" t="s">
        <v>345</v>
      </c>
      <c r="U76" s="131" t="s">
        <v>695</v>
      </c>
      <c r="V76" s="138">
        <v>46035</v>
      </c>
      <c r="W76" s="138">
        <v>46094</v>
      </c>
      <c r="X76" s="132">
        <f ca="1">W76-TODAY()</f>
        <v>9</v>
      </c>
      <c r="Y76" s="132" t="str">
        <f ca="1">IF(X76&gt;=25,"Vigente",IF(AND(X76&gt;=1,X76&lt;=25),"Por Vencer","Vencido"))</f>
        <v>Por Vencer</v>
      </c>
      <c r="Z76" s="131"/>
      <c r="AA76" s="131" t="s">
        <v>50</v>
      </c>
      <c r="AB76" s="131" t="s">
        <v>257</v>
      </c>
      <c r="AC76" s="152"/>
    </row>
    <row r="77" spans="1:29" customFormat="1" ht="15" hidden="1">
      <c r="A77" s="142">
        <v>76</v>
      </c>
      <c r="B77" s="130" t="s">
        <v>696</v>
      </c>
      <c r="C77" s="130">
        <v>6094604</v>
      </c>
      <c r="D77" s="130">
        <v>3</v>
      </c>
      <c r="E77" s="138">
        <v>17801</v>
      </c>
      <c r="F77" s="141">
        <v>77</v>
      </c>
      <c r="G77" s="141"/>
      <c r="H77" s="131" t="s">
        <v>71</v>
      </c>
      <c r="I77" s="131" t="s">
        <v>697</v>
      </c>
      <c r="J77" s="133">
        <v>45316</v>
      </c>
      <c r="K77" s="133">
        <v>45316</v>
      </c>
      <c r="L77" s="131" t="s">
        <v>175</v>
      </c>
      <c r="M77" s="131" t="s">
        <v>271</v>
      </c>
      <c r="N77" s="131" t="s">
        <v>175</v>
      </c>
      <c r="O77" s="131" t="s">
        <v>175</v>
      </c>
      <c r="P77" s="131" t="s">
        <v>69</v>
      </c>
      <c r="Q77" s="131" t="s">
        <v>57</v>
      </c>
      <c r="R77" s="131"/>
      <c r="S77" s="131" t="s">
        <v>679</v>
      </c>
      <c r="T77" s="131" t="s">
        <v>274</v>
      </c>
      <c r="U77" s="131" t="s">
        <v>313</v>
      </c>
      <c r="V77" s="138">
        <v>45727</v>
      </c>
      <c r="W77" s="138">
        <v>46092</v>
      </c>
      <c r="X77" s="132">
        <f ca="1">W77-TODAY()</f>
        <v>7</v>
      </c>
      <c r="Y77" s="132" t="str">
        <f ca="1">IF(X77&gt;=25,"Vigente",IF(AND(X77&gt;=1,X77&lt;=25),"Por Vencer","Vencido"))</f>
        <v>Por Vencer</v>
      </c>
      <c r="Z77" s="131"/>
      <c r="AA77" s="131"/>
      <c r="AB77" s="131" t="s">
        <v>257</v>
      </c>
      <c r="AC77" s="152"/>
    </row>
    <row r="78" spans="1:29" customFormat="1" ht="29.25" hidden="1">
      <c r="A78" s="142">
        <v>67</v>
      </c>
      <c r="B78" s="130" t="s">
        <v>698</v>
      </c>
      <c r="C78" s="130">
        <v>6654365</v>
      </c>
      <c r="D78" s="130" t="s">
        <v>216</v>
      </c>
      <c r="E78" s="130"/>
      <c r="F78" s="141">
        <v>71</v>
      </c>
      <c r="G78" s="141"/>
      <c r="H78" s="131" t="s">
        <v>359</v>
      </c>
      <c r="I78" s="130" t="s">
        <v>699</v>
      </c>
      <c r="J78" s="131">
        <v>2021</v>
      </c>
      <c r="K78" s="131">
        <v>2021</v>
      </c>
      <c r="L78" s="131" t="s">
        <v>28</v>
      </c>
      <c r="M78" s="131" t="s">
        <v>271</v>
      </c>
      <c r="N78" s="131">
        <v>2021</v>
      </c>
      <c r="O78" s="131" t="s">
        <v>700</v>
      </c>
      <c r="P78" s="131" t="s">
        <v>69</v>
      </c>
      <c r="Q78" s="131" t="s">
        <v>57</v>
      </c>
      <c r="R78" s="131"/>
      <c r="S78" s="131" t="s">
        <v>701</v>
      </c>
      <c r="T78" s="131" t="s">
        <v>118</v>
      </c>
      <c r="U78" s="131" t="s">
        <v>275</v>
      </c>
      <c r="V78" s="133">
        <v>46038</v>
      </c>
      <c r="W78" s="133">
        <v>46069</v>
      </c>
      <c r="X78" s="132">
        <f ca="1">W78-TODAY()</f>
        <v>-16</v>
      </c>
      <c r="Y78" s="132" t="str">
        <f ca="1">IF(X78&gt;=25,"Vigente",IF(AND(X78&gt;=1,X78&lt;=25),"Por Vencer","Vencido"))</f>
        <v>Vencido</v>
      </c>
      <c r="Z78" s="130" t="s">
        <v>702</v>
      </c>
      <c r="AA78" s="130"/>
      <c r="AB78" s="131" t="s">
        <v>257</v>
      </c>
      <c r="AC78" s="152"/>
    </row>
    <row r="79" spans="1:29" customFormat="1" ht="15">
      <c r="A79" s="142">
        <v>78</v>
      </c>
      <c r="B79" s="130" t="s">
        <v>703</v>
      </c>
      <c r="C79" s="130">
        <v>13749770</v>
      </c>
      <c r="D79" s="130">
        <v>0</v>
      </c>
      <c r="E79" s="138">
        <v>29286</v>
      </c>
      <c r="F79" s="141">
        <v>45</v>
      </c>
      <c r="G79" s="141"/>
      <c r="H79" s="131" t="s">
        <v>71</v>
      </c>
      <c r="I79" s="131" t="s">
        <v>704</v>
      </c>
      <c r="J79" s="133">
        <v>44999</v>
      </c>
      <c r="K79" s="133">
        <v>44999</v>
      </c>
      <c r="L79" s="131" t="s">
        <v>175</v>
      </c>
      <c r="M79" s="131" t="s">
        <v>271</v>
      </c>
      <c r="N79" s="133">
        <v>44999</v>
      </c>
      <c r="O79" s="131" t="s">
        <v>271</v>
      </c>
      <c r="P79" s="131" t="s">
        <v>69</v>
      </c>
      <c r="Q79" s="131" t="s">
        <v>57</v>
      </c>
      <c r="R79" s="131"/>
      <c r="S79" s="131" t="s">
        <v>488</v>
      </c>
      <c r="T79" s="131" t="s">
        <v>244</v>
      </c>
      <c r="U79" s="131" t="s">
        <v>326</v>
      </c>
      <c r="V79" s="138">
        <v>46035</v>
      </c>
      <c r="W79" s="138">
        <v>46125</v>
      </c>
      <c r="X79" s="132">
        <f t="shared" ref="X79" ca="1" si="0">W79-TODAY()</f>
        <v>40</v>
      </c>
      <c r="Y79" s="132" t="str">
        <f t="shared" ref="Y79" ca="1" si="1">IF(X79&gt;=25,"Vigente",IF(AND(X79&gt;=1,X79&lt;=25),"Por Vencer","Vencido"))</f>
        <v>Vigente</v>
      </c>
      <c r="Z79" s="131"/>
      <c r="AA79" s="131"/>
      <c r="AB79" s="131" t="s">
        <v>257</v>
      </c>
      <c r="AC79" s="152"/>
    </row>
    <row r="80" spans="1:29" customFormat="1" ht="15" hidden="1">
      <c r="A80" s="142">
        <v>79</v>
      </c>
      <c r="B80" s="130" t="s">
        <v>705</v>
      </c>
      <c r="C80" s="130">
        <v>9530993</v>
      </c>
      <c r="D80" s="130">
        <v>3</v>
      </c>
      <c r="E80" s="138">
        <v>23067</v>
      </c>
      <c r="F80" s="141">
        <v>62</v>
      </c>
      <c r="G80" s="141"/>
      <c r="H80" s="131" t="s">
        <v>71</v>
      </c>
      <c r="I80" s="131" t="s">
        <v>704</v>
      </c>
      <c r="J80" s="131" t="s">
        <v>706</v>
      </c>
      <c r="K80" s="133">
        <v>45073</v>
      </c>
      <c r="L80" s="131" t="s">
        <v>175</v>
      </c>
      <c r="M80" s="131" t="s">
        <v>271</v>
      </c>
      <c r="N80" s="133">
        <v>45021</v>
      </c>
      <c r="O80" s="131" t="s">
        <v>271</v>
      </c>
      <c r="P80" s="131" t="s">
        <v>69</v>
      </c>
      <c r="Q80" s="131" t="s">
        <v>92</v>
      </c>
      <c r="R80" s="131"/>
      <c r="S80" s="131" t="s">
        <v>488</v>
      </c>
      <c r="T80" s="131" t="s">
        <v>244</v>
      </c>
      <c r="U80" s="131" t="s">
        <v>313</v>
      </c>
      <c r="V80" s="138">
        <v>45797</v>
      </c>
      <c r="W80" s="138">
        <v>45889</v>
      </c>
      <c r="X80" s="132">
        <f t="shared" ref="X80" ca="1" si="2">W80-TODAY()</f>
        <v>-196</v>
      </c>
      <c r="Y80" s="132" t="str">
        <f t="shared" ref="Y80" ca="1" si="3">IF(X80&gt;=25,"Vigente",IF(AND(X80&gt;=1,X80&lt;=25),"Por Vencer","Vencido"))</f>
        <v>Vencido</v>
      </c>
      <c r="Z80" s="131" t="s">
        <v>707</v>
      </c>
      <c r="AA80" s="131" t="s">
        <v>674</v>
      </c>
      <c r="AB80" s="131" t="s">
        <v>257</v>
      </c>
      <c r="AC80" s="152"/>
    </row>
    <row r="81" spans="1:29" customFormat="1" ht="15">
      <c r="A81" s="142">
        <v>80</v>
      </c>
      <c r="B81" s="130" t="s">
        <v>708</v>
      </c>
      <c r="C81" s="130">
        <v>15023568</v>
      </c>
      <c r="D81" s="130">
        <v>5</v>
      </c>
      <c r="E81" s="138">
        <v>30333</v>
      </c>
      <c r="F81" s="141">
        <v>43</v>
      </c>
      <c r="G81" s="141"/>
      <c r="H81" s="131" t="s">
        <v>71</v>
      </c>
      <c r="I81" s="131" t="s">
        <v>704</v>
      </c>
      <c r="J81" s="133">
        <v>44526</v>
      </c>
      <c r="K81" s="133">
        <v>44526</v>
      </c>
      <c r="L81" s="131" t="s">
        <v>175</v>
      </c>
      <c r="M81" s="131" t="s">
        <v>271</v>
      </c>
      <c r="N81" s="133">
        <v>45245</v>
      </c>
      <c r="O81" s="131" t="s">
        <v>271</v>
      </c>
      <c r="P81" s="131" t="s">
        <v>69</v>
      </c>
      <c r="Q81" s="131" t="s">
        <v>57</v>
      </c>
      <c r="R81" s="131"/>
      <c r="S81" s="130" t="s">
        <v>709</v>
      </c>
      <c r="T81" s="131" t="s">
        <v>345</v>
      </c>
      <c r="U81" s="131" t="s">
        <v>326</v>
      </c>
      <c r="V81" s="138">
        <v>45887</v>
      </c>
      <c r="W81" s="138">
        <v>46071</v>
      </c>
      <c r="X81" s="132">
        <f t="shared" ref="X81" ca="1" si="4">W81-TODAY()</f>
        <v>-14</v>
      </c>
      <c r="Y81" s="132" t="str">
        <f t="shared" ref="Y81" ca="1" si="5">IF(X81&gt;=25,"Vigente",IF(AND(X81&gt;=1,X81&lt;=25),"Por Vencer","Vencido"))</f>
        <v>Vencido</v>
      </c>
      <c r="Z81" s="131"/>
      <c r="AA81" s="131"/>
      <c r="AB81" s="131" t="s">
        <v>257</v>
      </c>
      <c r="AC81" s="152"/>
    </row>
    <row r="82" spans="1:29" ht="40.5">
      <c r="A82" s="154"/>
      <c r="B82" s="155" t="s">
        <v>710</v>
      </c>
      <c r="C82" s="155">
        <v>3966186</v>
      </c>
      <c r="D82" s="155">
        <v>1</v>
      </c>
      <c r="E82" s="156"/>
      <c r="F82" s="157">
        <v>85</v>
      </c>
      <c r="G82" s="145"/>
      <c r="H82" s="158" t="s">
        <v>71</v>
      </c>
      <c r="I82" s="155" t="s">
        <v>711</v>
      </c>
      <c r="J82" s="159">
        <v>2025</v>
      </c>
      <c r="K82" s="159">
        <v>46064</v>
      </c>
      <c r="L82" s="159" t="s">
        <v>50</v>
      </c>
      <c r="M82" s="158" t="s">
        <v>271</v>
      </c>
      <c r="N82" s="159" t="s">
        <v>272</v>
      </c>
      <c r="O82" s="155" t="s">
        <v>272</v>
      </c>
      <c r="P82" s="158" t="s">
        <v>69</v>
      </c>
      <c r="Q82" s="158" t="s">
        <v>57</v>
      </c>
      <c r="R82" s="158"/>
      <c r="S82" s="155" t="s">
        <v>712</v>
      </c>
      <c r="T82" s="158" t="s">
        <v>294</v>
      </c>
      <c r="U82" s="158" t="s">
        <v>245</v>
      </c>
      <c r="V82" s="156">
        <v>46079</v>
      </c>
      <c r="W82" s="156">
        <v>46107</v>
      </c>
      <c r="X82" s="160">
        <f ca="1">W82-TODAY()</f>
        <v>22</v>
      </c>
      <c r="Y82" s="161" t="str">
        <f ca="1">IF(X82&gt;=25,"Vigente",IF(AND(X82&gt;=1,X82&lt;=25),"Por Vencer","Vencido"))</f>
        <v>Por Vencer</v>
      </c>
      <c r="Z82" s="155"/>
      <c r="AA82" s="155"/>
      <c r="AB82" s="131" t="s">
        <v>237</v>
      </c>
      <c r="AC82" s="162" t="s">
        <v>713</v>
      </c>
    </row>
    <row r="83" spans="1:29" ht="53.25">
      <c r="A83" s="154"/>
      <c r="B83" s="155" t="s">
        <v>714</v>
      </c>
      <c r="C83" s="155">
        <v>4365089</v>
      </c>
      <c r="D83" s="155">
        <v>0</v>
      </c>
      <c r="E83" s="156"/>
      <c r="F83" s="157">
        <v>86</v>
      </c>
      <c r="G83" s="145"/>
      <c r="H83" s="158" t="s">
        <v>71</v>
      </c>
      <c r="I83" s="155" t="s">
        <v>715</v>
      </c>
      <c r="J83" s="159">
        <v>46064</v>
      </c>
      <c r="K83" s="159">
        <v>46075</v>
      </c>
      <c r="L83" s="158" t="s">
        <v>50</v>
      </c>
      <c r="M83" s="158" t="s">
        <v>271</v>
      </c>
      <c r="N83" s="159" t="s">
        <v>272</v>
      </c>
      <c r="O83" s="155" t="s">
        <v>272</v>
      </c>
      <c r="P83" s="158" t="s">
        <v>69</v>
      </c>
      <c r="Q83" s="158" t="s">
        <v>57</v>
      </c>
      <c r="R83" s="158"/>
      <c r="S83" s="155" t="s">
        <v>712</v>
      </c>
      <c r="T83" s="158" t="s">
        <v>294</v>
      </c>
      <c r="U83" s="158" t="s">
        <v>245</v>
      </c>
      <c r="V83" s="156">
        <v>46079</v>
      </c>
      <c r="W83" s="156">
        <v>46107</v>
      </c>
      <c r="X83" s="160">
        <f ca="1">W83-TODAY()</f>
        <v>22</v>
      </c>
      <c r="Y83" s="161" t="str">
        <f ca="1">IF(X83&gt;=25,"Vigente",IF(AND(X83&gt;=1,X83&lt;=25),"Por Vencer","Vencido"))</f>
        <v>Por Vencer</v>
      </c>
      <c r="Z83" s="155"/>
      <c r="AA83" s="155"/>
      <c r="AB83" s="131" t="s">
        <v>237</v>
      </c>
      <c r="AC83" s="162" t="s">
        <v>713</v>
      </c>
    </row>
    <row r="85" spans="1:29" ht="15.75">
      <c r="V85" s="128">
        <v>45925</v>
      </c>
      <c r="W85" s="128">
        <v>45955</v>
      </c>
      <c r="X85" s="126">
        <f t="shared" ref="X85" ca="1" si="6">W85-TODAY()</f>
        <v>-130</v>
      </c>
      <c r="Y85" s="129" t="str">
        <f t="shared" ref="Y85" ca="1" si="7">IF(X85&gt;=25,"Vigente",IF(AND(X85&gt;=1,X85&lt;=25),"Por Vencer","Vencido"))</f>
        <v>Vencido</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workbookViewId="0">
      <selection activeCell="B2" sqref="B2"/>
    </sheetView>
  </sheetViews>
  <sheetFormatPr defaultColWidth="11" defaultRowHeight="15"/>
  <cols>
    <col min="1" max="1" width="32" customWidth="1"/>
    <col min="2" max="2" width="23" customWidth="1"/>
    <col min="3" max="3" width="3.625" customWidth="1"/>
    <col min="4" max="4" width="40.125" style="1" customWidth="1"/>
  </cols>
  <sheetData>
    <row r="1" spans="1:5">
      <c r="A1" s="168" t="s">
        <v>716</v>
      </c>
      <c r="B1" s="168"/>
      <c r="C1" s="168"/>
      <c r="D1" s="168"/>
    </row>
    <row r="2" spans="1:5">
      <c r="A2" s="119" t="s">
        <v>408</v>
      </c>
      <c r="B2" s="119" t="s">
        <v>717</v>
      </c>
      <c r="C2" s="119"/>
      <c r="D2" s="105" t="s">
        <v>718</v>
      </c>
      <c r="E2" s="4"/>
    </row>
    <row r="3" spans="1:5">
      <c r="A3" s="119" t="s">
        <v>444</v>
      </c>
      <c r="B3" s="119" t="s">
        <v>719</v>
      </c>
      <c r="C3" s="119"/>
      <c r="D3" s="105" t="s">
        <v>720</v>
      </c>
      <c r="E3" t="s">
        <v>721</v>
      </c>
    </row>
    <row r="4" spans="1:5" ht="16.5">
      <c r="A4" s="90" t="s">
        <v>381</v>
      </c>
      <c r="B4" s="91" t="s">
        <v>722</v>
      </c>
      <c r="C4" s="91"/>
      <c r="D4" s="105" t="s">
        <v>723</v>
      </c>
    </row>
    <row r="5" spans="1:5" ht="16.5">
      <c r="A5" s="90" t="s">
        <v>502</v>
      </c>
      <c r="B5" s="91" t="s">
        <v>724</v>
      </c>
      <c r="C5" s="91"/>
      <c r="D5" s="120" t="s">
        <v>725</v>
      </c>
    </row>
    <row r="6" spans="1:5" ht="13.5"/>
    <row r="7" spans="1:5">
      <c r="A7" s="169" t="s">
        <v>726</v>
      </c>
      <c r="B7" s="169"/>
      <c r="C7" s="169"/>
      <c r="D7" s="169"/>
    </row>
    <row r="8" spans="1:5" ht="33">
      <c r="A8" s="90" t="s">
        <v>653</v>
      </c>
      <c r="B8" s="91" t="s">
        <v>727</v>
      </c>
      <c r="C8" s="91"/>
      <c r="D8" s="95" t="s">
        <v>728</v>
      </c>
      <c r="E8" t="s">
        <v>729</v>
      </c>
    </row>
    <row r="9" spans="1:5" ht="16.5">
      <c r="A9" s="90" t="s">
        <v>497</v>
      </c>
      <c r="B9" s="103" t="s">
        <v>730</v>
      </c>
      <c r="C9" s="91"/>
      <c r="D9" s="104" t="s">
        <v>731</v>
      </c>
      <c r="E9" t="s">
        <v>732</v>
      </c>
    </row>
    <row r="10" spans="1:5">
      <c r="A10" s="105" t="s">
        <v>672</v>
      </c>
      <c r="B10" s="94" t="s">
        <v>733</v>
      </c>
      <c r="C10" s="94"/>
      <c r="D10" s="106" t="s">
        <v>734</v>
      </c>
      <c r="E10" t="s">
        <v>735</v>
      </c>
    </row>
    <row r="11" spans="1:5" ht="30.75">
      <c r="A11" s="90" t="s">
        <v>572</v>
      </c>
      <c r="B11" s="91">
        <v>5585793</v>
      </c>
      <c r="C11" s="91">
        <v>8</v>
      </c>
      <c r="D11" s="106" t="s">
        <v>736</v>
      </c>
      <c r="E11" t="s">
        <v>737</v>
      </c>
    </row>
    <row r="12" spans="1:5">
      <c r="A12" s="98" t="s">
        <v>680</v>
      </c>
      <c r="B12" s="91">
        <v>6435946</v>
      </c>
      <c r="C12" s="91">
        <v>0</v>
      </c>
      <c r="D12" s="106" t="s">
        <v>738</v>
      </c>
      <c r="E12" t="s">
        <v>739</v>
      </c>
    </row>
    <row r="13" spans="1:5">
      <c r="A13" s="90" t="s">
        <v>288</v>
      </c>
      <c r="B13" s="91">
        <v>7007068</v>
      </c>
      <c r="C13" s="91">
        <v>5</v>
      </c>
      <c r="D13" s="106" t="s">
        <v>736</v>
      </c>
      <c r="E13" t="s">
        <v>740</v>
      </c>
    </row>
    <row r="14" spans="1:5">
      <c r="A14" s="3" t="s">
        <v>635</v>
      </c>
      <c r="B14" s="10">
        <v>14314112</v>
      </c>
      <c r="C14" s="10">
        <v>8</v>
      </c>
      <c r="D14" s="106" t="s">
        <v>734</v>
      </c>
      <c r="E14" t="s">
        <v>741</v>
      </c>
    </row>
    <row r="15" spans="1:5">
      <c r="A15" s="90" t="s">
        <v>612</v>
      </c>
      <c r="B15" s="91">
        <v>8257472</v>
      </c>
      <c r="C15" s="91">
        <v>7</v>
      </c>
      <c r="D15" s="120" t="s">
        <v>742</v>
      </c>
      <c r="E15" t="s">
        <v>743</v>
      </c>
    </row>
    <row r="16" spans="1:5" ht="13.5">
      <c r="A16" s="94"/>
      <c r="B16" s="94"/>
      <c r="C16" s="94"/>
      <c r="D16" s="95"/>
    </row>
    <row r="18" ht="13.5"/>
    <row r="19" ht="13.5"/>
    <row r="20" ht="13.5"/>
    <row r="22" ht="13.5"/>
    <row r="24" ht="13.5"/>
  </sheetData>
  <mergeCells count="2">
    <mergeCell ref="A1:D1"/>
    <mergeCell ref="A7:D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4CCB-AF72-4D8E-8DD2-0F8020608716}">
  <dimension ref="A1:G4"/>
  <sheetViews>
    <sheetView workbookViewId="0">
      <selection activeCell="F8" sqref="F8"/>
    </sheetView>
  </sheetViews>
  <sheetFormatPr defaultColWidth="11" defaultRowHeight="15"/>
  <cols>
    <col min="1" max="1" width="22.125" customWidth="1"/>
    <col min="2" max="2" width="9.375" customWidth="1"/>
    <col min="3" max="3" width="4.125" customWidth="1"/>
    <col min="4" max="4" width="7.875" customWidth="1"/>
    <col min="6" max="6" width="23" customWidth="1"/>
    <col min="7" max="7" width="29.375" customWidth="1"/>
  </cols>
  <sheetData>
    <row r="1" spans="1:7">
      <c r="A1" s="170" t="s">
        <v>744</v>
      </c>
      <c r="B1" s="171"/>
      <c r="C1" s="171"/>
      <c r="D1" s="171"/>
      <c r="E1" s="171"/>
      <c r="F1" s="171"/>
      <c r="G1" s="172"/>
    </row>
    <row r="2" spans="1:7">
      <c r="A2" s="80" t="s">
        <v>297</v>
      </c>
      <c r="B2" s="80" t="s">
        <v>298</v>
      </c>
      <c r="C2" s="102" t="s">
        <v>3</v>
      </c>
      <c r="D2" s="102" t="s">
        <v>745</v>
      </c>
      <c r="E2" s="102" t="s">
        <v>746</v>
      </c>
      <c r="F2" s="102" t="s">
        <v>229</v>
      </c>
      <c r="G2" s="102" t="s">
        <v>747</v>
      </c>
    </row>
    <row r="3" spans="1:7" ht="30">
      <c r="A3" s="3" t="s">
        <v>522</v>
      </c>
      <c r="B3" s="61">
        <v>9442686</v>
      </c>
      <c r="C3" s="91">
        <v>3</v>
      </c>
      <c r="D3" s="91">
        <v>62</v>
      </c>
      <c r="E3" s="91" t="s">
        <v>47</v>
      </c>
      <c r="F3" s="91" t="s">
        <v>748</v>
      </c>
      <c r="G3" s="101" t="s">
        <v>621</v>
      </c>
    </row>
    <row r="4" spans="1:7" ht="33">
      <c r="A4" s="3" t="s">
        <v>558</v>
      </c>
      <c r="B4" s="61">
        <v>5739252</v>
      </c>
      <c r="C4" s="91">
        <v>5</v>
      </c>
      <c r="D4" s="94">
        <v>77</v>
      </c>
      <c r="E4" s="94" t="s">
        <v>64</v>
      </c>
      <c r="F4" s="95" t="s">
        <v>559</v>
      </c>
      <c r="G4" s="94" t="s">
        <v>749</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920890E513590489C491798FB2D34E1" ma:contentTypeVersion="3" ma:contentTypeDescription="Crear nuevo documento." ma:contentTypeScope="" ma:versionID="669702fb992fc1133f9b178ab376ca3f">
  <xsd:schema xmlns:xsd="http://www.w3.org/2001/XMLSchema" xmlns:xs="http://www.w3.org/2001/XMLSchema" xmlns:p="http://schemas.microsoft.com/office/2006/metadata/properties" xmlns:ns2="13caeeff-fc89-4e54-8ff7-5d5e5986c583" targetNamespace="http://schemas.microsoft.com/office/2006/metadata/properties" ma:root="true" ma:fieldsID="182f1d80fb21fb810ba2b0cf6370c5a3" ns2:_="">
    <xsd:import namespace="13caeeff-fc89-4e54-8ff7-5d5e5986c5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caeeff-fc89-4e54-8ff7-5d5e5986c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2D87FE-8691-4A59-882A-AEC2EDF21BCC}"/>
</file>

<file path=customXml/itemProps2.xml><?xml version="1.0" encoding="utf-8"?>
<ds:datastoreItem xmlns:ds="http://schemas.openxmlformats.org/officeDocument/2006/customXml" ds:itemID="{06733A85-B0E0-4CC2-88F5-A2DF76D49122}"/>
</file>

<file path=customXml/itemProps3.xml><?xml version="1.0" encoding="utf-8"?>
<ds:datastoreItem xmlns:ds="http://schemas.openxmlformats.org/officeDocument/2006/customXml" ds:itemID="{BC87B14E-B69A-461E-8111-B81E8ED046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Hospital Provincial Ovalle</dc:creator>
  <cp:keywords/>
  <dc:description/>
  <cp:lastModifiedBy/>
  <cp:revision/>
  <dcterms:created xsi:type="dcterms:W3CDTF">2023-12-05T16:03:00Z</dcterms:created>
  <dcterms:modified xsi:type="dcterms:W3CDTF">2026-03-04T03:39:44Z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C28058A96D7A46E2935786464496E185_12</vt:lpwstr>
  </property>
  <property fmtid="{D5CDD505-2E9C-101B-9397-08002B2CF9AE}" pid="3" name="KSOProductBuildVer">
    <vt:lpwstr>3082-12.2.0.20782</vt:lpwstr>
  </property>
  <property fmtid="{D5CDD505-2E9C-101B-9397-08002B2CF9AE}" pid="4" name="ContentTypeId">
    <vt:lpwstr>0x010100E920890E513590489C491798FB2D34E1</vt:lpwstr>
  </property>
</Properties>
</file>