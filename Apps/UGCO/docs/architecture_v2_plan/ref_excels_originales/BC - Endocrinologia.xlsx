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/>
  <mc:AlternateContent xmlns:mc="http://schemas.openxmlformats.org/markup-compatibility/2006">
    <mc:Choice Requires="x15">
      <x15ac:absPath xmlns:x15ac="http://schemas.microsoft.com/office/spreadsheetml/2010/11/ac" url="O:\Gestión de casos Oncologicos\BIENVENIDOS A BAJO CONTROL\ESPECIALIDADES\"/>
    </mc:Choice>
  </mc:AlternateContent>
  <xr:revisionPtr revIDLastSave="0" documentId="8_{D7A267FE-703A-4256-B5B5-7FAFCCD1BAD7}" xr6:coauthVersionLast="47" xr6:coauthVersionMax="47" xr10:uidLastSave="{00000000-0000-0000-0000-000000000000}"/>
  <bookViews>
    <workbookView xWindow="-120" yWindow="-120" windowWidth="29040" windowHeight="15840" tabRatio="558" firstSheet="2" activeTab="2" xr2:uid="{00000000-000D-0000-FFFF-FFFF00000000}"/>
  </bookViews>
  <sheets>
    <sheet name="SIMBOLOGIA" sheetId="10" r:id="rId1"/>
    <sheet name="EGRESOS" sheetId="2" r:id="rId2"/>
    <sheet name="BAJO CONTROL " sheetId="1" r:id="rId3"/>
  </sheets>
  <definedNames>
    <definedName name="_xlnm._FilterDatabase" localSheetId="2" hidden="1">'BAJO CONTROL '!$A$4:$GW$230</definedName>
    <definedName name="_xlnm._FilterDatabase" localSheetId="1" hidden="1">EGRESOS!$B$1:$B$81</definedName>
    <definedName name="Estad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2" i="1" l="1"/>
  <c r="W232" i="1" s="1"/>
  <c r="V233" i="1"/>
  <c r="W233" i="1" s="1"/>
  <c r="V234" i="1"/>
  <c r="W234" i="1" s="1"/>
  <c r="V235" i="1"/>
  <c r="W235" i="1" s="1"/>
  <c r="V13" i="2"/>
  <c r="W13" i="2" s="1"/>
  <c r="V12" i="2"/>
  <c r="W12" i="2" s="1"/>
  <c r="V230" i="1"/>
  <c r="W230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06" i="1"/>
  <c r="W206" i="1" s="1"/>
  <c r="V120" i="1"/>
  <c r="W120" i="1" s="1"/>
  <c r="V94" i="1"/>
  <c r="V53" i="1"/>
  <c r="V185" i="1"/>
  <c r="W185" i="1" s="1"/>
  <c r="V160" i="1"/>
  <c r="W160" i="1" s="1"/>
  <c r="V63" i="1"/>
  <c r="W63" i="1" s="1"/>
  <c r="V210" i="1"/>
  <c r="W210" i="1" s="1"/>
  <c r="S159" i="1"/>
  <c r="V140" i="1"/>
  <c r="W140" i="1" s="1"/>
  <c r="V163" i="1"/>
  <c r="W163" i="1" s="1"/>
  <c r="V199" i="1" l="1"/>
  <c r="W199" i="1" s="1"/>
  <c r="V136" i="1"/>
  <c r="V96" i="1"/>
  <c r="W96" i="1" s="1"/>
  <c r="V39" i="1"/>
  <c r="W39" i="1" s="1"/>
  <c r="V119" i="1" l="1"/>
  <c r="W119" i="1" s="1"/>
  <c r="V13" i="1" l="1"/>
  <c r="W13" i="1" s="1"/>
  <c r="V198" i="1"/>
  <c r="W198" i="1" s="1"/>
  <c r="V9" i="1"/>
  <c r="W9" i="1" s="1"/>
  <c r="V165" i="1"/>
  <c r="W165" i="1" s="1"/>
  <c r="V208" i="1"/>
  <c r="W208" i="1" s="1"/>
  <c r="V129" i="1"/>
  <c r="W129" i="1" s="1"/>
  <c r="V45" i="1" l="1"/>
  <c r="W45" i="1" s="1"/>
  <c r="V176" i="1"/>
  <c r="W176" i="1" s="1"/>
  <c r="V149" i="1"/>
  <c r="W149" i="1" s="1"/>
  <c r="V110" i="1"/>
  <c r="W110" i="1" s="1"/>
  <c r="V102" i="1"/>
  <c r="W102" i="1" s="1"/>
  <c r="V41" i="1"/>
  <c r="W41" i="1" s="1"/>
  <c r="V212" i="1"/>
  <c r="W212" i="1" s="1"/>
  <c r="V93" i="1"/>
  <c r="W93" i="1" s="1"/>
  <c r="V134" i="1"/>
  <c r="W134" i="1" s="1"/>
  <c r="V62" i="1"/>
  <c r="W62" i="1" s="1"/>
  <c r="V200" i="1"/>
  <c r="W200" i="1" s="1"/>
  <c r="V166" i="1"/>
  <c r="W166" i="1" s="1"/>
  <c r="V113" i="1"/>
  <c r="W113" i="1" s="1"/>
  <c r="V130" i="1"/>
  <c r="W130" i="1" s="1"/>
  <c r="V12" i="1"/>
  <c r="W12" i="1" s="1"/>
  <c r="V139" i="1"/>
  <c r="W139" i="1" s="1"/>
  <c r="V83" i="1"/>
  <c r="W83" i="1" s="1"/>
  <c r="V157" i="1"/>
  <c r="W157" i="1" s="1"/>
  <c r="V92" i="1"/>
  <c r="W92" i="1" s="1"/>
  <c r="V170" i="1"/>
  <c r="W170" i="1" s="1"/>
  <c r="V218" i="1"/>
  <c r="W218" i="1" s="1"/>
  <c r="V183" i="1"/>
  <c r="W183" i="1" s="1"/>
  <c r="V150" i="1"/>
  <c r="W150" i="1" s="1"/>
  <c r="V105" i="1"/>
  <c r="W105" i="1" s="1"/>
  <c r="V137" i="1"/>
  <c r="W137" i="1" s="1"/>
  <c r="V159" i="1"/>
  <c r="W159" i="1" s="1"/>
  <c r="V174" i="1"/>
  <c r="W174" i="1" s="1"/>
  <c r="V46" i="1"/>
  <c r="W46" i="1" s="1"/>
  <c r="V36" i="1"/>
  <c r="W36" i="1" s="1"/>
  <c r="V50" i="1"/>
  <c r="W50" i="1" s="1"/>
  <c r="V61" i="1"/>
  <c r="W61" i="1" s="1"/>
  <c r="V71" i="1"/>
  <c r="W71" i="1" s="1"/>
  <c r="V42" i="1"/>
  <c r="W42" i="1" s="1"/>
  <c r="V106" i="1"/>
  <c r="W106" i="1" s="1"/>
  <c r="V168" i="1"/>
  <c r="W168" i="1" s="1"/>
  <c r="V144" i="1"/>
  <c r="W144" i="1" s="1"/>
  <c r="V104" i="1"/>
  <c r="W104" i="1" s="1"/>
  <c r="V26" i="1"/>
  <c r="W26" i="1" s="1"/>
  <c r="V85" i="1"/>
  <c r="W85" i="1" s="1"/>
  <c r="V103" i="1"/>
  <c r="W103" i="1" s="1"/>
  <c r="V161" i="1"/>
  <c r="W161" i="1" s="1"/>
  <c r="V194" i="1"/>
  <c r="W194" i="1" s="1"/>
  <c r="V30" i="1"/>
  <c r="W30" i="1" s="1"/>
  <c r="V69" i="1"/>
  <c r="W69" i="1" s="1"/>
  <c r="V180" i="1"/>
  <c r="W180" i="1" s="1"/>
  <c r="W196" i="1"/>
  <c r="V86" i="1"/>
  <c r="W86" i="1" s="1"/>
  <c r="V66" i="1"/>
  <c r="W66" i="1" s="1"/>
  <c r="V15" i="1"/>
  <c r="W15" i="1" s="1"/>
  <c r="V24" i="1"/>
  <c r="W24" i="1" s="1"/>
  <c r="V117" i="1"/>
  <c r="W117" i="1" s="1"/>
  <c r="V152" i="1"/>
  <c r="W152" i="1" s="1"/>
  <c r="V158" i="1"/>
  <c r="W158" i="1" s="1"/>
  <c r="V216" i="1"/>
  <c r="W216" i="1" s="1"/>
  <c r="V219" i="1"/>
  <c r="W219" i="1" s="1"/>
  <c r="V44" i="1"/>
  <c r="W44" i="1" s="1"/>
  <c r="V58" i="1"/>
  <c r="W58" i="1" s="1"/>
  <c r="V121" i="1"/>
  <c r="W121" i="1" s="1"/>
  <c r="V169" i="1"/>
  <c r="W169" i="1" s="1"/>
  <c r="V87" i="1"/>
  <c r="W87" i="1" s="1"/>
  <c r="V91" i="1"/>
  <c r="W91" i="1" s="1"/>
  <c r="V143" i="1"/>
  <c r="W143" i="1" s="1"/>
  <c r="V99" i="1"/>
  <c r="W99" i="1" s="1"/>
  <c r="V100" i="1"/>
  <c r="W100" i="1" s="1"/>
  <c r="V118" i="1"/>
  <c r="W118" i="1" s="1"/>
  <c r="V213" i="1"/>
  <c r="W213" i="1" s="1"/>
  <c r="V7" i="1"/>
  <c r="W7" i="1" s="1"/>
  <c r="V175" i="1"/>
  <c r="W175" i="1" s="1"/>
  <c r="V79" i="1"/>
  <c r="W79" i="1" s="1"/>
  <c r="V124" i="1"/>
  <c r="W124" i="1" s="1"/>
  <c r="V178" i="1"/>
  <c r="W178" i="1" s="1"/>
  <c r="V182" i="1"/>
  <c r="W182" i="1" s="1"/>
  <c r="V108" i="1"/>
  <c r="W108" i="1" s="1"/>
  <c r="V145" i="1"/>
  <c r="W145" i="1" s="1"/>
  <c r="V133" i="1"/>
  <c r="W133" i="1" s="1"/>
  <c r="V197" i="1"/>
  <c r="W197" i="1" s="1"/>
  <c r="V76" i="1"/>
  <c r="W76" i="1" s="1"/>
  <c r="V192" i="1"/>
  <c r="W192" i="1" s="1"/>
  <c r="V55" i="1"/>
  <c r="W55" i="1" s="1"/>
  <c r="V11" i="1"/>
  <c r="W11" i="1" s="1"/>
  <c r="V27" i="1"/>
  <c r="W27" i="1" s="1"/>
  <c r="V217" i="1"/>
  <c r="W217" i="1" s="1"/>
  <c r="V74" i="1"/>
  <c r="W74" i="1" s="1"/>
  <c r="W94" i="1"/>
  <c r="V52" i="1"/>
  <c r="W52" i="1" s="1"/>
  <c r="V184" i="1"/>
  <c r="W184" i="1" s="1"/>
  <c r="V123" i="1"/>
  <c r="W123" i="1" s="1"/>
  <c r="W53" i="1"/>
  <c r="V204" i="1"/>
  <c r="W204" i="1" s="1"/>
  <c r="V70" i="1"/>
  <c r="W70" i="1" s="1"/>
  <c r="V35" i="1"/>
  <c r="W35" i="1" s="1"/>
  <c r="V97" i="1"/>
  <c r="W97" i="1" s="1"/>
  <c r="V48" i="1"/>
  <c r="W48" i="1" s="1"/>
  <c r="V207" i="1"/>
  <c r="W207" i="1" s="1"/>
  <c r="V14" i="1"/>
  <c r="W14" i="1" s="1"/>
  <c r="V77" i="1"/>
  <c r="W77" i="1" s="1"/>
  <c r="V107" i="1"/>
  <c r="W107" i="1" s="1"/>
  <c r="V32" i="1"/>
  <c r="W32" i="1" s="1"/>
  <c r="V209" i="1"/>
  <c r="W209" i="1" s="1"/>
  <c r="V211" i="1"/>
  <c r="W211" i="1" s="1"/>
  <c r="V34" i="1"/>
  <c r="W34" i="1" s="1"/>
  <c r="V43" i="1"/>
  <c r="W43" i="1" s="1"/>
  <c r="V173" i="1"/>
  <c r="W173" i="1" s="1"/>
  <c r="V231" i="1"/>
  <c r="W231" i="1" s="1"/>
  <c r="V37" i="1"/>
  <c r="W37" i="1" s="1"/>
  <c r="V78" i="1"/>
  <c r="W78" i="1" s="1"/>
  <c r="V5" i="1"/>
  <c r="W5" i="1" s="1"/>
  <c r="V164" i="1"/>
  <c r="W164" i="1" s="1"/>
  <c r="V125" i="1"/>
  <c r="W125" i="1" s="1"/>
  <c r="V17" i="1"/>
  <c r="W17" i="1" s="1"/>
  <c r="V195" i="1"/>
  <c r="W195" i="1" s="1"/>
  <c r="V6" i="1"/>
  <c r="W6" i="1" s="1"/>
  <c r="V10" i="1"/>
  <c r="W10" i="1" s="1"/>
  <c r="V20" i="1"/>
  <c r="W20" i="1" s="1"/>
  <c r="V16" i="1"/>
  <c r="W16" i="1" s="1"/>
  <c r="V18" i="1"/>
  <c r="W18" i="1" s="1"/>
  <c r="V59" i="1"/>
  <c r="W59" i="1" s="1"/>
  <c r="V28" i="1"/>
  <c r="W28" i="1" s="1"/>
  <c r="V29" i="1"/>
  <c r="W29" i="1" s="1"/>
  <c r="V147" i="1"/>
  <c r="W147" i="1" s="1"/>
  <c r="V31" i="1"/>
  <c r="W31" i="1" s="1"/>
  <c r="V49" i="1"/>
  <c r="W49" i="1" s="1"/>
  <c r="V56" i="1"/>
  <c r="W56" i="1" s="1"/>
  <c r="V68" i="1"/>
  <c r="W68" i="1" s="1"/>
  <c r="V75" i="1"/>
  <c r="W75" i="1" s="1"/>
  <c r="V81" i="1"/>
  <c r="W81" i="1" s="1"/>
  <c r="V82" i="1"/>
  <c r="W82" i="1" s="1"/>
  <c r="V90" i="1"/>
  <c r="W90" i="1" s="1"/>
  <c r="V101" i="1"/>
  <c r="W101" i="1" s="1"/>
  <c r="V109" i="1"/>
  <c r="W109" i="1" s="1"/>
  <c r="V112" i="1"/>
  <c r="W112" i="1" s="1"/>
  <c r="V111" i="1"/>
  <c r="W111" i="1" s="1"/>
  <c r="V126" i="1"/>
  <c r="W126" i="1" s="1"/>
  <c r="V8" i="1"/>
  <c r="W8" i="1" s="1"/>
  <c r="V142" i="1"/>
  <c r="W142" i="1" s="1"/>
  <c r="V153" i="1"/>
  <c r="W153" i="1" s="1"/>
  <c r="V179" i="1"/>
  <c r="W179" i="1" s="1"/>
  <c r="V215" i="1"/>
  <c r="W215" i="1" s="1"/>
  <c r="V51" i="1"/>
  <c r="W51" i="1" s="1"/>
  <c r="V146" i="1"/>
  <c r="W146" i="1" s="1"/>
  <c r="V155" i="1"/>
  <c r="W155" i="1" s="1"/>
  <c r="V22" i="1"/>
  <c r="W22" i="1" s="1"/>
  <c r="V191" i="1"/>
  <c r="W191" i="1" s="1"/>
  <c r="V67" i="1"/>
  <c r="W67" i="1" s="1"/>
  <c r="V21" i="1"/>
  <c r="W21" i="1" s="1"/>
  <c r="V203" i="1"/>
  <c r="W203" i="1" s="1"/>
  <c r="W136" i="1"/>
  <c r="V214" i="1"/>
  <c r="W214" i="1" s="1"/>
  <c r="V131" i="1"/>
  <c r="W131" i="1" s="1"/>
  <c r="V156" i="1"/>
  <c r="W156" i="1" s="1"/>
  <c r="V135" i="1"/>
  <c r="W135" i="1" s="1"/>
  <c r="V202" i="1"/>
  <c r="W202" i="1" s="1"/>
  <c r="V205" i="1"/>
  <c r="W205" i="1" s="1"/>
  <c r="V115" i="1"/>
  <c r="W115" i="1" s="1"/>
  <c r="V47" i="1"/>
  <c r="W47" i="1" s="1"/>
  <c r="V189" i="1"/>
  <c r="W189" i="1" s="1"/>
  <c r="V171" i="1"/>
  <c r="W171" i="1" s="1"/>
  <c r="V138" i="1"/>
  <c r="W138" i="1" s="1"/>
  <c r="V128" i="1"/>
  <c r="W128" i="1" s="1"/>
  <c r="V38" i="1"/>
  <c r="W38" i="1" s="1"/>
  <c r="V60" i="1"/>
  <c r="W60" i="1" s="1"/>
  <c r="V127" i="1"/>
  <c r="W127" i="1" s="1"/>
  <c r="V65" i="1"/>
  <c r="W65" i="1" s="1"/>
  <c r="V72" i="1"/>
  <c r="W72" i="1" s="1"/>
  <c r="V88" i="1"/>
  <c r="W88" i="1" s="1"/>
  <c r="V122" i="1"/>
  <c r="W122" i="1" s="1"/>
  <c r="V148" i="1"/>
  <c r="W148" i="1" s="1"/>
  <c r="V172" i="1"/>
  <c r="W172" i="1" s="1"/>
  <c r="V186" i="1"/>
  <c r="W186" i="1" s="1"/>
  <c r="V187" i="1"/>
  <c r="W187" i="1" s="1"/>
  <c r="V201" i="1"/>
  <c r="W201" i="1" s="1"/>
  <c r="V98" i="1"/>
  <c r="W98" i="1" s="1"/>
  <c r="V181" i="1"/>
  <c r="W181" i="1" s="1"/>
  <c r="V193" i="1"/>
  <c r="W193" i="1" s="1"/>
  <c r="V167" i="1"/>
  <c r="W167" i="1" s="1"/>
  <c r="V54" i="1"/>
  <c r="W54" i="1" s="1"/>
  <c r="V57" i="1"/>
  <c r="W57" i="1" s="1"/>
  <c r="V64" i="1"/>
  <c r="W64" i="1" s="1"/>
  <c r="V73" i="1"/>
  <c r="W73" i="1" s="1"/>
  <c r="V80" i="1"/>
  <c r="W80" i="1" s="1"/>
  <c r="V84" i="1"/>
  <c r="W84" i="1" s="1"/>
  <c r="V95" i="1"/>
  <c r="W95" i="1" s="1"/>
  <c r="V114" i="1"/>
  <c r="W114" i="1" s="1"/>
  <c r="V116" i="1"/>
  <c r="W116" i="1" s="1"/>
  <c r="V132" i="1"/>
  <c r="W132" i="1" s="1"/>
  <c r="V33" i="1"/>
  <c r="W33" i="1" s="1"/>
  <c r="V151" i="1"/>
  <c r="W151" i="1" s="1"/>
  <c r="V154" i="1"/>
  <c r="W154" i="1" s="1"/>
  <c r="V177" i="1"/>
  <c r="W177" i="1" s="1"/>
  <c r="V190" i="1"/>
  <c r="W190" i="1" s="1"/>
  <c r="V141" i="1"/>
  <c r="W141" i="1" s="1"/>
  <c r="V19" i="1"/>
  <c r="W19" i="1" s="1"/>
  <c r="V23" i="1"/>
  <c r="W23" i="1" s="1"/>
  <c r="V40" i="1"/>
  <c r="W40" i="1" s="1"/>
  <c r="V188" i="1"/>
  <c r="W188" i="1" s="1"/>
  <c r="V25" i="1"/>
  <c r="W25" i="1" s="1"/>
  <c r="V11" i="2"/>
  <c r="W11" i="2" s="1"/>
  <c r="V10" i="2"/>
  <c r="W10" i="2" s="1"/>
  <c r="V9" i="2"/>
  <c r="W9" i="2" s="1"/>
  <c r="AD8" i="2"/>
  <c r="AE8" i="2" s="1"/>
  <c r="V8" i="2"/>
  <c r="W8" i="2" s="1"/>
  <c r="V7" i="2"/>
  <c r="W7" i="2" s="1"/>
  <c r="E5" i="2"/>
</calcChain>
</file>

<file path=xl/sharedStrings.xml><?xml version="1.0" encoding="utf-8"?>
<sst xmlns="http://schemas.openxmlformats.org/spreadsheetml/2006/main" count="3320" uniqueCount="486">
  <si>
    <t xml:space="preserve">SIMBOLOGIA </t>
  </si>
  <si>
    <t>OBSERVACIÓN</t>
  </si>
  <si>
    <t xml:space="preserve">DERIVADOS A HLS </t>
  </si>
  <si>
    <t>SEGUIMIENTO EN HOV</t>
  </si>
  <si>
    <t xml:space="preserve">EN ATENCION POR OTROS CENTROS </t>
  </si>
  <si>
    <t>DERIVADOS A TRATAMIENTO DE RY</t>
  </si>
  <si>
    <t>GES/NO GES</t>
  </si>
  <si>
    <t xml:space="preserve">Nombre </t>
  </si>
  <si>
    <t xml:space="preserve">RUT </t>
  </si>
  <si>
    <t>DV</t>
  </si>
  <si>
    <t>Edad</t>
  </si>
  <si>
    <t>Comuna</t>
  </si>
  <si>
    <t>Tipo de Cáncer</t>
  </si>
  <si>
    <t>AÑO DG</t>
  </si>
  <si>
    <t>Fecha resultado</t>
  </si>
  <si>
    <t>CPYAD</t>
  </si>
  <si>
    <t>Etapa Clinica</t>
  </si>
  <si>
    <t>Fecha de Comité</t>
  </si>
  <si>
    <t>Indicación de Comité</t>
  </si>
  <si>
    <t>Centro de Derivación</t>
  </si>
  <si>
    <t xml:space="preserve">ESTADO DE CASO </t>
  </si>
  <si>
    <t>CAUSAL</t>
  </si>
  <si>
    <t xml:space="preserve">SEGUIMIENTO ENFERMERIA </t>
  </si>
  <si>
    <t xml:space="preserve">PERIODICIDAD DE SEGUIMIENTO </t>
  </si>
  <si>
    <t xml:space="preserve">PROFESIONAL </t>
  </si>
  <si>
    <t>FECHA DE CONTROL</t>
  </si>
  <si>
    <t>GES</t>
  </si>
  <si>
    <t>MIRTHA AHUMADA CAMPILLAY</t>
  </si>
  <si>
    <t>Ovalle</t>
  </si>
  <si>
    <t>CANCER DE TIROIDES</t>
  </si>
  <si>
    <t>Si</t>
  </si>
  <si>
    <t>SEGUIMIENTO</t>
  </si>
  <si>
    <t>HOV</t>
  </si>
  <si>
    <t>CURSO</t>
  </si>
  <si>
    <t>FALLECIDA</t>
  </si>
  <si>
    <t>LORENA ANDRADES RIVERA</t>
  </si>
  <si>
    <t>OVALLE</t>
  </si>
  <si>
    <t>SI</t>
  </si>
  <si>
    <t>TRATAMIENTO</t>
  </si>
  <si>
    <t xml:space="preserve">MARCO SANDOVAL VIVAR </t>
  </si>
  <si>
    <t xml:space="preserve">RECHAZA ATENCIONES EN HOV </t>
  </si>
  <si>
    <t xml:space="preserve">operado por extrasistema en FALP MARZO-23//RECHAZA SEGUIMIENTO ANTENCIONES POR HOV </t>
  </si>
  <si>
    <t xml:space="preserve">HILDA HENRIQUEZ VELASQUEZ </t>
  </si>
  <si>
    <t>CONFIRMACION</t>
  </si>
  <si>
    <t>INTERVENCION QUIRURGICA</t>
  </si>
  <si>
    <t>DETENIDO</t>
  </si>
  <si>
    <t xml:space="preserve">FALLECIDA </t>
  </si>
  <si>
    <t>CONTROL EN 1 MES PARA VER ESTADO ACTUAL</t>
  </si>
  <si>
    <t>1 MES</t>
  </si>
  <si>
    <t>MEDICO</t>
  </si>
  <si>
    <t>AGENDAR A CONTROL</t>
  </si>
  <si>
    <t xml:space="preserve">JORGE ARELLANO SOFFIA </t>
  </si>
  <si>
    <t>HLS</t>
  </si>
  <si>
    <t xml:space="preserve">SE TRASLADO A LA SERENA </t>
  </si>
  <si>
    <t xml:space="preserve">USUARIO EN CONTROLES Y ATENCIONES POR ENDOCRINOLOGIA EN HLS  POR CAMBIO DE DOMICILIO </t>
  </si>
  <si>
    <t>3 MESES</t>
  </si>
  <si>
    <t xml:space="preserve">ENFERMERA </t>
  </si>
  <si>
    <t xml:space="preserve">GUILLERMO ROJO GAMBOA </t>
  </si>
  <si>
    <t>Monte patria</t>
  </si>
  <si>
    <t>AGENDAR CON DRA PALMA EN JUNIO  2024 CON EXAMENES Y ECO</t>
  </si>
  <si>
    <t>6 MESES</t>
  </si>
  <si>
    <t xml:space="preserve">PENDIENTE ECO DE TIROIDES </t>
  </si>
  <si>
    <t>RUBEN RIQUELME ROJO</t>
  </si>
  <si>
    <t xml:space="preserve">FALLECIDO </t>
  </si>
  <si>
    <t xml:space="preserve">USUARIO SE DESESTIMA IQ. PENDIENTE REPRESENTAR EN HLS A COMITÉ </t>
  </si>
  <si>
    <t xml:space="preserve">1 MESES </t>
  </si>
  <si>
    <t xml:space="preserve">MARTA PIZARRO PIZARRO </t>
  </si>
  <si>
    <t>K</t>
  </si>
  <si>
    <t xml:space="preserve">CANCER DE TIROIDES </t>
  </si>
  <si>
    <t>SE DERIVA A HOV PARA CUIDADOS PALIATIVOS, RECHAZA IQ</t>
  </si>
  <si>
    <t xml:space="preserve">MARIA COFRE CORTES </t>
  </si>
  <si>
    <t xml:space="preserve">CONTROL EN 2 MESES CON ECO CERVICAL Y EXAMENES DE LABORATORIO  </t>
  </si>
  <si>
    <t>2 MESES</t>
  </si>
  <si>
    <t>PENDIENTE ECO TIROIDES</t>
  </si>
  <si>
    <t>ENDOCRINOLOGIA</t>
  </si>
  <si>
    <t>NOMBRE</t>
  </si>
  <si>
    <t>DIAGNOSTICO</t>
  </si>
  <si>
    <t xml:space="preserve">SEGUIMIENTO DE ENFERMERIA </t>
  </si>
  <si>
    <t>FECHA DE  U. CONTROL</t>
  </si>
  <si>
    <t>FECHA PROXIMO CONTROL</t>
  </si>
  <si>
    <t>DIAS DISPONIBLES</t>
  </si>
  <si>
    <t>ESTADO</t>
  </si>
  <si>
    <t xml:space="preserve">ZUNILDA CARVAJAL ELGUETA </t>
  </si>
  <si>
    <t>No</t>
  </si>
  <si>
    <t xml:space="preserve">PENDIENTE ECO </t>
  </si>
  <si>
    <t xml:space="preserve">CONTROL EN 6 MESES CON ECO CERVICAL Y EXAMENES DE LABORATORIO </t>
  </si>
  <si>
    <t xml:space="preserve">6 MESES </t>
  </si>
  <si>
    <t>YOLANDA BERRIOS CARVAJAL</t>
  </si>
  <si>
    <t>CONTROL EN 6 MESES CON ECO CERVICAL Y EXAMENES DE LABORATORIO</t>
  </si>
  <si>
    <t xml:space="preserve">YOANA DIAZ DIAZ </t>
  </si>
  <si>
    <t>TRATAMIENTO DE RY</t>
  </si>
  <si>
    <t>HRC</t>
  </si>
  <si>
    <t xml:space="preserve">PENDIENTE HORA PARA TRATAMIENTO DE RADIOYODO </t>
  </si>
  <si>
    <t>1 mes</t>
  </si>
  <si>
    <t xml:space="preserve">MEDICO </t>
  </si>
  <si>
    <t xml:space="preserve">YESSICA ROJAS GONZALEZ </t>
  </si>
  <si>
    <t>N/N</t>
  </si>
  <si>
    <t>SIN BIOPSIA</t>
  </si>
  <si>
    <t>CONTROL EN 2 MESES CON PERFIL DE LABORATORIO</t>
  </si>
  <si>
    <t>YESSENIA OLIVARES CORTES</t>
  </si>
  <si>
    <t xml:space="preserve">ENVIDADO ANTECEDENTES A HOSPITAL DE LA SERENA  / PENDIENTE INTERVENCION QX EN HLS </t>
  </si>
  <si>
    <t>YESSENIA GUERRA CORTES</t>
  </si>
  <si>
    <t>PENDIENTE EXAMENES</t>
  </si>
  <si>
    <t>CONTROL EN 3 MESES CON ECO CERVICAL Y EXAMENES DE LABORATORIO</t>
  </si>
  <si>
    <t xml:space="preserve">YESENIA CORTES ROJAS </t>
  </si>
  <si>
    <t>NO</t>
  </si>
  <si>
    <t>17-12-2025</t>
  </si>
  <si>
    <t xml:space="preserve">CONTROL EN 3 MESES CON ECO CERVICAL Y EXAMENES DE LABORATORIO  </t>
  </si>
  <si>
    <t xml:space="preserve">YENIFER AGUILERA POZO </t>
  </si>
  <si>
    <t>Combarbala</t>
  </si>
  <si>
    <t xml:space="preserve">SEGUIMIENTO </t>
  </si>
  <si>
    <t>29-04-2025</t>
  </si>
  <si>
    <t xml:space="preserve">3 MESES </t>
  </si>
  <si>
    <t xml:space="preserve">YANIRA CASTILLO ESPEJO </t>
  </si>
  <si>
    <t>CANCER DE TIROUDES</t>
  </si>
  <si>
    <t xml:space="preserve">CONTROL EN 3 MESES CON RESULTADOS CON ECO CERVICAL Y EXAMENES DE LABORATORIO </t>
  </si>
  <si>
    <t>XIMENA PINO ARAYA</t>
  </si>
  <si>
    <t>ovalle</t>
  </si>
  <si>
    <t>CONTROL EN 3 MESES CON EXAMENES DE LABORATORIO  Y 6 MESES CON ECO CERVICAL</t>
  </si>
  <si>
    <t xml:space="preserve">XIMENA GODOY CORTES </t>
  </si>
  <si>
    <t xml:space="preserve">XIMENA ARAYA CARVAJAL </t>
  </si>
  <si>
    <t>PENDIENTE CONTROL</t>
  </si>
  <si>
    <t xml:space="preserve">WILMA VILLALOBOS MORALES </t>
  </si>
  <si>
    <t>CONTROL EN 6 MESES CON ECO DE CUELLO Y EXAMENES DE LABORATORIO</t>
  </si>
  <si>
    <t>WILMA TAPIA TAPIA</t>
  </si>
  <si>
    <t xml:space="preserve">CONTROL EN 3 MESES CON ECO CERVICAL Y EXAMENES DE LABORATORIO </t>
  </si>
  <si>
    <t>07-08-205</t>
  </si>
  <si>
    <t>VIOLETA CARCAMO BOLVARAN</t>
  </si>
  <si>
    <t>MEDIO</t>
  </si>
  <si>
    <t xml:space="preserve">VILMA OLIVARES AVILES </t>
  </si>
  <si>
    <t xml:space="preserve">LUCIANA ROBLES VERGARA </t>
  </si>
  <si>
    <t>VERONICA GOGOY VELASQUEZ</t>
  </si>
  <si>
    <t>Rio Hurtado</t>
  </si>
  <si>
    <t xml:space="preserve">CONTROL EN 1 MES CON ECO CERVICAL Y EXAMENES DE LABORATORIO </t>
  </si>
  <si>
    <t xml:space="preserve">THIARE CARVAJAL ALVAREZ </t>
  </si>
  <si>
    <t xml:space="preserve">CONTROL EN 3 MESES CON EXAMENES Y ECO CERVICAL </t>
  </si>
  <si>
    <t xml:space="preserve">TAMARA LIZANA YAÑEZ </t>
  </si>
  <si>
    <t xml:space="preserve">CONTROL EN 2 MESES CON EXAMENES DE LABORATORIO + ECO CERVICAL </t>
  </si>
  <si>
    <t>SUSANA ROJAS TRIGO</t>
  </si>
  <si>
    <t xml:space="preserve">SUSANA PERALTA RIVERA </t>
  </si>
  <si>
    <t>SONIA CORTES GUERRERO</t>
  </si>
  <si>
    <t>SIN COMITÉ</t>
  </si>
  <si>
    <t>CONTROL EN 6 MESES CO NECO CERVICAL Y EXAMENES DE LABORATORIO</t>
  </si>
  <si>
    <t>SONIA CONTRERAS ROJAS</t>
  </si>
  <si>
    <t>k</t>
  </si>
  <si>
    <t xml:space="preserve">SOFIA MUNDACA MUNDACA </t>
  </si>
  <si>
    <t xml:space="preserve">SILVANA FLORES RAMIREZ </t>
  </si>
  <si>
    <t>PENDIENTE ECO</t>
  </si>
  <si>
    <t xml:space="preserve">CONTROL EN 1 AÑO CON ECO CERVICAL Y EXAMENES DE LABORATORIO </t>
  </si>
  <si>
    <t>12 MESES</t>
  </si>
  <si>
    <t>SERGIO PIZARRO GUERRERO</t>
  </si>
  <si>
    <t>27-11- CONTROL EN 6 MESES CON ECO CERVICAL Y EXAMENES DE LABORATORIO EN MAYO 2026</t>
  </si>
  <si>
    <t>SANDRA TABILO CASTILLO</t>
  </si>
  <si>
    <t>CONTROL EN 2 MESES CON EXAMENES DE LABORATORIO Y ECO DE CUELLO</t>
  </si>
  <si>
    <t xml:space="preserve">INGRID MONTALBAN GONZALEZ </t>
  </si>
  <si>
    <t>CONTROL EN 3 MESES CON EXAMENES DE LABORATORIO</t>
  </si>
  <si>
    <t xml:space="preserve">SANDRA HERRERA OLIVARES </t>
  </si>
  <si>
    <t xml:space="preserve">CONTROL EN 3 MESES CON EXAMENES DE LABORATORIO </t>
  </si>
  <si>
    <t xml:space="preserve">GES </t>
  </si>
  <si>
    <t>RUTH CERDA ROJO</t>
  </si>
  <si>
    <t xml:space="preserve">RUBEN CASANOVA ROJAS </t>
  </si>
  <si>
    <t>27-05-2025</t>
  </si>
  <si>
    <t>CONTROL EN 2 MESES CON ECO CERVICAL Y EXAMENES DE LABORATORIO</t>
  </si>
  <si>
    <t xml:space="preserve">ROXANA ARAYA CORTES </t>
  </si>
  <si>
    <t xml:space="preserve">CONTROL EN 3 MESES CON ECO CERIVCAL Y EXAMENES DE LABORATORIO </t>
  </si>
  <si>
    <t>ROSAURA VELASQUEZ ESPEJO</t>
  </si>
  <si>
    <t xml:space="preserve">CONTROL EN 6 MESES CON ECO CERVICAL Y EXAMENES DE LABORATORIO  </t>
  </si>
  <si>
    <t>ROSA ROBLES -</t>
  </si>
  <si>
    <t xml:space="preserve">OVALLE </t>
  </si>
  <si>
    <t xml:space="preserve">USUARIA DERIVA A HLS PARA CIRUGIA CABEZA Y CUELLO </t>
  </si>
  <si>
    <t>ROSA PIZARRO PIZARRO</t>
  </si>
  <si>
    <t xml:space="preserve">PENDIENTE EX DE LAB </t>
  </si>
  <si>
    <t xml:space="preserve">CONTROL EN 2 MESES CON EXAMENES DE LABORATORIO </t>
  </si>
  <si>
    <t xml:space="preserve">2 MESES </t>
  </si>
  <si>
    <t xml:space="preserve">ROSA CASTRO BERRIOS </t>
  </si>
  <si>
    <t xml:space="preserve">ETAPIFICACION </t>
  </si>
  <si>
    <t>PENDIENTE INTERVENCION QUIRURGICA</t>
  </si>
  <si>
    <t xml:space="preserve">RODRIGO VENEGAS CARVAJAL </t>
  </si>
  <si>
    <t xml:space="preserve">RAQUEL CASTILLO ARAYA </t>
  </si>
  <si>
    <t>NN</t>
  </si>
  <si>
    <t>RAMONA PIÑONES PIÑONES</t>
  </si>
  <si>
    <t>PILAR SALFATE AGUIRRE</t>
  </si>
  <si>
    <t xml:space="preserve">PEDRO ADONES CONTRERAS </t>
  </si>
  <si>
    <t xml:space="preserve">CONTROL EN 1 MES CON TAC DE TORAX Y CUELLO, EXAMENES DE LABORATORIO </t>
  </si>
  <si>
    <t>PAULINA GUTIERREZ CHACANA</t>
  </si>
  <si>
    <t>PATRICIA URRUTIA TAPIA</t>
  </si>
  <si>
    <t>CONTROL CON RESULTADO DE ECO CERVICAL Y EXAMENES DE LABORATORIO  EN 6 MESES</t>
  </si>
  <si>
    <t>PATRICIA QUEZADA TIZNADO</t>
  </si>
  <si>
    <t xml:space="preserve">PATRICIA ARAYA GONZALEZ </t>
  </si>
  <si>
    <t xml:space="preserve">AGENDAR A CONTROL </t>
  </si>
  <si>
    <t>PAOLA JIMENEZ GALLEGUILLOS</t>
  </si>
  <si>
    <t xml:space="preserve">CONTROL EN 6 MESES CON EXAMENES Y ECO CERVICAL </t>
  </si>
  <si>
    <t>PAOLA ARAYA URBINA</t>
  </si>
  <si>
    <t xml:space="preserve">PAMELA SOLIS CARRASCO </t>
  </si>
  <si>
    <t>PAMELA OJEDA DELGADO</t>
  </si>
  <si>
    <t>PAMELA CAMPOS DIAZ</t>
  </si>
  <si>
    <t>PAMELA  HUERTA TABILO</t>
  </si>
  <si>
    <t>ORIANA DIAZ MIRANDA</t>
  </si>
  <si>
    <t xml:space="preserve">ORIELE TORRES BARAHONA </t>
  </si>
  <si>
    <t xml:space="preserve">OLIVIA LEYTON GUAMAN </t>
  </si>
  <si>
    <t>CONTROL EN 3 MESES CON EXAMENES DE LABORATORIO Y ECO DE CUELLO</t>
  </si>
  <si>
    <t>ODET YAÑEZ AROS</t>
  </si>
  <si>
    <t>NORMAN ALFARO ALFARO</t>
  </si>
  <si>
    <t xml:space="preserve">CURSO </t>
  </si>
  <si>
    <t xml:space="preserve">02-02 SE PRESENTARUA NUEVAMENTE A COMITE ONCOLOGICO </t>
  </si>
  <si>
    <t xml:space="preserve">NORMA RAMOS ARAYA </t>
  </si>
  <si>
    <t xml:space="preserve">CORRESPONDE CONTROL EN 3 MESES CON EXAMENES Y ECO </t>
  </si>
  <si>
    <t xml:space="preserve">NICOL CORTES CORTES </t>
  </si>
  <si>
    <t>CANCER DE TIROIDES '</t>
  </si>
  <si>
    <t>CONTROL EN 6 MESES CON ECO CERVICAL Y EXMANES DE LABORATORIO</t>
  </si>
  <si>
    <t xml:space="preserve">NIRSA OLIVARES ROJAS </t>
  </si>
  <si>
    <t>PENDIENTE IQ</t>
  </si>
  <si>
    <t xml:space="preserve">NELIDA LEDEZMA VALENZUELA </t>
  </si>
  <si>
    <t xml:space="preserve">NANCY COFRE ESCALONA </t>
  </si>
  <si>
    <t>CONTROL EN 6 MESES CON EXAMEN DE LABORATORIO Y ECO DE CUELLO</t>
  </si>
  <si>
    <t>MONICA CASTILLO CUELLO</t>
  </si>
  <si>
    <t>MIRTHA GALLARDO SAAVEDRA</t>
  </si>
  <si>
    <t xml:space="preserve">MIRNA DIAZ FLORES </t>
  </si>
  <si>
    <t>CONTROL EN 6 MESES CON EXAMENES DE LABORATORIO Y ECO CERVICAL</t>
  </si>
  <si>
    <t>MIRIAM TAPIA ALVAREZ</t>
  </si>
  <si>
    <t xml:space="preserve">MIRIAM PASTEN ORREGO </t>
  </si>
  <si>
    <t>MIREYA VEAS CORTES</t>
  </si>
  <si>
    <t xml:space="preserve">Combarbala </t>
  </si>
  <si>
    <t>MILANDA TAPIA LÓPEZ</t>
  </si>
  <si>
    <t xml:space="preserve">Punitaqui </t>
  </si>
  <si>
    <t xml:space="preserve">CONTROL EN 3 MESES DE EXAMENES DE LABORATORIO </t>
  </si>
  <si>
    <t xml:space="preserve">MERCEDES HERRERA MICHELENA </t>
  </si>
  <si>
    <t>MAURICIO VEGA PEREZ</t>
  </si>
  <si>
    <t xml:space="preserve">CONTROL EN 6 MESES CON EXAMENES DE LABORATORIO </t>
  </si>
  <si>
    <t>MARTA PIZARRO PAZ</t>
  </si>
  <si>
    <t xml:space="preserve">TRATAMIENTO </t>
  </si>
  <si>
    <t xml:space="preserve">CONTROL EN 4 MESES CON EXAMENES DE LABORATORIO Y ECO CERVICAL </t>
  </si>
  <si>
    <t>4 MESES</t>
  </si>
  <si>
    <t>MARTA  PEREZ CARVAJAL</t>
  </si>
  <si>
    <t>CONTROL EN 6 MESES CON ECO CERVICAL Y EXAMENES DE LAB</t>
  </si>
  <si>
    <t xml:space="preserve">MARLENE VEGA ROMERO </t>
  </si>
  <si>
    <t>CONTROL EM 3 MESES CON ECO CERVICAL Y EXAMENES DE LABORATORIO</t>
  </si>
  <si>
    <t xml:space="preserve">MARJORIE PIZARRO SEGOVIA </t>
  </si>
  <si>
    <t>CONTROL EN 1 MES CON ECO Y EXAMENES</t>
  </si>
  <si>
    <t xml:space="preserve">MARITZA RIVERA GARCIA </t>
  </si>
  <si>
    <t xml:space="preserve">MARITZA DIAZ CACERES </t>
  </si>
  <si>
    <t xml:space="preserve">MARISOL TABILO MARAMBIO </t>
  </si>
  <si>
    <t>PENDIENTE RESULTADO DE PAFF</t>
  </si>
  <si>
    <t xml:space="preserve">CONTROL CON PAAF DE TIROIDES/ PENDIENTE RESUTLADO DE BP </t>
  </si>
  <si>
    <t xml:space="preserve">2 MESS </t>
  </si>
  <si>
    <t xml:space="preserve">MARISELA FERNANDEZ ARAYA </t>
  </si>
  <si>
    <t>MARIELA ALVAREZ CONTRERAS</t>
  </si>
  <si>
    <t xml:space="preserve">MARIANELA ZEBALLOS CORTES </t>
  </si>
  <si>
    <t xml:space="preserve">MARIANA ROJAS TORREJON </t>
  </si>
  <si>
    <t>MARÍA ZARRICUETA FUENTES</t>
  </si>
  <si>
    <t>CONTROL EN 6 MESES CON EXAMENES DE LAB Y ECO CERVICAL</t>
  </si>
  <si>
    <t xml:space="preserve">MARIA TORRES ROBLES </t>
  </si>
  <si>
    <t xml:space="preserve">CONTROL EN 6 MESES CON ECOCERVICAL Y EXAMENES DE LABORATORIO </t>
  </si>
  <si>
    <t>MARIA TERESA CORTES FARIAS</t>
  </si>
  <si>
    <t xml:space="preserve">MARIA SALINAS GOMEZ </t>
  </si>
  <si>
    <t xml:space="preserve">MARIA MOLINA VASQUEZ </t>
  </si>
  <si>
    <t xml:space="preserve">CONTROL EN 6 MESES CON ECO DE CERVICAL Y EXAMENES DE LABORATORIO </t>
  </si>
  <si>
    <t xml:space="preserve">MARIA CORTES PIZARRO </t>
  </si>
  <si>
    <t xml:space="preserve">SI </t>
  </si>
  <si>
    <t xml:space="preserve">MARIA CORTES FARIAS </t>
  </si>
  <si>
    <t xml:space="preserve">CANCER DE TIRIODES </t>
  </si>
  <si>
    <t>MARIA BERNARDITA CORTES FARIAS</t>
  </si>
  <si>
    <t xml:space="preserve">MARIA ANGEL ORMAZABAL </t>
  </si>
  <si>
    <t>MARÍA  FUENZALIDA ARCE</t>
  </si>
  <si>
    <r>
      <t>CONTROL EN 6 MESES CON EXAMENES DE LABORATORIO</t>
    </r>
    <r>
      <rPr>
        <sz val="14"/>
        <rFont val="Calibri"/>
        <family val="2"/>
        <scheme val="minor"/>
      </rPr>
      <t xml:space="preserve"> Y ECO</t>
    </r>
    <r>
      <rPr>
        <sz val="14"/>
        <color theme="1"/>
        <rFont val="Calibri"/>
        <family val="2"/>
        <scheme val="minor"/>
      </rPr>
      <t xml:space="preserve"> CERVICAL  </t>
    </r>
  </si>
  <si>
    <t>MARGOT TORREJON OLIVARES</t>
  </si>
  <si>
    <t>CONTROL EN 4 MESES CON EXAMENES DE LABORATORIO Y ECO DE CUELLO</t>
  </si>
  <si>
    <t>MARGARITA PIZARRO BARRAZA</t>
  </si>
  <si>
    <t xml:space="preserve">CONTROL EN 6 MESES CON EXAMENES DE LABORATORIO Y ECO CERVICAL  </t>
  </si>
  <si>
    <t>MARGARITA CORTES ALFARO</t>
  </si>
  <si>
    <t xml:space="preserve">SE ENVIA ORDEN DE TRATAMIENTO DE RADIOYODO A COLEGA DE HLS </t>
  </si>
  <si>
    <t>ENFERMERA</t>
  </si>
  <si>
    <t>MARGARET SILVA GUERRERO</t>
  </si>
  <si>
    <t>16-05-2025</t>
  </si>
  <si>
    <t xml:space="preserve">SE DERIVA A HLS PARA INTERVENCION QUIRURGICA </t>
  </si>
  <si>
    <t>MARCO SOTO MORENO</t>
  </si>
  <si>
    <t xml:space="preserve">MARCIA FUENTES TAPIA </t>
  </si>
  <si>
    <t xml:space="preserve">MARCELA CIFUENTES CONTRERAS </t>
  </si>
  <si>
    <t xml:space="preserve">MANUELA MONARDEZ ARAYA </t>
  </si>
  <si>
    <t>MAGALY ALBARADO JOFRE</t>
  </si>
  <si>
    <t>LUZ PASTEN COLLAO</t>
  </si>
  <si>
    <t>LILIANA VELIZ VELIZ</t>
  </si>
  <si>
    <t>LIDIA ARAYA ARAYA</t>
  </si>
  <si>
    <t xml:space="preserve">CONTROL EN 1 MES CON EXAMENES DE LAB + ECO CERVICAL </t>
  </si>
  <si>
    <t>KIARA ARAYA PIMENTEL</t>
  </si>
  <si>
    <t>KATHERINE NEIRA MONARDEZ</t>
  </si>
  <si>
    <t>COTROL EN 6 MESES  CON ECO CERVICAL Y EXAMENES DE LABORATORIO</t>
  </si>
  <si>
    <t>KARIN ALFARO COLLAO</t>
  </si>
  <si>
    <t xml:space="preserve">CONTROL EN 6 MESES CON ECOGRAFIA CERVICAL Y EXAMENES DE LABORATORIO </t>
  </si>
  <si>
    <t xml:space="preserve">KATERIN TAUCARE CRUZ </t>
  </si>
  <si>
    <t>6 meses</t>
  </si>
  <si>
    <t xml:space="preserve">KAREN TAPIA MANZANO </t>
  </si>
  <si>
    <t>CONTROL EN 6 MESES CON ECO DE CERVICAL Y EXAMENES DE LABORATORIO</t>
  </si>
  <si>
    <t xml:space="preserve">KAREN MUÑOZ TAPIA </t>
  </si>
  <si>
    <t>PENDIENTE EXA</t>
  </si>
  <si>
    <t xml:space="preserve">CONTROL EN 4 MESES Y EXAMENES </t>
  </si>
  <si>
    <t xml:space="preserve">KAREN IBACACHE MUNDACA </t>
  </si>
  <si>
    <t xml:space="preserve">JULIO GARCIA GARCIA </t>
  </si>
  <si>
    <t>JUANA CORTES ROJAS</t>
  </si>
  <si>
    <t>CONTROL EN  6 MESES CON EXAMENES DE LABORATORIO Y ECO</t>
  </si>
  <si>
    <t>JUANA CARVAJAL FLORES</t>
  </si>
  <si>
    <t xml:space="preserve">1 MES </t>
  </si>
  <si>
    <t xml:space="preserve">JOSEFINA NARANJO MALUENDA </t>
  </si>
  <si>
    <t xml:space="preserve">SE ENVIO CARPETA DE ANTECEDENTES A HLS </t>
  </si>
  <si>
    <t xml:space="preserve">JOSE LUIS ROSENDO NAMIAS </t>
  </si>
  <si>
    <t>USUARIO OPERADO EL 01-12-2025</t>
  </si>
  <si>
    <t>JUAN MANZANO QUEVEDO</t>
  </si>
  <si>
    <t xml:space="preserve">JOSE PERALTA RIVERA </t>
  </si>
  <si>
    <t>JOSE GARCIA OSORIO</t>
  </si>
  <si>
    <t>JOSE GAETE ESTOLAZA</t>
  </si>
  <si>
    <t xml:space="preserve">SIN COMITÉ </t>
  </si>
  <si>
    <t xml:space="preserve">CONTROL CON ECO CERVICAL DE REETAPIFICACION , EXAMENES DE LABORATORIO, TAC CUELLO Y TORAX </t>
  </si>
  <si>
    <t>JORGE ROMERO CARRASCO</t>
  </si>
  <si>
    <t>CONTROL EN 1 MES CON ECO CERVICAL Y EXAMENES DE LABORATORIO</t>
  </si>
  <si>
    <t xml:space="preserve">JORGE FLORES JOPIA </t>
  </si>
  <si>
    <t>JOHN VEGA DIAZ</t>
  </si>
  <si>
    <t>CONTROLEN 6 MESES CON ECO CERVICAL Y EXAMENES DE LABORATORIO</t>
  </si>
  <si>
    <t xml:space="preserve">JOCELYN MIRANDA MARAMBIO </t>
  </si>
  <si>
    <t>JINETT RAMOS MICHEA</t>
  </si>
  <si>
    <t>JIMENA MARAMBIO VALDIVIA</t>
  </si>
  <si>
    <t xml:space="preserve">PENDIENTE PRESENTAR A COMITE CON RESO Y EXAMENES </t>
  </si>
  <si>
    <t xml:space="preserve">JESSICA GUTIERREZ ZAPATA </t>
  </si>
  <si>
    <t>JESSICA CORTES BARRERA</t>
  </si>
  <si>
    <t>JESSICA CHIRINO ASTUDILLO</t>
  </si>
  <si>
    <t xml:space="preserve">JESICA MORENO AVALOS </t>
  </si>
  <si>
    <t>14-04-2025</t>
  </si>
  <si>
    <t xml:space="preserve">JENIFER ALBANEZ ALBANEZ </t>
  </si>
  <si>
    <t>CONTROL EN 2 MESES CON EXAMENES DE LABORATORIO</t>
  </si>
  <si>
    <t>JASNA MARAMBIO GARCIA</t>
  </si>
  <si>
    <t>JANETT SEVERIN LOPEZ</t>
  </si>
  <si>
    <t>1 AÑO</t>
  </si>
  <si>
    <t xml:space="preserve">JAIME CASTILLO BRIONES </t>
  </si>
  <si>
    <t>JACQUELINE PASACHE PEREZ</t>
  </si>
  <si>
    <t>CONTROL EN 1 MES CON EXAMENES Y ECO CERVIAL</t>
  </si>
  <si>
    <t xml:space="preserve">JAQUELINE LOPEZ TEJEDA </t>
  </si>
  <si>
    <t xml:space="preserve">CONTROL EN 2 MESES CON ECO CERVICAL Y EXAMENES DE LABORATORIO </t>
  </si>
  <si>
    <t>JACQUELINE COLLAO LAFERTE</t>
  </si>
  <si>
    <t xml:space="preserve">IRLANDA ROJO CABRERA </t>
  </si>
  <si>
    <t xml:space="preserve">IRIS TAPIA LAYANA </t>
  </si>
  <si>
    <t xml:space="preserve">IRIS FUENTES FUENTES </t>
  </si>
  <si>
    <t>INES RODRIGUEZ ROJAS</t>
  </si>
  <si>
    <t>INES CARVAJAL TORO</t>
  </si>
  <si>
    <t>RADIOYODO 02-10-2025</t>
  </si>
  <si>
    <t>HERNAN DIAZ RAMOS</t>
  </si>
  <si>
    <t>HELLEN FERNANDEZ ARAYA</t>
  </si>
  <si>
    <t>PENDIENTE PAAF</t>
  </si>
  <si>
    <t xml:space="preserve">REEPETIR PAAF CON MEDICION DE TIROGLUBULINA </t>
  </si>
  <si>
    <t>HECTOR VEGA AVALOS</t>
  </si>
  <si>
    <t xml:space="preserve">CANCER DE TIRPIDES </t>
  </si>
  <si>
    <t xml:space="preserve">HECTOR ARAYA ARAYA </t>
  </si>
  <si>
    <t xml:space="preserve">AGENDADA A CONTROL </t>
  </si>
  <si>
    <t>GUILLERMINA VILLAGRAN GOMEZ</t>
  </si>
  <si>
    <t>CONTROL EN 3  MESES CON ECO CERVICAL Y EXAMENES DE LABORATO</t>
  </si>
  <si>
    <t>GUADALUPE CARVAJAL CORTES</t>
  </si>
  <si>
    <t xml:space="preserve">CONTROL EN 1 MES CON EXAMENES Y ECO CERVICAL </t>
  </si>
  <si>
    <t>GLORIA ANGEL MILLA</t>
  </si>
  <si>
    <t xml:space="preserve">SE PRESENTARA A COMITE ONCOLOGICO REGIONAL </t>
  </si>
  <si>
    <t>GILDA BORQUEZ CORTES</t>
  </si>
  <si>
    <t>GABRIELA SOLIS BARRAZA</t>
  </si>
  <si>
    <t>GABRIELA CESPEDES URIBE</t>
  </si>
  <si>
    <t xml:space="preserve">SE SOLICITA EXAMENES DE LAB Y ECO PARA CONTROL </t>
  </si>
  <si>
    <t xml:space="preserve"> GES </t>
  </si>
  <si>
    <t>FRANCIA PINTO IBACACHE</t>
  </si>
  <si>
    <t xml:space="preserve">SE ENVIARÁ CARPETA DE ANTECEDENTES  HLS </t>
  </si>
  <si>
    <t>FANNY BUGUEÑO SAGUA</t>
  </si>
  <si>
    <t xml:space="preserve">CONTROL EN 6 MESES CON ECO CERVICAL  Y EXAMENES DE LABORATORIO </t>
  </si>
  <si>
    <t>FERNANDO RODRIGUEZ PALTA</t>
  </si>
  <si>
    <t xml:space="preserve">CONTROL EN 1 MES CON ECO CERVICAL Y EXAMENES DE LABORATORIO , TRAER DOCUMENTACION DE OPERACIÓN </t>
  </si>
  <si>
    <t>FABIOLA VELIZ CAMPUSANO</t>
  </si>
  <si>
    <t xml:space="preserve">DRA PALMA INDICA PAAF DE ADENOPATIA CERVICAL  </t>
  </si>
  <si>
    <t>EVELYN LOPEZ AGUILERA</t>
  </si>
  <si>
    <t xml:space="preserve">ESTEFANIA CONTRERAS OSORIO </t>
  </si>
  <si>
    <t>CANCER DE TOROIDES</t>
  </si>
  <si>
    <t>PENDIENE ECO DE ETAPIFICACION PARA PRESENTAR A COMITÉ ONCOLOGICO</t>
  </si>
  <si>
    <t xml:space="preserve">ESTER GODOY ITURRA </t>
  </si>
  <si>
    <t>ESTELA GARCIA LETELIER</t>
  </si>
  <si>
    <t>ESCARLET MARAMBIO PASTEN</t>
  </si>
  <si>
    <t>PENDIENTE EX PREOPRATORIOS</t>
  </si>
  <si>
    <t>ERNESTO ALFARO TOLEDO</t>
  </si>
  <si>
    <t>ERICA NUÑEZ EGAÑA</t>
  </si>
  <si>
    <t>ELIZABETH MERINO AHUMADA</t>
  </si>
  <si>
    <t>si</t>
  </si>
  <si>
    <t>ELOISA ROBLES ROBLES</t>
  </si>
  <si>
    <t xml:space="preserve">ELIAS HONORES BOLADOS </t>
  </si>
  <si>
    <t>27-12-2024</t>
  </si>
  <si>
    <t xml:space="preserve">CORRESPONDE CONTROL EN 6 MESES CON EXAMENES Y ECO </t>
  </si>
  <si>
    <t>ELIANA CASTILLO ARAYA</t>
  </si>
  <si>
    <t xml:space="preserve">ELBA DIAZ OLIVARES </t>
  </si>
  <si>
    <t>EDITH MARDONES AVILA</t>
  </si>
  <si>
    <t>EDITH LEDEZMA ALFARO</t>
  </si>
  <si>
    <t>DIANA OPAZO RODRIGUEZ</t>
  </si>
  <si>
    <t>DENINIS TRONCOSO BARRAZA</t>
  </si>
  <si>
    <t xml:space="preserve">27-11 DRA PALMA INDICA EXAMENES  Y ECO CERVICAL EN FEBRERO 2026, CONTROL CON EX EN DICIEMBRE </t>
  </si>
  <si>
    <t>DEVORA AVILES BARRAZA</t>
  </si>
  <si>
    <t>CONTROL EN 6 MESES CON ECO CERVUCAL Y EXAMENES DE LABORATORIO</t>
  </si>
  <si>
    <t>DAYAN CORDONES SOTO</t>
  </si>
  <si>
    <t>CONTROL CON ECO Y EXAMEN DE LAB + MAPA</t>
  </si>
  <si>
    <t>DAVID HIDALGO TABILO</t>
  </si>
  <si>
    <t>DANIELA JUAREZ TAPIA</t>
  </si>
  <si>
    <t>DANIELA IBACACHE MUNDACA</t>
  </si>
  <si>
    <t>CONTROL EN 6 MESES CON ECO CERVICAL Y EXAMENES DE LABORATORIOS</t>
  </si>
  <si>
    <t>DANIEL RODRIGUEZ DIAZ</t>
  </si>
  <si>
    <t>DANIEL ALFARO MENESES</t>
  </si>
  <si>
    <t>PENDIENTE HORA DE RADIOYODO</t>
  </si>
  <si>
    <t>CLAUDIO RIVERA ARAYA</t>
  </si>
  <si>
    <t>PENDIENTE EX DE LAB</t>
  </si>
  <si>
    <t xml:space="preserve">CLAUDIA TRONCOSO VALENZUELA </t>
  </si>
  <si>
    <t xml:space="preserve">CLAUDIO DIAZ ARAYA </t>
  </si>
  <si>
    <t>CLAUDIA REYES COLLAO</t>
  </si>
  <si>
    <t>CECILIA ROCCO PLAZA</t>
  </si>
  <si>
    <t>CATHERINE PIZARRO CORTES</t>
  </si>
  <si>
    <t>CAROLINA OLIVARES ROJAS</t>
  </si>
  <si>
    <t>CAROLINA FLORES CASTRO</t>
  </si>
  <si>
    <t>CAROL TAIBA GUERRERO</t>
  </si>
  <si>
    <t xml:space="preserve">AGENDAR CONTROL POST INTERVENCION QUIRURGICA </t>
  </si>
  <si>
    <t>CARMEN TAYBA GALLEGUILLOS</t>
  </si>
  <si>
    <t>CARMEN MOLINA VELIZ</t>
  </si>
  <si>
    <t xml:space="preserve">CONTROL EN 6 MESES CON ECO + LABORATORIO </t>
  </si>
  <si>
    <t>CARMEN MALUENDA BUGUEÑO</t>
  </si>
  <si>
    <t xml:space="preserve">CARMEN BUGUEÑO URBINA </t>
  </si>
  <si>
    <t>CARLOS PERERIRA CANIBILO</t>
  </si>
  <si>
    <t>PENDIENTE EXPLORACIÓN SISTEMICA, EXAMENES OK</t>
  </si>
  <si>
    <t>03-07-02025</t>
  </si>
  <si>
    <t>CARLA SANDERS SAEZ</t>
  </si>
  <si>
    <t>CAMILA NARANJO FUENTES</t>
  </si>
  <si>
    <t>18-11 SE ENVIA ORDEN PARA TRATAMIENTO DE RY</t>
  </si>
  <si>
    <t>CAMILA GABLER PIZARRO</t>
  </si>
  <si>
    <t>AGENDAR CONTROL CON PAFF DE ADENOPATIA ,ECO  Y PRUEBAS DE LABORATORIO</t>
  </si>
  <si>
    <t>BETTY SEGOVIA CAMPOS</t>
  </si>
  <si>
    <t>CONTROL EN 6 MESES ECO CERVICAL Y EXAMENES DE LABORATORIO</t>
  </si>
  <si>
    <t>BENITA ANGEL ORMAZABAL</t>
  </si>
  <si>
    <t xml:space="preserve">CONTROL EN 2 MESES CON EXAMENES Y ECO CERVICAL </t>
  </si>
  <si>
    <t>BEATRIZ MARIN TORRES</t>
  </si>
  <si>
    <t xml:space="preserve">CONTROL CON EXAMENES EN 2 MESES </t>
  </si>
  <si>
    <t>BARTOLA BARRAZA CODOCEO</t>
  </si>
  <si>
    <t>AUGUSTO CORTES GODOY</t>
  </si>
  <si>
    <t xml:space="preserve">CONTROL EN 1 AÑO CON EXAMENES DE LABORATORIO Y ECO CERVICAL </t>
  </si>
  <si>
    <t xml:space="preserve">ANUAL </t>
  </si>
  <si>
    <t xml:space="preserve">ASERET CAMPOS FUENTES </t>
  </si>
  <si>
    <t xml:space="preserve">PENDIENTE LLAMADO </t>
  </si>
  <si>
    <t xml:space="preserve">SE DECIDE TRATAR POR EXTRASISTEMA </t>
  </si>
  <si>
    <t xml:space="preserve">ANGELINA CORTES ARAYA </t>
  </si>
  <si>
    <t>ANA ROJAS BERRIOS</t>
  </si>
  <si>
    <t xml:space="preserve">ANA ROCA ALEGRIA </t>
  </si>
  <si>
    <t>ANA ARAYA CASTILLO</t>
  </si>
  <si>
    <t xml:space="preserve"> TRATAMIENTO </t>
  </si>
  <si>
    <t>PENDIENTE PRESENTAR A COMITE, PENDIENTE EXAMENES DE LAB</t>
  </si>
  <si>
    <t xml:space="preserve">AMARO ALVAREZ ANTIQUERA </t>
  </si>
  <si>
    <t>LLAMAR</t>
  </si>
  <si>
    <t xml:space="preserve">SE DERIVA AL H ROBERTO DEL RIO// INTERVENIDO QUIRURGICAMENTE EL 30-05-2024 </t>
  </si>
  <si>
    <t>AMADIEL ROJAS GUTIERREZ</t>
  </si>
  <si>
    <t xml:space="preserve">10-07 DRA PALMA INDICA CONTROL CON EX DE LAB Y ECO DE CUELLO PRIORIZAR </t>
  </si>
  <si>
    <t>1 MS</t>
  </si>
  <si>
    <t>ALICIA GUZMAN GUZMAN</t>
  </si>
  <si>
    <t xml:space="preserve">06-06 SE DERIVA EN HLS PARA INTERVENCIÓN QUIRURGICA </t>
  </si>
  <si>
    <t>ALEJANDRA TAPIA APABLAZA</t>
  </si>
  <si>
    <t>ALEJANDRA SUAREZ MORALES</t>
  </si>
  <si>
    <t>ALEJANDRA PLAZA TOLEDO</t>
  </si>
  <si>
    <t xml:space="preserve">ADRIANA ROJAS ROJAS </t>
  </si>
  <si>
    <t>ADOLINA LAYANA ARAYA</t>
  </si>
  <si>
    <t>ADELA TAPIA ROBLERO</t>
  </si>
  <si>
    <t>MONTE PATRIA</t>
  </si>
  <si>
    <t xml:space="preserve">MARGARITA BRAVO CARVAJAL </t>
  </si>
  <si>
    <t>CARMEN ULLOA ZAMORA</t>
  </si>
  <si>
    <t xml:space="preserve">PENDIENTE PRESENTAR A COMITE ONCOLOGICO </t>
  </si>
  <si>
    <t xml:space="preserve">GREGORIO FUENTES ARAYA </t>
  </si>
  <si>
    <t xml:space="preserve">PENDIENTE ESTUDIOS DE ECO TAC NASO </t>
  </si>
  <si>
    <t>KARINA JIMENEZ SOLIS DE OVANDO</t>
  </si>
  <si>
    <t>PENDIENTE ETAPIFICACION</t>
  </si>
  <si>
    <t>ALEJANDRINA BUGUEÑO TALAMILLA</t>
  </si>
  <si>
    <t xml:space="preserve">SE DERIVA  A HLS PARA INTERVENCIÓN QUIRURGICA </t>
  </si>
  <si>
    <t>ENFEMERA</t>
  </si>
  <si>
    <t>ESTER GODOY ITURRA</t>
  </si>
  <si>
    <t xml:space="preserve">DIANA CAMPUSANO </t>
  </si>
  <si>
    <t xml:space="preserve">NAYALI ARAYA QUINTERO </t>
  </si>
  <si>
    <t xml:space="preserve">PENDIENTE ETAPIFICACION </t>
  </si>
  <si>
    <t>ALIDA TAPIA BRICEÑO</t>
  </si>
  <si>
    <t xml:space="preserve">BORIS ARAYA GARCIA </t>
  </si>
  <si>
    <t xml:space="preserve">PENDIENTE ESTUDIOS </t>
  </si>
  <si>
    <t xml:space="preserve">VILMA GUERRERO QUIÑONES </t>
  </si>
  <si>
    <t xml:space="preserve">JESSICA ALVEAR CONTRERAS </t>
  </si>
  <si>
    <t xml:space="preserve">DR RIVERA INDICA PRESENTAR NUEVAMENTE A COMITE </t>
  </si>
  <si>
    <t>CECILIA CAMPOS CAMPOS</t>
  </si>
  <si>
    <t>no</t>
  </si>
  <si>
    <t xml:space="preserve">PENDIENTE CITAR POR ENDOCRINO </t>
  </si>
  <si>
    <t xml:space="preserve">CARMEN PASTENE PASTENE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</si>
</sst>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rgb="FF434343"/>
      <name val="Calibri"/>
      <family val="2"/>
      <scheme val="minor"/>
    </font>
    <font>
      <sz val="14"/>
      <name val="Calibri"/>
      <family val="2"/>
    </font>
    <font>
      <sz val="14"/>
      <color rgb="FF434343"/>
      <name val="Verdana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 tint="-0.14993743705557422"/>
        <bgColor rgb="FFDAE3F3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00A933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rgb="FF800000"/>
      </patternFill>
    </fill>
    <fill>
      <patternFill patternType="solid">
        <fgColor theme="0"/>
        <bgColor rgb="FFE2F0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/>
        <bgColor rgb="FF77BC65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00A933"/>
      </patternFill>
    </fill>
    <fill>
      <patternFill patternType="solid">
        <fgColor theme="0" tint="-0.14993743705557422"/>
        <b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8" tint="0.5999938962981048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2065187536243"/>
        <bgColor theme="8" tint="0.79992065187536243"/>
      </patternFill>
    </fill>
    <fill>
      <patternFill patternType="solid">
        <fgColor rgb="FFF64CDE"/>
        <bgColor indexed="64"/>
      </patternFill>
    </fill>
    <fill>
      <patternFill patternType="solid">
        <fgColor rgb="FFE45EA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D966"/>
      </patternFill>
    </fill>
    <fill>
      <patternFill patternType="solid">
        <fgColor theme="2"/>
        <bgColor theme="8" tint="0.59999389629810485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3" borderId="2" xfId="0" applyFill="1" applyBorder="1"/>
    <xf numFmtId="0" fontId="0" fillId="3" borderId="1" xfId="0" applyFill="1" applyBorder="1"/>
    <xf numFmtId="0" fontId="0" fillId="5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/>
    <xf numFmtId="0" fontId="0" fillId="0" borderId="2" xfId="0" applyBorder="1"/>
    <xf numFmtId="0" fontId="0" fillId="0" borderId="1" xfId="0" applyBorder="1"/>
    <xf numFmtId="17" fontId="0" fillId="0" borderId="1" xfId="0" applyNumberFormat="1" applyBorder="1"/>
    <xf numFmtId="14" fontId="0" fillId="0" borderId="1" xfId="0" applyNumberFormat="1" applyBorder="1"/>
    <xf numFmtId="0" fontId="0" fillId="3" borderId="0" xfId="0" applyFill="1"/>
    <xf numFmtId="0" fontId="5" fillId="3" borderId="0" xfId="0" applyFont="1" applyFill="1"/>
    <xf numFmtId="0" fontId="5" fillId="5" borderId="0" xfId="0" applyFont="1" applyFill="1"/>
    <xf numFmtId="0" fontId="5" fillId="10" borderId="0" xfId="0" applyFont="1" applyFill="1"/>
    <xf numFmtId="0" fontId="5" fillId="11" borderId="0" xfId="0" applyFont="1" applyFill="1"/>
    <xf numFmtId="0" fontId="5" fillId="6" borderId="0" xfId="0" applyFont="1" applyFill="1"/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/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right"/>
    </xf>
    <xf numFmtId="1" fontId="5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5" fillId="14" borderId="1" xfId="0" applyFont="1" applyFill="1" applyBorder="1" applyAlignment="1">
      <alignment horizontal="center"/>
    </xf>
    <xf numFmtId="0" fontId="7" fillId="8" borderId="1" xfId="0" applyFont="1" applyFill="1" applyBorder="1"/>
    <xf numFmtId="0" fontId="7" fillId="8" borderId="1" xfId="0" applyFont="1" applyFill="1" applyBorder="1" applyAlignment="1">
      <alignment horizontal="center"/>
    </xf>
    <xf numFmtId="0" fontId="5" fillId="15" borderId="1" xfId="0" applyFont="1" applyFill="1" applyBorder="1"/>
    <xf numFmtId="0" fontId="5" fillId="15" borderId="1" xfId="0" applyFont="1" applyFill="1" applyBorder="1" applyAlignment="1">
      <alignment horizontal="center"/>
    </xf>
    <xf numFmtId="0" fontId="5" fillId="13" borderId="1" xfId="0" applyFont="1" applyFill="1" applyBorder="1"/>
    <xf numFmtId="0" fontId="5" fillId="3" borderId="1" xfId="0" applyFont="1" applyFill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/>
    <xf numFmtId="0" fontId="5" fillId="3" borderId="2" xfId="0" applyFont="1" applyFill="1" applyBorder="1"/>
    <xf numFmtId="0" fontId="5" fillId="3" borderId="4" xfId="0" applyFont="1" applyFill="1" applyBorder="1"/>
    <xf numFmtId="0" fontId="5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/>
    <xf numFmtId="0" fontId="5" fillId="5" borderId="1" xfId="0" applyFont="1" applyFill="1" applyBorder="1"/>
    <xf numFmtId="14" fontId="5" fillId="3" borderId="1" xfId="0" applyNumberFormat="1" applyFont="1" applyFill="1" applyBorder="1"/>
    <xf numFmtId="14" fontId="5" fillId="14" borderId="1" xfId="0" applyNumberFormat="1" applyFont="1" applyFill="1" applyBorder="1"/>
    <xf numFmtId="14" fontId="7" fillId="8" borderId="1" xfId="0" applyNumberFormat="1" applyFont="1" applyFill="1" applyBorder="1"/>
    <xf numFmtId="14" fontId="5" fillId="13" borderId="1" xfId="0" applyNumberFormat="1" applyFont="1" applyFill="1" applyBorder="1"/>
    <xf numFmtId="14" fontId="5" fillId="0" borderId="1" xfId="0" applyNumberFormat="1" applyFont="1" applyBorder="1"/>
    <xf numFmtId="0" fontId="5" fillId="3" borderId="1" xfId="0" applyFont="1" applyFill="1" applyBorder="1" applyAlignment="1">
      <alignment wrapText="1"/>
    </xf>
    <xf numFmtId="0" fontId="8" fillId="2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horizontal="center" wrapText="1"/>
    </xf>
    <xf numFmtId="0" fontId="10" fillId="16" borderId="1" xfId="0" applyFont="1" applyFill="1" applyBorder="1" applyAlignment="1">
      <alignment wrapText="1"/>
    </xf>
    <xf numFmtId="0" fontId="3" fillId="16" borderId="1" xfId="0" applyFont="1" applyFill="1" applyBorder="1"/>
    <xf numFmtId="0" fontId="5" fillId="17" borderId="1" xfId="0" applyFont="1" applyFill="1" applyBorder="1"/>
    <xf numFmtId="14" fontId="11" fillId="3" borderId="4" xfId="0" applyNumberFormat="1" applyFont="1" applyFill="1" applyBorder="1" applyAlignment="1">
      <alignment horizontal="left" vertical="center" wrapText="1"/>
    </xf>
    <xf numFmtId="0" fontId="0" fillId="18" borderId="1" xfId="0" applyFill="1" applyBorder="1"/>
    <xf numFmtId="14" fontId="0" fillId="3" borderId="1" xfId="0" applyNumberFormat="1" applyFill="1" applyBorder="1" applyAlignment="1">
      <alignment horizontal="left" wrapText="1"/>
    </xf>
    <xf numFmtId="0" fontId="5" fillId="14" borderId="1" xfId="0" applyFont="1" applyFill="1" applyBorder="1" applyAlignment="1">
      <alignment wrapText="1"/>
    </xf>
    <xf numFmtId="0" fontId="5" fillId="0" borderId="2" xfId="0" applyFont="1" applyBorder="1"/>
    <xf numFmtId="0" fontId="0" fillId="19" borderId="1" xfId="0" applyFill="1" applyBorder="1"/>
    <xf numFmtId="0" fontId="5" fillId="15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0" fillId="20" borderId="1" xfId="0" applyFill="1" applyBorder="1"/>
    <xf numFmtId="0" fontId="0" fillId="3" borderId="0" xfId="0" applyFill="1" applyAlignment="1">
      <alignment wrapText="1"/>
    </xf>
    <xf numFmtId="0" fontId="0" fillId="0" borderId="1" xfId="0" applyBorder="1" applyAlignment="1">
      <alignment wrapText="1"/>
    </xf>
    <xf numFmtId="0" fontId="5" fillId="14" borderId="1" xfId="0" applyFont="1" applyFill="1" applyBorder="1" applyAlignment="1">
      <alignment horizontal="center" vertic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5" fillId="0" borderId="4" xfId="0" applyFont="1" applyBorder="1"/>
    <xf numFmtId="14" fontId="13" fillId="3" borderId="1" xfId="0" applyNumberFormat="1" applyFont="1" applyFill="1" applyBorder="1"/>
    <xf numFmtId="14" fontId="5" fillId="3" borderId="4" xfId="0" applyNumberFormat="1" applyFont="1" applyFill="1" applyBorder="1"/>
    <xf numFmtId="14" fontId="5" fillId="0" borderId="4" xfId="0" applyNumberFormat="1" applyFont="1" applyBorder="1"/>
    <xf numFmtId="0" fontId="14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wrapText="1"/>
    </xf>
    <xf numFmtId="17" fontId="0" fillId="3" borderId="1" xfId="0" applyNumberFormat="1" applyFill="1" applyBorder="1"/>
    <xf numFmtId="0" fontId="5" fillId="11" borderId="1" xfId="0" applyFont="1" applyFill="1" applyBorder="1"/>
    <xf numFmtId="14" fontId="5" fillId="11" borderId="1" xfId="0" applyNumberFormat="1" applyFont="1" applyFill="1" applyBorder="1"/>
    <xf numFmtId="0" fontId="5" fillId="21" borderId="4" xfId="0" applyFont="1" applyFill="1" applyBorder="1"/>
    <xf numFmtId="0" fontId="5" fillId="22" borderId="1" xfId="0" applyFont="1" applyFill="1" applyBorder="1"/>
    <xf numFmtId="0" fontId="5" fillId="11" borderId="1" xfId="0" applyFont="1" applyFill="1" applyBorder="1" applyAlignment="1">
      <alignment wrapText="1"/>
    </xf>
    <xf numFmtId="14" fontId="0" fillId="11" borderId="1" xfId="0" applyNumberFormat="1" applyFill="1" applyBorder="1"/>
    <xf numFmtId="0" fontId="0" fillId="11" borderId="1" xfId="0" applyFill="1" applyBorder="1"/>
    <xf numFmtId="0" fontId="14" fillId="3" borderId="1" xfId="0" applyFont="1" applyFill="1" applyBorder="1"/>
    <xf numFmtId="0" fontId="5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wrapText="1"/>
    </xf>
    <xf numFmtId="0" fontId="5" fillId="23" borderId="0" xfId="0" applyFont="1" applyFill="1"/>
    <xf numFmtId="0" fontId="0" fillId="12" borderId="0" xfId="0" applyFill="1"/>
    <xf numFmtId="0" fontId="15" fillId="2" borderId="3" xfId="0" applyFont="1" applyFill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5" fillId="23" borderId="1" xfId="0" applyFont="1" applyFill="1" applyBorder="1"/>
    <xf numFmtId="0" fontId="5" fillId="24" borderId="1" xfId="0" applyFont="1" applyFill="1" applyBorder="1"/>
    <xf numFmtId="0" fontId="5" fillId="24" borderId="1" xfId="0" applyFont="1" applyFill="1" applyBorder="1" applyAlignment="1">
      <alignment horizontal="center"/>
    </xf>
    <xf numFmtId="1" fontId="5" fillId="23" borderId="1" xfId="0" applyNumberFormat="1" applyFont="1" applyFill="1" applyBorder="1"/>
    <xf numFmtId="0" fontId="15" fillId="2" borderId="3" xfId="0" applyFont="1" applyFill="1" applyBorder="1" applyAlignment="1">
      <alignment vertical="center" wrapText="1"/>
    </xf>
    <xf numFmtId="0" fontId="15" fillId="4" borderId="3" xfId="0" applyFont="1" applyFill="1" applyBorder="1" applyAlignment="1">
      <alignment horizontal="center" vertical="center"/>
    </xf>
    <xf numFmtId="14" fontId="5" fillId="24" borderId="1" xfId="0" applyNumberFormat="1" applyFont="1" applyFill="1" applyBorder="1"/>
    <xf numFmtId="0" fontId="5" fillId="23" borderId="1" xfId="0" applyFont="1" applyFill="1" applyBorder="1" applyAlignment="1">
      <alignment wrapText="1"/>
    </xf>
    <xf numFmtId="0" fontId="16" fillId="2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horizontal="center" wrapText="1"/>
    </xf>
    <xf numFmtId="0" fontId="5" fillId="23" borderId="2" xfId="0" applyFont="1" applyFill="1" applyBorder="1"/>
    <xf numFmtId="14" fontId="11" fillId="23" borderId="4" xfId="0" applyNumberFormat="1" applyFont="1" applyFill="1" applyBorder="1" applyAlignment="1">
      <alignment horizontal="left" vertical="center" wrapText="1"/>
    </xf>
    <xf numFmtId="14" fontId="0" fillId="23" borderId="1" xfId="0" applyNumberFormat="1" applyFill="1" applyBorder="1"/>
    <xf numFmtId="0" fontId="0" fillId="23" borderId="1" xfId="0" applyFill="1" applyBorder="1"/>
    <xf numFmtId="0" fontId="0" fillId="25" borderId="1" xfId="0" applyFill="1" applyBorder="1"/>
    <xf numFmtId="0" fontId="0" fillId="23" borderId="1" xfId="0" applyFill="1" applyBorder="1" applyAlignment="1">
      <alignment wrapText="1"/>
    </xf>
    <xf numFmtId="0" fontId="0" fillId="22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5" fillId="0" borderId="3" xfId="0" applyFont="1" applyBorder="1"/>
    <xf numFmtId="0" fontId="0" fillId="0" borderId="1" xfId="0" applyBorder="1" applyAlignment="1">
      <alignment vertical="center"/>
    </xf>
    <xf numFmtId="0" fontId="5" fillId="3" borderId="1" xfId="0" applyFont="1" applyFill="1" applyBorder="1" applyAlignment="1" applyProtection="1">
      <alignment horizontal="center"/>
      <protection locked="0"/>
    </xf>
    <xf numFmtId="14" fontId="11" fillId="3" borderId="1" xfId="0" applyNumberFormat="1" applyFont="1" applyFill="1" applyBorder="1" applyAlignment="1">
      <alignment horizontal="left" vertical="center" wrapText="1"/>
    </xf>
    <xf numFmtId="14" fontId="0" fillId="0" borderId="4" xfId="0" applyNumberFormat="1" applyBorder="1"/>
    <xf numFmtId="0" fontId="5" fillId="3" borderId="3" xfId="0" applyFont="1" applyFill="1" applyBorder="1"/>
    <xf numFmtId="0" fontId="11" fillId="3" borderId="1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" fontId="5" fillId="3" borderId="4" xfId="0" applyNumberFormat="1" applyFont="1" applyFill="1" applyBorder="1"/>
    <xf numFmtId="14" fontId="11" fillId="11" borderId="1" xfId="0" applyNumberFormat="1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/>
    </xf>
    <xf numFmtId="0" fontId="11" fillId="0" borderId="0" xfId="0" applyFont="1"/>
    <xf numFmtId="0" fontId="5" fillId="3" borderId="0" xfId="0" applyFont="1" applyFill="1" applyAlignment="1">
      <alignment wrapText="1"/>
    </xf>
    <xf numFmtId="0" fontId="5" fillId="0" borderId="7" xfId="0" applyFont="1" applyBorder="1"/>
    <xf numFmtId="3" fontId="5" fillId="3" borderId="1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5" fillId="15" borderId="2" xfId="0" applyFont="1" applyFill="1" applyBorder="1"/>
    <xf numFmtId="14" fontId="5" fillId="15" borderId="1" xfId="0" applyNumberFormat="1" applyFont="1" applyFill="1" applyBorder="1"/>
    <xf numFmtId="0" fontId="5" fillId="15" borderId="4" xfId="0" applyFont="1" applyFill="1" applyBorder="1" applyAlignment="1">
      <alignment horizontal="left" vertical="center" wrapText="1"/>
    </xf>
    <xf numFmtId="0" fontId="5" fillId="28" borderId="1" xfId="0" applyFont="1" applyFill="1" applyBorder="1"/>
    <xf numFmtId="0" fontId="11" fillId="0" borderId="1" xfId="0" applyFont="1" applyBorder="1" applyAlignment="1">
      <alignment horizontal="right"/>
    </xf>
    <xf numFmtId="14" fontId="5" fillId="0" borderId="0" xfId="0" applyNumberFormat="1" applyFont="1"/>
    <xf numFmtId="0" fontId="5" fillId="0" borderId="4" xfId="0" applyFont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/>
    <xf numFmtId="0" fontId="5" fillId="9" borderId="5" xfId="0" applyFont="1" applyFill="1" applyBorder="1"/>
    <xf numFmtId="0" fontId="5" fillId="29" borderId="1" xfId="0" applyFont="1" applyFill="1" applyBorder="1"/>
    <xf numFmtId="0" fontId="5" fillId="29" borderId="5" xfId="0" applyFont="1" applyFill="1" applyBorder="1"/>
    <xf numFmtId="0" fontId="5" fillId="29" borderId="0" xfId="0" applyFont="1" applyFill="1"/>
    <xf numFmtId="0" fontId="0" fillId="3" borderId="1" xfId="0" applyFill="1" applyBorder="1" applyAlignment="1">
      <alignment vertical="center"/>
    </xf>
    <xf numFmtId="0" fontId="5" fillId="30" borderId="1" xfId="0" applyFont="1" applyFill="1" applyBorder="1"/>
    <xf numFmtId="0" fontId="5" fillId="31" borderId="1" xfId="0" applyFont="1" applyFill="1" applyBorder="1"/>
    <xf numFmtId="0" fontId="5" fillId="3" borderId="1" xfId="0" applyFont="1" applyFill="1" applyBorder="1" applyAlignment="1" applyProtection="1">
      <alignment horizontal="left"/>
      <protection locked="0"/>
    </xf>
    <xf numFmtId="0" fontId="1" fillId="3" borderId="1" xfId="0" applyFont="1" applyFill="1" applyBorder="1"/>
    <xf numFmtId="0" fontId="1" fillId="3" borderId="2" xfId="0" applyFont="1" applyFill="1" applyBorder="1"/>
    <xf numFmtId="14" fontId="1" fillId="3" borderId="1" xfId="0" applyNumberFormat="1" applyFont="1" applyFill="1" applyBorder="1"/>
    <xf numFmtId="14" fontId="1" fillId="3" borderId="1" xfId="0" applyNumberFormat="1" applyFont="1" applyFill="1" applyBorder="1" applyAlignment="1">
      <alignment horizontal="left" wrapText="1"/>
    </xf>
    <xf numFmtId="0" fontId="5" fillId="32" borderId="1" xfId="0" applyFont="1" applyFill="1" applyBorder="1"/>
    <xf numFmtId="0" fontId="5" fillId="21" borderId="1" xfId="0" applyFont="1" applyFill="1" applyBorder="1"/>
    <xf numFmtId="0" fontId="5" fillId="0" borderId="8" xfId="0" applyFont="1" applyBorder="1"/>
    <xf numFmtId="0" fontId="5" fillId="29" borderId="3" xfId="0" applyFont="1" applyFill="1" applyBorder="1"/>
    <xf numFmtId="0" fontId="5" fillId="5" borderId="3" xfId="0" applyFont="1" applyFill="1" applyBorder="1"/>
    <xf numFmtId="14" fontId="5" fillId="0" borderId="3" xfId="0" applyNumberFormat="1" applyFont="1" applyBorder="1"/>
    <xf numFmtId="0" fontId="0" fillId="0" borderId="3" xfId="0" applyBorder="1" applyAlignment="1">
      <alignment vertical="center"/>
    </xf>
    <xf numFmtId="14" fontId="5" fillId="0" borderId="8" xfId="0" applyNumberFormat="1" applyFont="1" applyBorder="1"/>
    <xf numFmtId="0" fontId="6" fillId="12" borderId="0" xfId="0" applyFont="1" applyFill="1" applyAlignment="1">
      <alignment horizontal="center"/>
    </xf>
    <xf numFmtId="0" fontId="6" fillId="12" borderId="6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FFF64CDE"/>
      <color rgb="FF00FFCC"/>
      <color rgb="FFCCFF66"/>
      <color rgb="FFFF7575"/>
      <color rgb="FFE45EAE"/>
      <color rgb="FFFF4B4B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1295400</xdr:colOff>
      <xdr:row>0</xdr:row>
      <xdr:rowOff>76200</xdr:rowOff>
    </xdr:from>
    <xdr:to>
      <xdr:col>10</xdr:col>
      <xdr:colOff>1314450</xdr:colOff>
      <xdr:row>2</xdr:row>
      <xdr:rowOff>152400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277100" y="76200"/>
          <a:ext cx="3524250" cy="457200"/>
        </a:xfrm>
        <a:prstGeom prst="rect">
          <a:avLst/>
        </a:prstGeom>
        <a:solidFill>
          <a:srgbClr val="00336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>
              <a:solidFill>
                <a:schemeClr val="bg1"/>
              </a:solidFill>
            </a:rPr>
            <a:t>ENDOCRINOLOGIA</a:t>
          </a:r>
          <a:r>
            <a:rPr lang="es-CL" sz="2000" b="1" baseline="0">
              <a:solidFill>
                <a:schemeClr val="bg1"/>
              </a:solidFill>
            </a:rPr>
            <a:t> </a:t>
          </a:r>
          <a:endParaRPr lang="es-CL" sz="20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5"/>
  <sheetViews>
    <sheetView workbookViewId="0">
      <selection activeCell="C4" sqref="C4"/>
    </sheetView>
  </sheetViews>
  <sheetFormatPr defaultColWidth="11" defaultRowHeight="15"/>
  <cols>
    <col min="3" max="3" width="22.75" customWidth="1"/>
    <col min="4" max="4" width="32.25" customWidth="1"/>
  </cols>
  <sheetData>
    <row r="1" spans="3:4">
      <c r="C1" s="8" t="s">
        <v>0</v>
      </c>
      <c r="D1" s="8" t="s">
        <v>1</v>
      </c>
    </row>
    <row r="2" spans="3:4">
      <c r="C2" s="112"/>
      <c r="D2" s="8" t="s">
        <v>2</v>
      </c>
    </row>
    <row r="3" spans="3:4">
      <c r="C3" s="3"/>
      <c r="D3" s="8" t="s">
        <v>3</v>
      </c>
    </row>
    <row r="4" spans="3:4" ht="30">
      <c r="C4" s="113"/>
      <c r="D4" s="69" t="s">
        <v>4</v>
      </c>
    </row>
    <row r="5" spans="3:4">
      <c r="C5" s="114"/>
      <c r="D5" s="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D81"/>
  <sheetViews>
    <sheetView zoomScale="80" zoomScaleNormal="80" workbookViewId="0">
      <selection activeCell="I18" sqref="I13:K18"/>
    </sheetView>
  </sheetViews>
  <sheetFormatPr defaultColWidth="11" defaultRowHeight="15"/>
  <cols>
    <col min="1" max="1" width="14" customWidth="1"/>
    <col min="2" max="2" width="29.375" customWidth="1"/>
    <col min="3" max="3" width="16.25" customWidth="1"/>
    <col min="4" max="4" width="5.75" customWidth="1"/>
    <col min="5" max="5" width="6.875" customWidth="1"/>
    <col min="6" max="6" width="17.375" customWidth="1"/>
    <col min="7" max="7" width="20.75" customWidth="1"/>
    <col min="8" max="8" width="9.875" customWidth="1"/>
    <col min="9" max="9" width="15.625" customWidth="1"/>
    <col min="10" max="10" width="9.375" customWidth="1"/>
    <col min="11" max="11" width="16.75" customWidth="1"/>
    <col min="12" max="12" width="20.75" customWidth="1"/>
    <col min="13" max="13" width="29.125" customWidth="1"/>
    <col min="14" max="14" width="19.375" customWidth="1"/>
    <col min="15" max="20" width="20.75" customWidth="1"/>
  </cols>
  <sheetData>
    <row r="1" spans="1:212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12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</row>
    <row r="3" spans="1:21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</row>
    <row r="4" spans="1:212" ht="41.25" customHeight="1">
      <c r="A4" s="92" t="s">
        <v>6</v>
      </c>
      <c r="B4" s="92" t="s">
        <v>7</v>
      </c>
      <c r="C4" s="92" t="s">
        <v>8</v>
      </c>
      <c r="D4" s="92" t="s">
        <v>9</v>
      </c>
      <c r="E4" s="92" t="s">
        <v>10</v>
      </c>
      <c r="F4" s="92" t="s">
        <v>11</v>
      </c>
      <c r="G4" s="92" t="s">
        <v>12</v>
      </c>
      <c r="H4" s="92" t="s">
        <v>13</v>
      </c>
      <c r="I4" s="92" t="s">
        <v>14</v>
      </c>
      <c r="J4" s="99" t="s">
        <v>15</v>
      </c>
      <c r="K4" s="92" t="s">
        <v>16</v>
      </c>
      <c r="L4" s="99" t="s">
        <v>17</v>
      </c>
      <c r="M4" s="99" t="s">
        <v>18</v>
      </c>
      <c r="N4" s="99" t="s">
        <v>19</v>
      </c>
      <c r="O4" s="92" t="s">
        <v>20</v>
      </c>
      <c r="P4" s="100" t="s">
        <v>21</v>
      </c>
      <c r="Q4" s="103" t="s">
        <v>22</v>
      </c>
      <c r="R4" s="104" t="s">
        <v>23</v>
      </c>
      <c r="S4" s="104" t="s">
        <v>24</v>
      </c>
      <c r="T4" s="105" t="s">
        <v>25</v>
      </c>
    </row>
    <row r="5" spans="1:212">
      <c r="A5" s="2" t="s">
        <v>26</v>
      </c>
      <c r="B5" s="2" t="s">
        <v>27</v>
      </c>
      <c r="C5" s="5">
        <v>7110942</v>
      </c>
      <c r="D5" s="2">
        <v>9</v>
      </c>
      <c r="E5" s="6" t="e">
        <f>#REF!</f>
        <v>#REF!</v>
      </c>
      <c r="F5" s="2" t="s">
        <v>28</v>
      </c>
      <c r="G5" s="2" t="s">
        <v>29</v>
      </c>
      <c r="H5" s="2">
        <v>2022</v>
      </c>
      <c r="I5" s="4">
        <v>44712</v>
      </c>
      <c r="J5" s="2" t="s">
        <v>30</v>
      </c>
      <c r="K5" s="2" t="s">
        <v>31</v>
      </c>
      <c r="L5" s="4">
        <v>45090</v>
      </c>
      <c r="M5" s="8" t="s">
        <v>31</v>
      </c>
      <c r="N5" s="8" t="s">
        <v>32</v>
      </c>
      <c r="O5" s="8" t="s">
        <v>33</v>
      </c>
      <c r="P5" s="8" t="s">
        <v>34</v>
      </c>
      <c r="Q5" s="66"/>
      <c r="R5" s="8"/>
      <c r="S5" s="8"/>
      <c r="T5" s="9"/>
    </row>
    <row r="6" spans="1:212">
      <c r="A6" s="2" t="s">
        <v>26</v>
      </c>
      <c r="B6" s="93" t="s">
        <v>35</v>
      </c>
      <c r="C6" s="94">
        <v>10668420</v>
      </c>
      <c r="D6" s="93">
        <v>0</v>
      </c>
      <c r="E6" s="93"/>
      <c r="F6" s="93" t="s">
        <v>36</v>
      </c>
      <c r="G6" s="93" t="s">
        <v>29</v>
      </c>
      <c r="H6" s="93">
        <v>2024</v>
      </c>
      <c r="I6" s="93"/>
      <c r="J6" s="93" t="s">
        <v>37</v>
      </c>
      <c r="K6" s="93" t="s">
        <v>38</v>
      </c>
      <c r="L6" s="93"/>
      <c r="M6" s="93"/>
      <c r="N6" s="93" t="s">
        <v>32</v>
      </c>
      <c r="O6" s="93"/>
      <c r="P6" s="93" t="s">
        <v>34</v>
      </c>
      <c r="Q6" s="93"/>
      <c r="R6" s="93"/>
      <c r="S6" s="93"/>
      <c r="T6" s="93"/>
    </row>
    <row r="7" spans="1:212" s="12" customFormat="1" ht="131.25">
      <c r="A7" s="19" t="s">
        <v>26</v>
      </c>
      <c r="B7" s="19" t="s">
        <v>39</v>
      </c>
      <c r="C7" s="24">
        <v>9285503</v>
      </c>
      <c r="D7" s="19">
        <v>1</v>
      </c>
      <c r="E7" s="23">
        <v>61</v>
      </c>
      <c r="F7" s="19" t="s">
        <v>28</v>
      </c>
      <c r="G7" s="19" t="s">
        <v>29</v>
      </c>
      <c r="H7" s="19">
        <v>2022</v>
      </c>
      <c r="I7" s="46">
        <v>44845</v>
      </c>
      <c r="J7" s="19" t="s">
        <v>30</v>
      </c>
      <c r="K7" s="19" t="s">
        <v>31</v>
      </c>
      <c r="L7" s="46">
        <v>44901</v>
      </c>
      <c r="M7" s="19" t="s">
        <v>31</v>
      </c>
      <c r="N7" s="19" t="s">
        <v>32</v>
      </c>
      <c r="O7" s="19" t="s">
        <v>33</v>
      </c>
      <c r="P7" s="51" t="s">
        <v>40</v>
      </c>
      <c r="Q7" s="51" t="s">
        <v>41</v>
      </c>
      <c r="R7" s="19"/>
      <c r="S7" s="19"/>
      <c r="T7" s="59">
        <v>45605</v>
      </c>
      <c r="U7" s="4">
        <v>45699</v>
      </c>
      <c r="V7" s="2">
        <f t="shared" ref="V7:V11" ca="1" si="0">U7-TODAY()</f>
        <v>-386</v>
      </c>
      <c r="W7" s="60" t="str">
        <f t="shared" ref="W7:W11" ca="1" si="1">IF(V7&gt;=25,"Vigente",IF(AND(V7&gt;=1,V7&lt;=25),"Por Vencer","Vencido"))</f>
        <v>Vencido</v>
      </c>
      <c r="X7" s="19"/>
      <c r="Z7" s="11"/>
      <c r="AA7" s="11"/>
      <c r="AB7" s="11"/>
      <c r="AC7" s="11"/>
      <c r="AD7" s="68"/>
      <c r="AE7" s="11"/>
      <c r="AF7" s="11"/>
    </row>
    <row r="8" spans="1:212" s="17" customFormat="1" ht="18.75">
      <c r="A8" s="34" t="s">
        <v>26</v>
      </c>
      <c r="B8" s="34" t="s">
        <v>42</v>
      </c>
      <c r="C8" s="34">
        <v>8915228</v>
      </c>
      <c r="D8" s="34">
        <v>3</v>
      </c>
      <c r="E8" s="34">
        <v>62</v>
      </c>
      <c r="F8" s="34" t="s">
        <v>28</v>
      </c>
      <c r="G8" s="34" t="s">
        <v>29</v>
      </c>
      <c r="H8" s="34">
        <v>2024</v>
      </c>
      <c r="I8" s="50">
        <v>45481</v>
      </c>
      <c r="J8" s="34" t="s">
        <v>37</v>
      </c>
      <c r="K8" s="34" t="s">
        <v>43</v>
      </c>
      <c r="L8" s="50">
        <v>45510</v>
      </c>
      <c r="M8" s="34" t="s">
        <v>44</v>
      </c>
      <c r="N8" s="45" t="s">
        <v>32</v>
      </c>
      <c r="O8" s="34" t="s">
        <v>45</v>
      </c>
      <c r="P8" s="34" t="s">
        <v>46</v>
      </c>
      <c r="Q8" s="19" t="s">
        <v>47</v>
      </c>
      <c r="R8" s="34" t="s">
        <v>48</v>
      </c>
      <c r="S8" s="34" t="s">
        <v>49</v>
      </c>
      <c r="T8" s="59">
        <v>45547</v>
      </c>
      <c r="U8" s="4">
        <v>45577</v>
      </c>
      <c r="V8" s="2">
        <f t="shared" ca="1" si="0"/>
        <v>-508</v>
      </c>
      <c r="W8" s="64" t="str">
        <f t="shared" ca="1" si="1"/>
        <v>Vencido</v>
      </c>
      <c r="X8" s="34" t="s">
        <v>50</v>
      </c>
      <c r="Z8" s="2"/>
      <c r="AA8" s="2"/>
      <c r="AB8" s="2"/>
      <c r="AC8" s="2"/>
      <c r="AD8" s="66">
        <f ca="1">AC8-TODAY()</f>
        <v>-46085</v>
      </c>
      <c r="AE8" s="67" t="str">
        <f ca="1">IF(AD8&gt;=25,"Vigente",IF(AND(AD8&gt;=1,AD8&lt;=25),"Por Vencer","Vencido"))</f>
        <v>Vencido</v>
      </c>
      <c r="AF8" s="58"/>
    </row>
    <row r="9" spans="1:212" s="90" customFormat="1" ht="150">
      <c r="A9" s="95" t="s">
        <v>26</v>
      </c>
      <c r="B9" s="96" t="s">
        <v>51</v>
      </c>
      <c r="C9" s="97">
        <v>14617634</v>
      </c>
      <c r="D9" s="96">
        <v>8</v>
      </c>
      <c r="E9" s="98">
        <v>48</v>
      </c>
      <c r="F9" s="96" t="s">
        <v>28</v>
      </c>
      <c r="G9" s="95" t="s">
        <v>29</v>
      </c>
      <c r="H9" s="95">
        <v>2023</v>
      </c>
      <c r="I9" s="101">
        <v>45056</v>
      </c>
      <c r="J9" s="96" t="s">
        <v>30</v>
      </c>
      <c r="K9" s="96" t="s">
        <v>38</v>
      </c>
      <c r="L9" s="101">
        <v>45216</v>
      </c>
      <c r="M9" s="95" t="s">
        <v>31</v>
      </c>
      <c r="N9" s="95" t="s">
        <v>52</v>
      </c>
      <c r="O9" s="95" t="s">
        <v>33</v>
      </c>
      <c r="P9" s="102" t="s">
        <v>53</v>
      </c>
      <c r="Q9" s="102" t="s">
        <v>54</v>
      </c>
      <c r="R9" s="106" t="s">
        <v>55</v>
      </c>
      <c r="S9" s="95" t="s">
        <v>56</v>
      </c>
      <c r="T9" s="107">
        <v>45601</v>
      </c>
      <c r="U9" s="108">
        <v>45693</v>
      </c>
      <c r="V9" s="109">
        <f t="shared" ca="1" si="0"/>
        <v>-392</v>
      </c>
      <c r="W9" s="110" t="str">
        <f t="shared" ca="1" si="1"/>
        <v>Vencido</v>
      </c>
      <c r="X9" s="95"/>
      <c r="Z9" s="109"/>
      <c r="AA9" s="109"/>
      <c r="AB9" s="109"/>
      <c r="AC9" s="109"/>
      <c r="AD9" s="111"/>
      <c r="AE9" s="109"/>
      <c r="AF9" s="109"/>
    </row>
    <row r="10" spans="1:212" s="12" customFormat="1" ht="36.75" customHeight="1">
      <c r="A10" s="19" t="s">
        <v>26</v>
      </c>
      <c r="B10" s="19" t="s">
        <v>57</v>
      </c>
      <c r="C10" s="24">
        <v>7838480</v>
      </c>
      <c r="D10" s="19">
        <v>8</v>
      </c>
      <c r="E10" s="23">
        <v>84</v>
      </c>
      <c r="F10" s="19" t="s">
        <v>58</v>
      </c>
      <c r="G10" s="19" t="s">
        <v>29</v>
      </c>
      <c r="H10" s="19">
        <v>2023</v>
      </c>
      <c r="I10" s="46">
        <v>45113</v>
      </c>
      <c r="J10" s="19" t="s">
        <v>30</v>
      </c>
      <c r="K10" s="19" t="s">
        <v>31</v>
      </c>
      <c r="L10" s="46">
        <v>45237</v>
      </c>
      <c r="M10" s="19" t="s">
        <v>31</v>
      </c>
      <c r="N10" s="45" t="s">
        <v>32</v>
      </c>
      <c r="O10" s="19" t="s">
        <v>45</v>
      </c>
      <c r="P10" s="19" t="s">
        <v>46</v>
      </c>
      <c r="Q10" s="51" t="s">
        <v>59</v>
      </c>
      <c r="R10" s="2" t="s">
        <v>60</v>
      </c>
      <c r="S10" s="2" t="s">
        <v>49</v>
      </c>
      <c r="T10" s="59">
        <v>45281</v>
      </c>
      <c r="U10" s="4">
        <v>45464</v>
      </c>
      <c r="V10" s="2">
        <f t="shared" ca="1" si="0"/>
        <v>-621</v>
      </c>
      <c r="W10" s="60" t="str">
        <f t="shared" ca="1" si="1"/>
        <v>Vencido</v>
      </c>
      <c r="X10" s="19" t="s">
        <v>61</v>
      </c>
      <c r="Y10" s="11"/>
      <c r="Z10" s="11"/>
      <c r="AA10" s="11"/>
      <c r="AB10" s="11"/>
      <c r="AC10" s="11"/>
      <c r="AD10" s="68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</row>
    <row r="11" spans="1:212" s="12" customFormat="1" ht="93.75">
      <c r="A11" s="19" t="s">
        <v>26</v>
      </c>
      <c r="B11" s="38" t="s">
        <v>62</v>
      </c>
      <c r="C11" s="38">
        <v>4290405</v>
      </c>
      <c r="D11" s="38">
        <v>8</v>
      </c>
      <c r="E11" s="38">
        <v>85</v>
      </c>
      <c r="F11" s="38" t="s">
        <v>58</v>
      </c>
      <c r="G11" s="38" t="s">
        <v>29</v>
      </c>
      <c r="H11" s="38">
        <v>2024</v>
      </c>
      <c r="I11" s="75">
        <v>45324</v>
      </c>
      <c r="J11" s="38" t="s">
        <v>37</v>
      </c>
      <c r="K11" s="38" t="s">
        <v>38</v>
      </c>
      <c r="L11" s="75">
        <v>45370</v>
      </c>
      <c r="M11" s="38" t="s">
        <v>44</v>
      </c>
      <c r="N11" s="82" t="s">
        <v>52</v>
      </c>
      <c r="O11" s="38" t="s">
        <v>45</v>
      </c>
      <c r="P11" s="19" t="s">
        <v>63</v>
      </c>
      <c r="Q11" s="51" t="s">
        <v>64</v>
      </c>
      <c r="R11" s="38" t="s">
        <v>65</v>
      </c>
      <c r="S11" s="38" t="s">
        <v>56</v>
      </c>
      <c r="T11" s="59">
        <v>45674</v>
      </c>
      <c r="U11" s="4">
        <v>45684</v>
      </c>
      <c r="V11" s="2">
        <f t="shared" ca="1" si="0"/>
        <v>-401</v>
      </c>
      <c r="W11" s="60" t="str">
        <f t="shared" ca="1" si="1"/>
        <v>Vencido</v>
      </c>
      <c r="X11" s="19"/>
      <c r="Z11" s="11"/>
      <c r="AA11" s="11"/>
      <c r="AB11" s="11"/>
      <c r="AC11" s="11"/>
      <c r="AD11" s="68"/>
      <c r="AE11" s="11"/>
      <c r="AF11" s="11"/>
    </row>
    <row r="12" spans="1:212" s="12" customFormat="1" ht="39" customHeight="1">
      <c r="A12" s="142" t="s">
        <v>26</v>
      </c>
      <c r="B12" s="19" t="s">
        <v>66</v>
      </c>
      <c r="C12" s="34">
        <v>4172126</v>
      </c>
      <c r="D12" s="34" t="s">
        <v>67</v>
      </c>
      <c r="E12" s="34">
        <v>92</v>
      </c>
      <c r="F12" s="34" t="s">
        <v>28</v>
      </c>
      <c r="G12" s="34" t="s">
        <v>68</v>
      </c>
      <c r="H12" s="34">
        <v>2024</v>
      </c>
      <c r="I12" s="50">
        <v>45638</v>
      </c>
      <c r="J12" s="34" t="s">
        <v>37</v>
      </c>
      <c r="K12" s="34" t="s">
        <v>38</v>
      </c>
      <c r="L12" s="50">
        <v>45678</v>
      </c>
      <c r="M12" s="34" t="s">
        <v>44</v>
      </c>
      <c r="N12" s="83" t="s">
        <v>52</v>
      </c>
      <c r="O12" s="19" t="s">
        <v>45</v>
      </c>
      <c r="P12" s="34" t="s">
        <v>34</v>
      </c>
      <c r="Q12" s="88" t="s">
        <v>69</v>
      </c>
      <c r="R12" s="34" t="s">
        <v>48</v>
      </c>
      <c r="S12" s="34" t="s">
        <v>49</v>
      </c>
      <c r="T12" s="76">
        <v>45723</v>
      </c>
      <c r="U12" s="50">
        <v>45754</v>
      </c>
      <c r="V12" s="2">
        <f ca="1">U12-TODAY()</f>
        <v>-331</v>
      </c>
      <c r="W12" s="116" t="str">
        <f ca="1">IF(V12&gt;=20,"Vigente",IF(AND(V12&gt;=1,V12&lt;=20),"Por Vencer","Vencido"))</f>
        <v>Vencido</v>
      </c>
      <c r="X12" s="34"/>
      <c r="Y12" s="11"/>
      <c r="Z12" s="11"/>
      <c r="AA12" s="11"/>
      <c r="AB12" s="11"/>
      <c r="AC12" s="11"/>
      <c r="AD12" s="68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</row>
    <row r="13" spans="1:212" s="12" customFormat="1" ht="33" customHeight="1">
      <c r="A13" s="142" t="s">
        <v>26</v>
      </c>
      <c r="B13" s="19" t="s">
        <v>70</v>
      </c>
      <c r="C13" s="19">
        <v>16224263</v>
      </c>
      <c r="D13" s="19">
        <v>6</v>
      </c>
      <c r="E13" s="19">
        <v>38</v>
      </c>
      <c r="F13" s="19" t="s">
        <v>28</v>
      </c>
      <c r="G13" s="19" t="s">
        <v>29</v>
      </c>
      <c r="H13" s="19">
        <v>2024</v>
      </c>
      <c r="I13" s="46">
        <v>45427</v>
      </c>
      <c r="J13" s="19" t="s">
        <v>37</v>
      </c>
      <c r="K13" s="19" t="s">
        <v>38</v>
      </c>
      <c r="L13" s="46">
        <v>45622</v>
      </c>
      <c r="M13" s="19" t="s">
        <v>31</v>
      </c>
      <c r="N13" s="45" t="s">
        <v>32</v>
      </c>
      <c r="O13" s="19" t="s">
        <v>33</v>
      </c>
      <c r="P13" s="51" t="s">
        <v>53</v>
      </c>
      <c r="Q13" s="121" t="s">
        <v>71</v>
      </c>
      <c r="R13" s="19" t="s">
        <v>72</v>
      </c>
      <c r="S13" s="19" t="s">
        <v>49</v>
      </c>
      <c r="T13" s="59">
        <v>45785</v>
      </c>
      <c r="U13" s="4">
        <v>45846</v>
      </c>
      <c r="V13" s="2">
        <f ca="1">U13-TODAY()</f>
        <v>-239</v>
      </c>
      <c r="W13" s="116" t="str">
        <f ca="1">IF(V13&gt;=20,"Vigente",IF(AND(V13&gt;=1,V13&lt;=20),"Por Vencer","Vencido"))</f>
        <v>Vencido</v>
      </c>
      <c r="X13" s="19" t="s">
        <v>73</v>
      </c>
      <c r="Y13" s="11"/>
      <c r="Z13" s="11"/>
      <c r="AA13" s="11"/>
      <c r="AB13" s="11"/>
      <c r="AC13" s="11"/>
      <c r="AD13" s="68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</row>
    <row r="14" spans="1:212">
      <c r="A14" s="8"/>
      <c r="B14" s="8"/>
      <c r="C14" s="8"/>
      <c r="D14" s="8"/>
      <c r="E14" s="8"/>
      <c r="F14" s="8"/>
      <c r="G14" s="8" t="s">
        <v>29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12">
      <c r="A15" s="8"/>
      <c r="B15" s="8"/>
      <c r="C15" s="8"/>
      <c r="D15" s="8"/>
      <c r="E15" s="8"/>
      <c r="F15" s="8"/>
      <c r="G15" s="8" t="s">
        <v>29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12">
      <c r="A16" s="8"/>
      <c r="B16" s="8"/>
      <c r="C16" s="8"/>
      <c r="D16" s="8"/>
      <c r="E16" s="8"/>
      <c r="F16" s="8"/>
      <c r="G16" s="8" t="s">
        <v>29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>
      <c r="A17" s="8"/>
      <c r="B17" s="8"/>
      <c r="C17" s="8"/>
      <c r="D17" s="8"/>
      <c r="E17" s="8"/>
      <c r="F17" s="8"/>
      <c r="G17" s="8" t="s">
        <v>29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>
      <c r="A18" s="8"/>
      <c r="B18" s="8"/>
      <c r="C18" s="8"/>
      <c r="D18" s="8"/>
      <c r="E18" s="8"/>
      <c r="F18" s="8"/>
      <c r="G18" s="8" t="s">
        <v>29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>
      <c r="A19" s="8"/>
      <c r="B19" s="8"/>
      <c r="C19" s="8"/>
      <c r="D19" s="8"/>
      <c r="E19" s="8"/>
      <c r="F19" s="8"/>
      <c r="G19" s="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>
      <c r="A20" s="8"/>
      <c r="B20" s="8"/>
      <c r="C20" s="8"/>
      <c r="D20" s="8"/>
      <c r="E20" s="8"/>
      <c r="F20" s="8"/>
      <c r="G20" s="8" t="s">
        <v>29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8"/>
      <c r="C21" s="8"/>
      <c r="D21" s="8"/>
      <c r="E21" s="8"/>
      <c r="F21" s="8"/>
      <c r="G21" s="8" t="s">
        <v>29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>
      <c r="A22" s="8"/>
      <c r="B22" s="8"/>
      <c r="C22" s="8"/>
      <c r="D22" s="8"/>
      <c r="E22" s="8"/>
      <c r="F22" s="8"/>
      <c r="G22" s="8" t="s">
        <v>29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>
      <c r="A23" s="8"/>
      <c r="B23" s="8"/>
      <c r="C23" s="8"/>
      <c r="D23" s="8"/>
      <c r="E23" s="8"/>
      <c r="F23" s="8"/>
      <c r="G23" s="8" t="s">
        <v>29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>
      <c r="A24" s="8"/>
      <c r="B24" s="8"/>
      <c r="C24" s="8"/>
      <c r="D24" s="8"/>
      <c r="E24" s="8"/>
      <c r="F24" s="8"/>
      <c r="G24" s="8" t="s">
        <v>29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>
      <c r="A25" s="8"/>
      <c r="B25" s="8"/>
      <c r="C25" s="8"/>
      <c r="D25" s="8"/>
      <c r="E25" s="8"/>
      <c r="F25" s="8"/>
      <c r="G25" s="8" t="s">
        <v>29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>
      <c r="A26" s="8"/>
      <c r="B26" s="8"/>
      <c r="C26" s="8"/>
      <c r="D26" s="8"/>
      <c r="E26" s="8"/>
      <c r="F26" s="8"/>
      <c r="G26" s="8" t="s">
        <v>29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>
      <c r="A27" s="8"/>
      <c r="B27" s="8"/>
      <c r="C27" s="8"/>
      <c r="D27" s="8"/>
      <c r="E27" s="8"/>
      <c r="F27" s="8"/>
      <c r="G27" s="8" t="s">
        <v>29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>
      <c r="A28" s="8"/>
      <c r="B28" s="8"/>
      <c r="C28" s="8"/>
      <c r="D28" s="8"/>
      <c r="E28" s="8"/>
      <c r="F28" s="8"/>
      <c r="G28" s="8" t="s">
        <v>29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>
      <c r="A29" s="8"/>
      <c r="B29" s="8"/>
      <c r="C29" s="8"/>
      <c r="D29" s="8"/>
      <c r="E29" s="8"/>
      <c r="F29" s="8"/>
      <c r="G29" s="8" t="s">
        <v>29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>
      <c r="A30" s="8"/>
      <c r="B30" s="8"/>
      <c r="C30" s="8"/>
      <c r="D30" s="8"/>
      <c r="E30" s="8"/>
      <c r="F30" s="8"/>
      <c r="G30" s="8" t="s">
        <v>29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>
      <c r="A31" s="8"/>
      <c r="B31" s="8"/>
      <c r="C31" s="8"/>
      <c r="D31" s="8"/>
      <c r="E31" s="8"/>
      <c r="F31" s="8"/>
      <c r="G31" s="8" t="s">
        <v>29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>
      <c r="A32" s="8"/>
      <c r="B32" s="8"/>
      <c r="C32" s="8"/>
      <c r="D32" s="8"/>
      <c r="E32" s="8"/>
      <c r="F32" s="8"/>
      <c r="G32" s="8" t="s">
        <v>29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>
      <c r="A33" s="8"/>
      <c r="B33" s="8"/>
      <c r="C33" s="8"/>
      <c r="D33" s="8"/>
      <c r="E33" s="8"/>
      <c r="F33" s="8"/>
      <c r="G33" s="8" t="s">
        <v>29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>
      <c r="A34" s="8"/>
      <c r="B34" s="8"/>
      <c r="C34" s="8"/>
      <c r="D34" s="8"/>
      <c r="E34" s="8"/>
      <c r="F34" s="8"/>
      <c r="G34" s="8" t="s">
        <v>29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>
      <c r="A35" s="8"/>
      <c r="B35" s="8"/>
      <c r="C35" s="8"/>
      <c r="D35" s="8"/>
      <c r="E35" s="8"/>
      <c r="F35" s="8"/>
      <c r="G35" s="8" t="s">
        <v>29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>
      <c r="A36" s="8"/>
      <c r="B36" s="8"/>
      <c r="C36" s="8"/>
      <c r="D36" s="8"/>
      <c r="E36" s="8"/>
      <c r="F36" s="8"/>
      <c r="G36" s="8" t="s">
        <v>29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>
      <c r="A37" s="8"/>
      <c r="B37" s="8"/>
      <c r="C37" s="8"/>
      <c r="D37" s="8"/>
      <c r="E37" s="8"/>
      <c r="F37" s="8"/>
      <c r="G37" s="8" t="s">
        <v>29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>
      <c r="A38" s="8"/>
      <c r="B38" s="8"/>
      <c r="C38" s="8"/>
      <c r="D38" s="8"/>
      <c r="E38" s="8"/>
      <c r="F38" s="8"/>
      <c r="G38" s="8" t="s">
        <v>29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>
      <c r="A39" s="8"/>
      <c r="B39" s="8"/>
      <c r="C39" s="8"/>
      <c r="D39" s="8"/>
      <c r="E39" s="8"/>
      <c r="F39" s="8"/>
      <c r="G39" s="8" t="s">
        <v>29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>
      <c r="A40" s="8"/>
      <c r="B40" s="8"/>
      <c r="C40" s="8"/>
      <c r="D40" s="8"/>
      <c r="E40" s="8"/>
      <c r="F40" s="8"/>
      <c r="G40" s="8" t="s">
        <v>29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>
      <c r="A41" s="8"/>
      <c r="B41" s="8"/>
      <c r="C41" s="8"/>
      <c r="D41" s="8"/>
      <c r="E41" s="8"/>
      <c r="F41" s="8"/>
      <c r="G41" s="8" t="s">
        <v>29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>
      <c r="A42" s="8"/>
      <c r="B42" s="8"/>
      <c r="C42" s="8"/>
      <c r="D42" s="8"/>
      <c r="E42" s="8"/>
      <c r="F42" s="8"/>
      <c r="G42" s="8" t="s">
        <v>29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>
      <c r="A43" s="8"/>
      <c r="B43" s="8"/>
      <c r="C43" s="8"/>
      <c r="D43" s="8"/>
      <c r="E43" s="8"/>
      <c r="F43" s="8"/>
      <c r="G43" s="8" t="s">
        <v>29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>
      <c r="A44" s="8"/>
      <c r="B44" s="8"/>
      <c r="C44" s="8"/>
      <c r="D44" s="8"/>
      <c r="E44" s="8"/>
      <c r="F44" s="8"/>
      <c r="G44" s="8" t="s">
        <v>29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>
      <c r="A45" s="8"/>
      <c r="B45" s="8"/>
      <c r="C45" s="8"/>
      <c r="D45" s="8"/>
      <c r="E45" s="8"/>
      <c r="F45" s="8"/>
      <c r="G45" s="8" t="s">
        <v>29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</sheetData>
  <autoFilter ref="B1:B81" xr:uid="{00000000-0009-0000-0000-000001000000}"/>
  <conditionalFormatting sqref="W7:W10">
    <cfRule type="containsText" dxfId="11" priority="7" operator="containsText" text="vigente">
      <formula>NOT(ISERROR(SEARCH("vigente",W7)))</formula>
    </cfRule>
    <cfRule type="containsText" dxfId="10" priority="8" operator="containsText" text="por vencer">
      <formula>NOT(ISERROR(SEARCH("por vencer",W7)))</formula>
    </cfRule>
    <cfRule type="containsText" dxfId="9" priority="9" operator="containsText" text="vencido">
      <formula>NOT(ISERROR(SEARCH("vencido",W7)))</formula>
    </cfRule>
  </conditionalFormatting>
  <conditionalFormatting sqref="W12:W13">
    <cfRule type="containsText" dxfId="8" priority="1" operator="containsText" text="vigente">
      <formula>NOT(ISERROR(SEARCH("vigente",W12)))</formula>
    </cfRule>
    <cfRule type="containsText" dxfId="7" priority="2" operator="containsText" text="por vencer">
      <formula>NOT(ISERROR(SEARCH("por vencer",W12)))</formula>
    </cfRule>
    <cfRule type="containsText" dxfId="6" priority="3" operator="containsText" text="vencido">
      <formula>NOT(ISERROR(SEARCH("vencido",W12)))</formula>
    </cfRule>
  </conditionalFormatting>
  <conditionalFormatting sqref="AE8:AE9">
    <cfRule type="containsText" dxfId="5" priority="10" operator="containsText" text="vigente">
      <formula>NOT(ISERROR(SEARCH("vigente",AE8)))</formula>
    </cfRule>
    <cfRule type="containsText" dxfId="4" priority="11" operator="containsText" text="por vencer">
      <formula>NOT(ISERROR(SEARCH("por vencer",AE8)))</formula>
    </cfRule>
    <cfRule type="containsText" dxfId="3" priority="12" operator="containsText" text="vencido">
      <formula>NOT(ISERROR(SEARCH("vencido",AE8)))</formula>
    </cfRule>
  </conditionalFormatting>
  <dataValidations count="10">
    <dataValidation type="list" allowBlank="1" showInputMessage="1" showErrorMessage="1" sqref="F5 F9:F10 F12:F13" xr:uid="{00000000-0002-0000-0100-000000000000}">
      <formula1>"Ovalle,Punitaqui ,Rio Hurtado,Combarbala,Monte patria"</formula1>
    </dataValidation>
    <dataValidation type="list" allowBlank="1" showInputMessage="1" showErrorMessage="1" sqref="J5 J9:J10 J12:J13" xr:uid="{00000000-0002-0000-0100-000001000000}">
      <formula1>"Si,No"</formula1>
    </dataValidation>
    <dataValidation type="list" allowBlank="1" showInputMessage="1" showErrorMessage="1" sqref="K5 K9:K10 K12:K13" xr:uid="{00000000-0002-0000-0100-000002000000}">
      <formula1>"CONFIRMACION,ETAPIFICACION,TRATAMIENTO,SEGUIMIENTO"</formula1>
    </dataValidation>
    <dataValidation type="list" allowBlank="1" showInputMessage="1" showErrorMessage="1" sqref="N5 N7:N13" xr:uid="{00000000-0002-0000-0100-000003000000}">
      <formula1>"HRC,HLS,HSP,HOV"</formula1>
    </dataValidation>
    <dataValidation type="list" allowBlank="1" showInputMessage="1" showErrorMessage="1" sqref="O5 O7:O13" xr:uid="{00000000-0002-0000-0100-000004000000}">
      <formula1>"DETENIDO,CURSO"</formula1>
    </dataValidation>
    <dataValidation type="list" allowBlank="1" showInputMessage="1" showErrorMessage="1" sqref="F6 F1:F4 F14:F1048576" xr:uid="{00000000-0002-0000-0100-000005000000}">
      <formula1>"OVALLE,PUNITAQUI,RIO HURTADO,COMBARBALA,MONTE PATRIA"</formula1>
    </dataValidation>
    <dataValidation type="list" allowBlank="1" showInputMessage="1" showErrorMessage="1" sqref="J6 J1:J4 J14:J1048576" xr:uid="{00000000-0002-0000-0100-000006000000}">
      <formula1>"SI,NO"</formula1>
    </dataValidation>
    <dataValidation type="list" allowBlank="1" showInputMessage="1" showErrorMessage="1" sqref="K6 K1:K4 K14:K1048576" xr:uid="{00000000-0002-0000-0100-000007000000}">
      <formula1>"ETAPIFICACIÓN,CONFIRMACIÓN,TRATAMIENTO,SEGUIMIENTO"</formula1>
    </dataValidation>
    <dataValidation type="list" allowBlank="1" showInputMessage="1" showErrorMessage="1" sqref="M1:M1048576" xr:uid="{00000000-0002-0000-0100-000008000000}">
      <formula1>"TRATAMIENTO DE RY, INTERVENCION QUIRURGICA, SEGUIMIENTO"</formula1>
    </dataValidation>
    <dataValidation type="list" allowBlank="1" showInputMessage="1" showErrorMessage="1" sqref="X7:X13" xr:uid="{00000000-0002-0000-0100-000009000000}">
      <formula1>"AGENDAR A CONTROL,PENDIENTE ECO TIROIDES"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W235"/>
  <sheetViews>
    <sheetView tabSelected="1" topLeftCell="A212" zoomScale="70" zoomScaleNormal="70" workbookViewId="0">
      <selection activeCell="D246" sqref="D246"/>
    </sheetView>
  </sheetViews>
  <sheetFormatPr defaultColWidth="11.375" defaultRowHeight="18.75"/>
  <cols>
    <col min="1" max="1" width="11.625" style="17" customWidth="1"/>
    <col min="2" max="2" width="39.25" style="17" bestFit="1" customWidth="1"/>
    <col min="3" max="3" width="16.125" style="17" customWidth="1"/>
    <col min="4" max="4" width="6" style="17" customWidth="1"/>
    <col min="5" max="5" width="9.875" style="17" customWidth="1"/>
    <col min="6" max="6" width="18.875" style="17" customWidth="1"/>
    <col min="7" max="7" width="25" style="17" customWidth="1"/>
    <col min="8" max="8" width="9" style="17" customWidth="1"/>
    <col min="9" max="9" width="14.625" style="17" customWidth="1"/>
    <col min="10" max="10" width="10.125" style="17" customWidth="1"/>
    <col min="11" max="11" width="19.875" style="17" customWidth="1"/>
    <col min="12" max="12" width="15.875" style="17" customWidth="1"/>
    <col min="13" max="13" width="33" style="17" customWidth="1"/>
    <col min="14" max="14" width="14.125" style="17" customWidth="1"/>
    <col min="15" max="15" width="13.25" style="17" customWidth="1"/>
    <col min="16" max="16" width="25.625" style="17" customWidth="1"/>
    <col min="17" max="17" width="72.875" style="17" customWidth="1"/>
    <col min="18" max="18" width="21" style="17" customWidth="1"/>
    <col min="19" max="19" width="18.25" style="17" customWidth="1"/>
    <col min="20" max="20" width="21.875" style="17" customWidth="1"/>
    <col min="21" max="21" width="20.875" style="17" customWidth="1"/>
    <col min="22" max="22" width="16" style="17" customWidth="1"/>
    <col min="23" max="23" width="14.375" style="17" customWidth="1"/>
    <col min="24" max="24" width="33.625" style="17" customWidth="1"/>
    <col min="25" max="16384" width="11.375" style="17"/>
  </cols>
  <sheetData>
    <row r="1" spans="1:205" s="12" customFormat="1">
      <c r="A1" s="161" t="s">
        <v>74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 spans="1:205" s="12" customFormat="1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</row>
    <row r="3" spans="1:205" s="12" customFormat="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</row>
    <row r="4" spans="1:205" ht="37.5" customHeight="1">
      <c r="A4" s="18" t="s">
        <v>6</v>
      </c>
      <c r="B4" s="18" t="s">
        <v>75</v>
      </c>
      <c r="C4" s="18" t="s">
        <v>8</v>
      </c>
      <c r="D4" s="18" t="s">
        <v>9</v>
      </c>
      <c r="E4" s="18" t="s">
        <v>10</v>
      </c>
      <c r="F4" s="18" t="s">
        <v>11</v>
      </c>
      <c r="G4" s="18" t="s">
        <v>76</v>
      </c>
      <c r="H4" s="18" t="s">
        <v>13</v>
      </c>
      <c r="I4" s="18" t="s">
        <v>14</v>
      </c>
      <c r="J4" s="42" t="s">
        <v>15</v>
      </c>
      <c r="K4" s="18" t="s">
        <v>16</v>
      </c>
      <c r="L4" s="42" t="s">
        <v>17</v>
      </c>
      <c r="M4" s="42" t="s">
        <v>18</v>
      </c>
      <c r="N4" s="42" t="s">
        <v>19</v>
      </c>
      <c r="O4" s="18" t="s">
        <v>20</v>
      </c>
      <c r="P4" s="43" t="s">
        <v>21</v>
      </c>
      <c r="Q4" s="52" t="s">
        <v>77</v>
      </c>
      <c r="R4" s="53" t="s">
        <v>23</v>
      </c>
      <c r="S4" s="54" t="s">
        <v>24</v>
      </c>
      <c r="T4" s="55" t="s">
        <v>78</v>
      </c>
      <c r="U4" s="56" t="s">
        <v>79</v>
      </c>
      <c r="V4" s="56" t="s">
        <v>80</v>
      </c>
      <c r="W4" s="57" t="s">
        <v>81</v>
      </c>
      <c r="X4" s="58" t="s">
        <v>50</v>
      </c>
    </row>
    <row r="5" spans="1:205" s="12" customFormat="1">
      <c r="A5" s="142" t="s">
        <v>26</v>
      </c>
      <c r="B5" s="19" t="s">
        <v>82</v>
      </c>
      <c r="C5" s="24">
        <v>13208866</v>
      </c>
      <c r="D5" s="19">
        <v>7</v>
      </c>
      <c r="E5" s="23">
        <v>47</v>
      </c>
      <c r="F5" s="19" t="s">
        <v>58</v>
      </c>
      <c r="G5" s="19" t="s">
        <v>29</v>
      </c>
      <c r="H5" s="19">
        <v>2022</v>
      </c>
      <c r="I5" s="46">
        <v>44883</v>
      </c>
      <c r="J5" s="19" t="s">
        <v>83</v>
      </c>
      <c r="K5" s="34" t="s">
        <v>31</v>
      </c>
      <c r="L5" s="46">
        <v>45013</v>
      </c>
      <c r="M5" s="19" t="s">
        <v>31</v>
      </c>
      <c r="N5" s="45" t="s">
        <v>32</v>
      </c>
      <c r="O5" s="19" t="s">
        <v>45</v>
      </c>
      <c r="P5" s="19" t="s">
        <v>84</v>
      </c>
      <c r="Q5" s="51" t="s">
        <v>85</v>
      </c>
      <c r="R5" s="37" t="s">
        <v>86</v>
      </c>
      <c r="S5" s="19" t="s">
        <v>49</v>
      </c>
      <c r="T5" s="59">
        <v>45932</v>
      </c>
      <c r="U5" s="4">
        <v>46114</v>
      </c>
      <c r="V5" s="2">
        <f t="shared" ref="V5:V36" ca="1" si="0">U5-TODAY()</f>
        <v>29</v>
      </c>
      <c r="W5" s="116" t="str">
        <f t="shared" ref="W5:W36" ca="1" si="1">IF(V5&gt;=20,"Vigente",IF(AND(V5&gt;=1,V5&lt;=20),"Por Vencer","Vencido"))</f>
        <v>Vigente</v>
      </c>
      <c r="X5" s="19" t="s">
        <v>73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</row>
    <row r="6" spans="1:205">
      <c r="A6" s="142" t="s">
        <v>26</v>
      </c>
      <c r="B6" s="19" t="s">
        <v>87</v>
      </c>
      <c r="C6" s="24">
        <v>12108266</v>
      </c>
      <c r="D6" s="19">
        <v>7</v>
      </c>
      <c r="E6" s="23">
        <v>50</v>
      </c>
      <c r="F6" s="19" t="s">
        <v>28</v>
      </c>
      <c r="G6" s="19" t="s">
        <v>29</v>
      </c>
      <c r="H6" s="19">
        <v>2023</v>
      </c>
      <c r="I6" s="46">
        <v>45121</v>
      </c>
      <c r="J6" s="19" t="s">
        <v>30</v>
      </c>
      <c r="K6" s="19" t="s">
        <v>31</v>
      </c>
      <c r="L6" s="46">
        <v>45195</v>
      </c>
      <c r="M6" s="19" t="s">
        <v>31</v>
      </c>
      <c r="N6" s="45" t="s">
        <v>32</v>
      </c>
      <c r="O6" s="19" t="s">
        <v>33</v>
      </c>
      <c r="P6" s="19"/>
      <c r="Q6" s="51" t="s">
        <v>88</v>
      </c>
      <c r="R6" s="150" t="s">
        <v>86</v>
      </c>
      <c r="S6" s="2" t="s">
        <v>49</v>
      </c>
      <c r="T6" s="59">
        <v>45953</v>
      </c>
      <c r="U6" s="4">
        <v>46135</v>
      </c>
      <c r="V6" s="2">
        <f t="shared" ca="1" si="0"/>
        <v>50</v>
      </c>
      <c r="W6" s="116" t="str">
        <f t="shared" ca="1" si="1"/>
        <v>Vigente</v>
      </c>
      <c r="X6" s="19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</row>
    <row r="7" spans="1:205" s="12" customFormat="1" ht="52.15" customHeight="1">
      <c r="A7" s="142" t="s">
        <v>26</v>
      </c>
      <c r="B7" s="19" t="s">
        <v>89</v>
      </c>
      <c r="C7" s="34">
        <v>13179302</v>
      </c>
      <c r="D7" s="34">
        <v>2</v>
      </c>
      <c r="E7" s="34">
        <v>47</v>
      </c>
      <c r="F7" s="34" t="s">
        <v>28</v>
      </c>
      <c r="G7" s="34" t="s">
        <v>68</v>
      </c>
      <c r="H7" s="34">
        <v>2025</v>
      </c>
      <c r="I7" s="50">
        <v>45722</v>
      </c>
      <c r="J7" s="34" t="s">
        <v>37</v>
      </c>
      <c r="K7" s="34" t="s">
        <v>38</v>
      </c>
      <c r="L7" s="50">
        <v>45986</v>
      </c>
      <c r="M7" s="34" t="s">
        <v>90</v>
      </c>
      <c r="N7" s="153" t="s">
        <v>91</v>
      </c>
      <c r="O7" s="19" t="s">
        <v>33</v>
      </c>
      <c r="P7" s="34"/>
      <c r="Q7" s="88" t="s">
        <v>92</v>
      </c>
      <c r="R7" s="63" t="s">
        <v>93</v>
      </c>
      <c r="S7" s="34" t="s">
        <v>94</v>
      </c>
      <c r="T7" s="50">
        <v>46036</v>
      </c>
      <c r="U7" s="50">
        <v>46067</v>
      </c>
      <c r="V7" s="2">
        <f t="shared" ca="1" si="0"/>
        <v>-18</v>
      </c>
      <c r="W7" s="116" t="str">
        <f t="shared" ca="1" si="1"/>
        <v>Vencido</v>
      </c>
      <c r="X7" s="34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</row>
    <row r="8" spans="1:205" s="12" customFormat="1">
      <c r="A8" s="142" t="s">
        <v>26</v>
      </c>
      <c r="B8" s="19" t="s">
        <v>95</v>
      </c>
      <c r="C8" s="24">
        <v>12427687</v>
      </c>
      <c r="D8" s="33" t="s">
        <v>67</v>
      </c>
      <c r="E8" s="23">
        <v>50</v>
      </c>
      <c r="F8" s="19" t="s">
        <v>28</v>
      </c>
      <c r="G8" s="19" t="s">
        <v>29</v>
      </c>
      <c r="H8" s="19" t="s">
        <v>96</v>
      </c>
      <c r="I8" s="19" t="s">
        <v>97</v>
      </c>
      <c r="J8" s="19" t="s">
        <v>83</v>
      </c>
      <c r="K8" s="19" t="s">
        <v>31</v>
      </c>
      <c r="L8" s="19" t="s">
        <v>96</v>
      </c>
      <c r="M8" s="19" t="s">
        <v>31</v>
      </c>
      <c r="N8" s="45" t="s">
        <v>32</v>
      </c>
      <c r="O8" s="19" t="s">
        <v>33</v>
      </c>
      <c r="P8" s="19"/>
      <c r="Q8" s="51" t="s">
        <v>98</v>
      </c>
      <c r="R8" s="1" t="s">
        <v>72</v>
      </c>
      <c r="S8" s="2" t="s">
        <v>49</v>
      </c>
      <c r="T8" s="59">
        <v>45988</v>
      </c>
      <c r="U8" s="4">
        <v>46080</v>
      </c>
      <c r="V8" s="2">
        <f t="shared" ca="1" si="0"/>
        <v>-5</v>
      </c>
      <c r="W8" s="116" t="str">
        <f t="shared" ca="1" si="1"/>
        <v>Vencido</v>
      </c>
      <c r="X8" s="19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</row>
    <row r="9" spans="1:205" s="12" customFormat="1" ht="37.5">
      <c r="A9" s="142" t="s">
        <v>26</v>
      </c>
      <c r="B9" s="19" t="s">
        <v>99</v>
      </c>
      <c r="C9" s="24">
        <v>19301508</v>
      </c>
      <c r="D9" s="33">
        <v>5</v>
      </c>
      <c r="E9" s="23">
        <v>29</v>
      </c>
      <c r="F9" s="19" t="s">
        <v>58</v>
      </c>
      <c r="G9" s="19" t="s">
        <v>29</v>
      </c>
      <c r="H9" s="19">
        <v>2025</v>
      </c>
      <c r="I9" s="19"/>
      <c r="J9" s="19"/>
      <c r="K9" s="19" t="s">
        <v>38</v>
      </c>
      <c r="L9" s="46">
        <v>45909</v>
      </c>
      <c r="M9" s="19" t="s">
        <v>44</v>
      </c>
      <c r="N9" s="83" t="s">
        <v>52</v>
      </c>
      <c r="O9" s="19" t="s">
        <v>33</v>
      </c>
      <c r="P9" s="51"/>
      <c r="Q9" s="51" t="s">
        <v>100</v>
      </c>
      <c r="R9" s="1" t="s">
        <v>65</v>
      </c>
      <c r="S9" s="2" t="s">
        <v>94</v>
      </c>
      <c r="T9" s="59">
        <v>45904</v>
      </c>
      <c r="U9" s="4">
        <v>45934</v>
      </c>
      <c r="V9" s="2">
        <f t="shared" ca="1" si="0"/>
        <v>-151</v>
      </c>
      <c r="W9" s="116" t="str">
        <f t="shared" ca="1" si="1"/>
        <v>Vencido</v>
      </c>
      <c r="X9" s="19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</row>
    <row r="10" spans="1:205" s="12" customFormat="1">
      <c r="A10" s="142" t="s">
        <v>26</v>
      </c>
      <c r="B10" s="19" t="s">
        <v>101</v>
      </c>
      <c r="C10" s="72">
        <v>13178544</v>
      </c>
      <c r="D10" s="19">
        <v>5</v>
      </c>
      <c r="E10" s="23">
        <v>47</v>
      </c>
      <c r="F10" s="19" t="s">
        <v>28</v>
      </c>
      <c r="G10" s="19" t="s">
        <v>29</v>
      </c>
      <c r="H10" s="19">
        <v>2021</v>
      </c>
      <c r="I10" s="46">
        <v>44462</v>
      </c>
      <c r="J10" s="19" t="s">
        <v>30</v>
      </c>
      <c r="K10" s="19" t="s">
        <v>31</v>
      </c>
      <c r="L10" s="46">
        <v>44727</v>
      </c>
      <c r="M10" s="19" t="s">
        <v>31</v>
      </c>
      <c r="N10" s="45" t="s">
        <v>32</v>
      </c>
      <c r="O10" s="19" t="s">
        <v>33</v>
      </c>
      <c r="P10" s="19" t="s">
        <v>102</v>
      </c>
      <c r="Q10" s="51" t="s">
        <v>103</v>
      </c>
      <c r="R10" s="2">
        <v>11</v>
      </c>
      <c r="S10" s="2" t="s">
        <v>49</v>
      </c>
      <c r="T10" s="59">
        <v>45890</v>
      </c>
      <c r="U10" s="4">
        <v>45982</v>
      </c>
      <c r="V10" s="2">
        <f t="shared" ca="1" si="0"/>
        <v>-103</v>
      </c>
      <c r="W10" s="116" t="str">
        <f t="shared" ca="1" si="1"/>
        <v>Vencido</v>
      </c>
      <c r="X10" s="19" t="s">
        <v>73</v>
      </c>
    </row>
    <row r="11" spans="1:205">
      <c r="A11" s="142" t="s">
        <v>26</v>
      </c>
      <c r="B11" s="19" t="s">
        <v>104</v>
      </c>
      <c r="C11" s="34">
        <v>17712763</v>
      </c>
      <c r="D11" s="34">
        <v>9</v>
      </c>
      <c r="E11" s="34">
        <v>33</v>
      </c>
      <c r="F11" s="34" t="s">
        <v>28</v>
      </c>
      <c r="G11" s="34" t="s">
        <v>29</v>
      </c>
      <c r="H11" s="34" t="s">
        <v>96</v>
      </c>
      <c r="I11" s="34" t="s">
        <v>97</v>
      </c>
      <c r="J11" s="34" t="s">
        <v>105</v>
      </c>
      <c r="K11" s="34" t="s">
        <v>31</v>
      </c>
      <c r="L11" s="34" t="s">
        <v>106</v>
      </c>
      <c r="M11" s="34" t="s">
        <v>90</v>
      </c>
      <c r="N11" s="45" t="s">
        <v>32</v>
      </c>
      <c r="O11" s="19" t="s">
        <v>33</v>
      </c>
      <c r="P11" s="34"/>
      <c r="Q11" s="88" t="s">
        <v>107</v>
      </c>
      <c r="R11" s="34" t="s">
        <v>55</v>
      </c>
      <c r="S11" s="34" t="s">
        <v>49</v>
      </c>
      <c r="T11" s="76">
        <v>45988</v>
      </c>
      <c r="U11" s="50">
        <v>46080</v>
      </c>
      <c r="V11" s="34">
        <f t="shared" ca="1" si="0"/>
        <v>-5</v>
      </c>
      <c r="W11" s="116" t="str">
        <f t="shared" ca="1" si="1"/>
        <v>Vencido</v>
      </c>
      <c r="X11" s="34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</row>
    <row r="12" spans="1:205" s="12" customFormat="1">
      <c r="A12" s="142" t="s">
        <v>26</v>
      </c>
      <c r="B12" s="19" t="s">
        <v>108</v>
      </c>
      <c r="C12" s="34">
        <v>15045025</v>
      </c>
      <c r="D12" s="41" t="s">
        <v>67</v>
      </c>
      <c r="E12" s="34">
        <v>40</v>
      </c>
      <c r="F12" s="34" t="s">
        <v>109</v>
      </c>
      <c r="G12" s="34" t="s">
        <v>68</v>
      </c>
      <c r="H12" s="34">
        <v>2025</v>
      </c>
      <c r="I12" s="50">
        <v>45841</v>
      </c>
      <c r="J12" s="34" t="s">
        <v>37</v>
      </c>
      <c r="K12" s="34" t="s">
        <v>110</v>
      </c>
      <c r="L12" s="34" t="s">
        <v>111</v>
      </c>
      <c r="M12" s="34" t="s">
        <v>31</v>
      </c>
      <c r="N12" s="45" t="s">
        <v>32</v>
      </c>
      <c r="O12" s="19" t="s">
        <v>45</v>
      </c>
      <c r="P12" s="19" t="s">
        <v>84</v>
      </c>
      <c r="Q12" s="88" t="s">
        <v>103</v>
      </c>
      <c r="R12" s="34" t="s">
        <v>112</v>
      </c>
      <c r="S12" s="34" t="s">
        <v>94</v>
      </c>
      <c r="T12" s="76">
        <v>45944</v>
      </c>
      <c r="U12" s="50">
        <v>46036</v>
      </c>
      <c r="V12" s="116">
        <f t="shared" ca="1" si="0"/>
        <v>-49</v>
      </c>
      <c r="W12" s="116" t="str">
        <f t="shared" ca="1" si="1"/>
        <v>Vencido</v>
      </c>
      <c r="X12" s="34" t="s">
        <v>73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</row>
    <row r="13" spans="1:205" s="12" customFormat="1" ht="37.5">
      <c r="A13" s="142"/>
      <c r="B13" s="19" t="s">
        <v>113</v>
      </c>
      <c r="C13" s="127">
        <v>19678239</v>
      </c>
      <c r="D13" s="136">
        <v>7</v>
      </c>
      <c r="E13" s="34">
        <v>27</v>
      </c>
      <c r="F13" s="34" t="s">
        <v>58</v>
      </c>
      <c r="G13" s="34" t="s">
        <v>114</v>
      </c>
      <c r="H13" s="34"/>
      <c r="I13" s="50"/>
      <c r="J13" s="34"/>
      <c r="K13" s="34" t="s">
        <v>110</v>
      </c>
      <c r="L13" s="34"/>
      <c r="M13" s="34" t="s">
        <v>31</v>
      </c>
      <c r="N13" s="45" t="s">
        <v>32</v>
      </c>
      <c r="O13" s="19" t="s">
        <v>33</v>
      </c>
      <c r="P13" s="34"/>
      <c r="Q13" s="88" t="s">
        <v>115</v>
      </c>
      <c r="R13" s="34" t="s">
        <v>55</v>
      </c>
      <c r="S13" s="34" t="s">
        <v>94</v>
      </c>
      <c r="T13" s="76">
        <v>45988</v>
      </c>
      <c r="U13" s="50">
        <v>46080</v>
      </c>
      <c r="V13" s="116">
        <f t="shared" ca="1" si="0"/>
        <v>-5</v>
      </c>
      <c r="W13" s="116" t="str">
        <f t="shared" ca="1" si="1"/>
        <v>Vencido</v>
      </c>
      <c r="X13" s="34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</row>
    <row r="14" spans="1:205" s="13" customFormat="1" ht="37.5">
      <c r="A14" s="142" t="s">
        <v>26</v>
      </c>
      <c r="B14" s="19" t="s">
        <v>116</v>
      </c>
      <c r="C14" s="24">
        <v>15023568</v>
      </c>
      <c r="D14" s="19">
        <v>5</v>
      </c>
      <c r="E14" s="23">
        <v>41</v>
      </c>
      <c r="F14" s="19" t="s">
        <v>117</v>
      </c>
      <c r="G14" s="19" t="s">
        <v>29</v>
      </c>
      <c r="H14" s="19">
        <v>2023</v>
      </c>
      <c r="I14" s="46">
        <v>45279</v>
      </c>
      <c r="J14" s="19" t="s">
        <v>37</v>
      </c>
      <c r="K14" s="19" t="s">
        <v>38</v>
      </c>
      <c r="L14" s="46">
        <v>45853</v>
      </c>
      <c r="M14" s="19" t="s">
        <v>31</v>
      </c>
      <c r="N14" s="45" t="s">
        <v>32</v>
      </c>
      <c r="O14" s="19" t="s">
        <v>33</v>
      </c>
      <c r="P14" s="19"/>
      <c r="Q14" s="51" t="s">
        <v>118</v>
      </c>
      <c r="R14" s="19" t="s">
        <v>55</v>
      </c>
      <c r="S14" s="19" t="s">
        <v>49</v>
      </c>
      <c r="T14" s="59">
        <v>46070</v>
      </c>
      <c r="U14" s="4">
        <v>46159</v>
      </c>
      <c r="V14" s="2">
        <f t="shared" ca="1" si="0"/>
        <v>74</v>
      </c>
      <c r="W14" s="116" t="str">
        <f t="shared" ca="1" si="1"/>
        <v>Vigente</v>
      </c>
      <c r="X14" s="19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</row>
    <row r="15" spans="1:205" s="12" customFormat="1">
      <c r="A15" s="142" t="s">
        <v>26</v>
      </c>
      <c r="B15" s="19" t="s">
        <v>119</v>
      </c>
      <c r="C15" s="24">
        <v>14264013</v>
      </c>
      <c r="D15" s="19">
        <v>9</v>
      </c>
      <c r="E15" s="23">
        <v>55</v>
      </c>
      <c r="F15" s="19" t="s">
        <v>28</v>
      </c>
      <c r="G15" s="19" t="s">
        <v>29</v>
      </c>
      <c r="H15" s="19">
        <v>2023</v>
      </c>
      <c r="I15" s="46">
        <v>45120</v>
      </c>
      <c r="J15" s="19" t="s">
        <v>30</v>
      </c>
      <c r="K15" s="19" t="s">
        <v>31</v>
      </c>
      <c r="L15" s="46">
        <v>45174</v>
      </c>
      <c r="M15" s="19" t="s">
        <v>31</v>
      </c>
      <c r="N15" s="45" t="s">
        <v>32</v>
      </c>
      <c r="O15" s="19" t="s">
        <v>33</v>
      </c>
      <c r="P15" s="19" t="s">
        <v>84</v>
      </c>
      <c r="Q15" s="51" t="s">
        <v>88</v>
      </c>
      <c r="R15" s="37" t="s">
        <v>60</v>
      </c>
      <c r="S15" s="19" t="s">
        <v>49</v>
      </c>
      <c r="T15" s="59">
        <v>45897</v>
      </c>
      <c r="U15" s="4">
        <v>46081</v>
      </c>
      <c r="V15" s="116">
        <f t="shared" ca="1" si="0"/>
        <v>-4</v>
      </c>
      <c r="W15" s="116" t="str">
        <f t="shared" ca="1" si="1"/>
        <v>Vencido</v>
      </c>
      <c r="X15" s="19" t="s">
        <v>73</v>
      </c>
    </row>
    <row r="16" spans="1:205">
      <c r="A16" s="142" t="s">
        <v>26</v>
      </c>
      <c r="B16" s="19" t="s">
        <v>120</v>
      </c>
      <c r="C16" s="24">
        <v>11937553</v>
      </c>
      <c r="D16" s="19">
        <v>3</v>
      </c>
      <c r="E16" s="23">
        <v>52</v>
      </c>
      <c r="F16" s="19" t="s">
        <v>28</v>
      </c>
      <c r="G16" s="19" t="s">
        <v>29</v>
      </c>
      <c r="H16" s="19" t="s">
        <v>96</v>
      </c>
      <c r="I16" s="19" t="s">
        <v>97</v>
      </c>
      <c r="J16" s="19" t="s">
        <v>30</v>
      </c>
      <c r="K16" s="19" t="s">
        <v>31</v>
      </c>
      <c r="L16" s="19" t="s">
        <v>96</v>
      </c>
      <c r="M16" s="19" t="s">
        <v>31</v>
      </c>
      <c r="N16" s="45" t="s">
        <v>32</v>
      </c>
      <c r="O16" s="19" t="s">
        <v>45</v>
      </c>
      <c r="P16" s="19" t="s">
        <v>121</v>
      </c>
      <c r="Q16" s="51" t="s">
        <v>88</v>
      </c>
      <c r="R16" s="1" t="s">
        <v>60</v>
      </c>
      <c r="S16" s="2" t="s">
        <v>49</v>
      </c>
      <c r="T16" s="59">
        <v>45925</v>
      </c>
      <c r="U16" s="4">
        <v>46106</v>
      </c>
      <c r="V16" s="2">
        <f t="shared" ca="1" si="0"/>
        <v>21</v>
      </c>
      <c r="W16" s="116" t="str">
        <f t="shared" ca="1" si="1"/>
        <v>Vigente</v>
      </c>
      <c r="X16" s="2" t="s">
        <v>50</v>
      </c>
    </row>
    <row r="17" spans="1:205" ht="37.5">
      <c r="A17" s="142" t="s">
        <v>26</v>
      </c>
      <c r="B17" s="19" t="s">
        <v>122</v>
      </c>
      <c r="C17" s="35">
        <v>7489172</v>
      </c>
      <c r="D17" s="34">
        <v>1</v>
      </c>
      <c r="E17" s="36">
        <v>70</v>
      </c>
      <c r="F17" s="34" t="s">
        <v>28</v>
      </c>
      <c r="G17" s="34" t="s">
        <v>29</v>
      </c>
      <c r="H17" s="34">
        <v>2023</v>
      </c>
      <c r="I17" s="50">
        <v>45141</v>
      </c>
      <c r="J17" s="34" t="s">
        <v>30</v>
      </c>
      <c r="K17" s="34" t="s">
        <v>31</v>
      </c>
      <c r="L17" s="50">
        <v>45174</v>
      </c>
      <c r="M17" s="34" t="s">
        <v>31</v>
      </c>
      <c r="N17" s="45" t="s">
        <v>32</v>
      </c>
      <c r="O17" s="19" t="s">
        <v>33</v>
      </c>
      <c r="P17" s="34"/>
      <c r="Q17" s="51" t="s">
        <v>123</v>
      </c>
      <c r="R17" s="7" t="s">
        <v>60</v>
      </c>
      <c r="S17" s="8" t="s">
        <v>49</v>
      </c>
      <c r="T17" s="59">
        <v>45925</v>
      </c>
      <c r="U17" s="4">
        <v>46039</v>
      </c>
      <c r="V17" s="2">
        <f t="shared" ca="1" si="0"/>
        <v>-46</v>
      </c>
      <c r="W17" s="116" t="str">
        <f t="shared" ca="1" si="1"/>
        <v>Vencido</v>
      </c>
      <c r="X17" s="19" t="s">
        <v>73</v>
      </c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</row>
    <row r="18" spans="1:205" s="12" customFormat="1">
      <c r="A18" s="142" t="s">
        <v>26</v>
      </c>
      <c r="B18" s="19" t="s">
        <v>124</v>
      </c>
      <c r="C18" s="24">
        <v>14431142</v>
      </c>
      <c r="D18" s="19">
        <v>6</v>
      </c>
      <c r="E18" s="23">
        <v>53</v>
      </c>
      <c r="F18" s="19" t="s">
        <v>28</v>
      </c>
      <c r="G18" s="19" t="s">
        <v>29</v>
      </c>
      <c r="H18" s="19">
        <v>2021</v>
      </c>
      <c r="I18" s="46">
        <v>44522</v>
      </c>
      <c r="J18" s="19" t="s">
        <v>30</v>
      </c>
      <c r="K18" s="19" t="s">
        <v>31</v>
      </c>
      <c r="L18" s="46">
        <v>44643</v>
      </c>
      <c r="M18" s="19" t="s">
        <v>31</v>
      </c>
      <c r="N18" s="45" t="s">
        <v>32</v>
      </c>
      <c r="O18" s="19" t="s">
        <v>33</v>
      </c>
      <c r="P18" s="19" t="s">
        <v>84</v>
      </c>
      <c r="Q18" s="51" t="s">
        <v>125</v>
      </c>
      <c r="R18" s="1" t="s">
        <v>112</v>
      </c>
      <c r="S18" s="2" t="s">
        <v>49</v>
      </c>
      <c r="T18" s="59" t="s">
        <v>126</v>
      </c>
      <c r="U18" s="4">
        <v>45968</v>
      </c>
      <c r="V18" s="2">
        <f t="shared" ca="1" si="0"/>
        <v>-117</v>
      </c>
      <c r="W18" s="116" t="str">
        <f t="shared" ca="1" si="1"/>
        <v>Vencido</v>
      </c>
      <c r="X18" s="2" t="s">
        <v>73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</row>
    <row r="19" spans="1:205">
      <c r="A19" s="142" t="s">
        <v>26</v>
      </c>
      <c r="B19" s="26" t="s">
        <v>127</v>
      </c>
      <c r="C19" s="27">
        <v>12420432</v>
      </c>
      <c r="D19" s="26">
        <v>1</v>
      </c>
      <c r="E19" s="23">
        <v>50</v>
      </c>
      <c r="F19" s="26" t="s">
        <v>28</v>
      </c>
      <c r="G19" s="19" t="s">
        <v>29</v>
      </c>
      <c r="H19" s="19">
        <v>2023</v>
      </c>
      <c r="I19" s="47">
        <v>45000</v>
      </c>
      <c r="J19" s="26" t="s">
        <v>30</v>
      </c>
      <c r="K19" s="26" t="s">
        <v>31</v>
      </c>
      <c r="L19" s="47">
        <v>45230</v>
      </c>
      <c r="M19" s="19" t="s">
        <v>31</v>
      </c>
      <c r="N19" s="45" t="s">
        <v>32</v>
      </c>
      <c r="O19" s="19" t="s">
        <v>33</v>
      </c>
      <c r="P19" s="19" t="s">
        <v>84</v>
      </c>
      <c r="Q19" s="62" t="s">
        <v>107</v>
      </c>
      <c r="R19" s="37" t="s">
        <v>55</v>
      </c>
      <c r="S19" s="19" t="s">
        <v>128</v>
      </c>
      <c r="T19" s="59">
        <v>45932</v>
      </c>
      <c r="U19" s="4">
        <v>46024</v>
      </c>
      <c r="V19" s="2">
        <f t="shared" ca="1" si="0"/>
        <v>-61</v>
      </c>
      <c r="W19" s="116" t="str">
        <f t="shared" ca="1" si="1"/>
        <v>Vencido</v>
      </c>
      <c r="X19" s="19" t="s">
        <v>73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</row>
    <row r="20" spans="1:205">
      <c r="A20" s="142" t="s">
        <v>26</v>
      </c>
      <c r="B20" s="19" t="s">
        <v>129</v>
      </c>
      <c r="C20" s="24">
        <v>13535042</v>
      </c>
      <c r="D20" s="19">
        <v>7</v>
      </c>
      <c r="E20" s="23">
        <v>44</v>
      </c>
      <c r="F20" s="19" t="s">
        <v>28</v>
      </c>
      <c r="G20" s="19" t="s">
        <v>29</v>
      </c>
      <c r="H20" s="19">
        <v>2023</v>
      </c>
      <c r="I20" s="46">
        <v>44992</v>
      </c>
      <c r="J20" s="19" t="s">
        <v>30</v>
      </c>
      <c r="K20" s="19" t="s">
        <v>31</v>
      </c>
      <c r="L20" s="46">
        <v>45335</v>
      </c>
      <c r="M20" s="19" t="s">
        <v>31</v>
      </c>
      <c r="N20" s="45" t="s">
        <v>32</v>
      </c>
      <c r="O20" s="19" t="s">
        <v>45</v>
      </c>
      <c r="P20" s="19" t="s">
        <v>84</v>
      </c>
      <c r="Q20" s="78" t="s">
        <v>103</v>
      </c>
      <c r="R20" s="150" t="s">
        <v>112</v>
      </c>
      <c r="S20" s="2" t="s">
        <v>49</v>
      </c>
      <c r="T20" s="59">
        <v>45932</v>
      </c>
      <c r="U20" s="4">
        <v>46024</v>
      </c>
      <c r="V20" s="2">
        <f t="shared" ca="1" si="0"/>
        <v>-61</v>
      </c>
      <c r="W20" s="116" t="str">
        <f t="shared" ca="1" si="1"/>
        <v>Vencido</v>
      </c>
      <c r="X20" s="19" t="s">
        <v>73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</row>
    <row r="21" spans="1:205" s="12" customFormat="1">
      <c r="A21" s="142" t="s">
        <v>26</v>
      </c>
      <c r="B21" s="19" t="s">
        <v>130</v>
      </c>
      <c r="C21" s="19">
        <v>20797279</v>
      </c>
      <c r="D21" s="19">
        <v>7</v>
      </c>
      <c r="E21" s="19">
        <v>22</v>
      </c>
      <c r="F21" s="19" t="s">
        <v>28</v>
      </c>
      <c r="G21" s="19" t="s">
        <v>29</v>
      </c>
      <c r="H21" s="19">
        <v>2023</v>
      </c>
      <c r="I21" s="46">
        <v>44929</v>
      </c>
      <c r="J21" s="19" t="s">
        <v>37</v>
      </c>
      <c r="K21" s="19" t="s">
        <v>31</v>
      </c>
      <c r="L21" s="46">
        <v>45636</v>
      </c>
      <c r="M21" s="19" t="s">
        <v>31</v>
      </c>
      <c r="N21" s="45" t="s">
        <v>32</v>
      </c>
      <c r="O21" s="19" t="s">
        <v>45</v>
      </c>
      <c r="P21" s="19" t="s">
        <v>84</v>
      </c>
      <c r="Q21" s="51" t="s">
        <v>88</v>
      </c>
      <c r="R21" s="19" t="s">
        <v>60</v>
      </c>
      <c r="S21" s="19" t="s">
        <v>49</v>
      </c>
      <c r="T21" s="59">
        <v>45638</v>
      </c>
      <c r="U21" s="4">
        <v>45820</v>
      </c>
      <c r="V21" s="2">
        <f t="shared" ca="1" si="0"/>
        <v>-265</v>
      </c>
      <c r="W21" s="116" t="str">
        <f t="shared" ca="1" si="1"/>
        <v>Vencido</v>
      </c>
      <c r="X21" s="19" t="s">
        <v>73</v>
      </c>
    </row>
    <row r="22" spans="1:205" s="12" customFormat="1">
      <c r="A22" s="142" t="s">
        <v>26</v>
      </c>
      <c r="B22" s="19" t="s">
        <v>131</v>
      </c>
      <c r="C22" s="24">
        <v>18010007</v>
      </c>
      <c r="D22" s="19">
        <v>5</v>
      </c>
      <c r="E22" s="23">
        <v>32</v>
      </c>
      <c r="F22" s="19" t="s">
        <v>132</v>
      </c>
      <c r="G22" s="19" t="s">
        <v>29</v>
      </c>
      <c r="H22" s="19">
        <v>2021</v>
      </c>
      <c r="I22" s="46">
        <v>44405</v>
      </c>
      <c r="J22" s="19" t="s">
        <v>30</v>
      </c>
      <c r="K22" s="19" t="s">
        <v>31</v>
      </c>
      <c r="L22" s="46">
        <v>45230</v>
      </c>
      <c r="M22" s="19" t="s">
        <v>31</v>
      </c>
      <c r="N22" s="45" t="s">
        <v>32</v>
      </c>
      <c r="O22" s="19" t="s">
        <v>45</v>
      </c>
      <c r="P22" s="19" t="s">
        <v>84</v>
      </c>
      <c r="Q22" s="139" t="s">
        <v>133</v>
      </c>
      <c r="R22" s="19" t="s">
        <v>48</v>
      </c>
      <c r="S22" s="19" t="s">
        <v>49</v>
      </c>
      <c r="T22" s="59">
        <v>45813</v>
      </c>
      <c r="U22" s="4">
        <v>45843</v>
      </c>
      <c r="V22" s="2">
        <f t="shared" ca="1" si="0"/>
        <v>-242</v>
      </c>
      <c r="W22" s="116" t="str">
        <f t="shared" ca="1" si="1"/>
        <v>Vencido</v>
      </c>
      <c r="X22" s="19" t="s">
        <v>73</v>
      </c>
    </row>
    <row r="23" spans="1:205">
      <c r="A23" s="142" t="s">
        <v>26</v>
      </c>
      <c r="B23" s="19" t="s">
        <v>134</v>
      </c>
      <c r="C23" s="19">
        <v>20975819</v>
      </c>
      <c r="D23" s="19">
        <v>9</v>
      </c>
      <c r="E23" s="19">
        <v>22</v>
      </c>
      <c r="F23" s="19" t="s">
        <v>28</v>
      </c>
      <c r="G23" s="19" t="s">
        <v>29</v>
      </c>
      <c r="H23" s="19">
        <v>2023</v>
      </c>
      <c r="I23" s="46">
        <v>45267</v>
      </c>
      <c r="J23" s="19" t="s">
        <v>37</v>
      </c>
      <c r="K23" s="19" t="s">
        <v>38</v>
      </c>
      <c r="L23" s="46">
        <v>45328</v>
      </c>
      <c r="M23" s="19" t="s">
        <v>31</v>
      </c>
      <c r="N23" s="45" t="s">
        <v>32</v>
      </c>
      <c r="O23" s="19" t="s">
        <v>33</v>
      </c>
      <c r="P23" s="19"/>
      <c r="Q23" s="51" t="s">
        <v>135</v>
      </c>
      <c r="R23" s="19" t="s">
        <v>55</v>
      </c>
      <c r="S23" s="19" t="s">
        <v>49</v>
      </c>
      <c r="T23" s="59">
        <v>45981</v>
      </c>
      <c r="U23" s="4">
        <v>46073</v>
      </c>
      <c r="V23" s="2">
        <f t="shared" ca="1" si="0"/>
        <v>-12</v>
      </c>
      <c r="W23" s="116" t="str">
        <f t="shared" ca="1" si="1"/>
        <v>Vencido</v>
      </c>
      <c r="X23" s="19"/>
    </row>
    <row r="24" spans="1:205" s="12" customFormat="1">
      <c r="A24" s="142" t="s">
        <v>26</v>
      </c>
      <c r="B24" s="19" t="s">
        <v>136</v>
      </c>
      <c r="C24" s="35">
        <v>16111166</v>
      </c>
      <c r="D24" s="41" t="s">
        <v>67</v>
      </c>
      <c r="E24" s="36">
        <v>39</v>
      </c>
      <c r="F24" s="34" t="s">
        <v>28</v>
      </c>
      <c r="G24" s="34" t="s">
        <v>29</v>
      </c>
      <c r="H24" s="34">
        <v>2022</v>
      </c>
      <c r="I24" s="50">
        <v>44904</v>
      </c>
      <c r="J24" s="34" t="s">
        <v>30</v>
      </c>
      <c r="K24" s="34" t="s">
        <v>31</v>
      </c>
      <c r="L24" s="50">
        <v>45139</v>
      </c>
      <c r="M24" s="34" t="s">
        <v>31</v>
      </c>
      <c r="N24" s="45" t="s">
        <v>32</v>
      </c>
      <c r="O24" s="19" t="s">
        <v>33</v>
      </c>
      <c r="P24" s="19"/>
      <c r="Q24" s="51" t="s">
        <v>137</v>
      </c>
      <c r="R24" s="34" t="s">
        <v>72</v>
      </c>
      <c r="S24" s="34" t="s">
        <v>49</v>
      </c>
      <c r="T24" s="59">
        <v>46030</v>
      </c>
      <c r="U24" s="4">
        <v>46089</v>
      </c>
      <c r="V24" s="116">
        <f t="shared" ca="1" si="0"/>
        <v>4</v>
      </c>
      <c r="W24" s="116" t="str">
        <f t="shared" ca="1" si="1"/>
        <v>Por Vencer</v>
      </c>
      <c r="X24" s="19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</row>
    <row r="25" spans="1:205">
      <c r="A25" s="142" t="s">
        <v>26</v>
      </c>
      <c r="B25" s="20" t="s">
        <v>138</v>
      </c>
      <c r="C25" s="21">
        <v>18231952</v>
      </c>
      <c r="D25" s="22" t="s">
        <v>67</v>
      </c>
      <c r="E25" s="23">
        <v>31</v>
      </c>
      <c r="F25" s="20" t="s">
        <v>109</v>
      </c>
      <c r="G25" s="19" t="s">
        <v>29</v>
      </c>
      <c r="H25" s="19">
        <v>2023</v>
      </c>
      <c r="I25" s="44">
        <v>45198</v>
      </c>
      <c r="J25" s="20" t="s">
        <v>30</v>
      </c>
      <c r="K25" s="20" t="s">
        <v>38</v>
      </c>
      <c r="L25" s="44">
        <v>45531</v>
      </c>
      <c r="M25" s="19" t="s">
        <v>31</v>
      </c>
      <c r="N25" s="45" t="s">
        <v>32</v>
      </c>
      <c r="O25" s="19" t="s">
        <v>45</v>
      </c>
      <c r="P25" s="19" t="s">
        <v>84</v>
      </c>
      <c r="Q25" s="51" t="s">
        <v>85</v>
      </c>
      <c r="R25" s="46" t="s">
        <v>86</v>
      </c>
      <c r="S25" s="19" t="s">
        <v>49</v>
      </c>
      <c r="T25" s="59">
        <v>45967</v>
      </c>
      <c r="U25" s="4">
        <v>46148</v>
      </c>
      <c r="V25" s="2">
        <f t="shared" ca="1" si="0"/>
        <v>63</v>
      </c>
      <c r="W25" s="116" t="str">
        <f t="shared" ca="1" si="1"/>
        <v>Vigente</v>
      </c>
      <c r="X25" s="19" t="s">
        <v>50</v>
      </c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</row>
    <row r="26" spans="1:205">
      <c r="A26" s="142" t="s">
        <v>26</v>
      </c>
      <c r="B26" s="19" t="s">
        <v>139</v>
      </c>
      <c r="C26" s="24">
        <v>10617480</v>
      </c>
      <c r="D26" s="19">
        <v>6</v>
      </c>
      <c r="E26" s="23">
        <v>60</v>
      </c>
      <c r="F26" s="19" t="s">
        <v>28</v>
      </c>
      <c r="G26" s="19" t="s">
        <v>29</v>
      </c>
      <c r="H26" s="19">
        <v>2021</v>
      </c>
      <c r="I26" s="46">
        <v>44382</v>
      </c>
      <c r="J26" s="19" t="s">
        <v>30</v>
      </c>
      <c r="K26" s="19" t="s">
        <v>31</v>
      </c>
      <c r="L26" s="46">
        <v>44635</v>
      </c>
      <c r="M26" s="19" t="s">
        <v>31</v>
      </c>
      <c r="N26" s="45" t="s">
        <v>32</v>
      </c>
      <c r="O26" s="19" t="s">
        <v>45</v>
      </c>
      <c r="P26" s="19" t="s">
        <v>84</v>
      </c>
      <c r="Q26" s="51" t="s">
        <v>88</v>
      </c>
      <c r="R26" s="2" t="s">
        <v>86</v>
      </c>
      <c r="S26" s="2" t="s">
        <v>49</v>
      </c>
      <c r="T26" s="59">
        <v>45939</v>
      </c>
      <c r="U26" s="4">
        <v>46121</v>
      </c>
      <c r="V26" s="116">
        <f t="shared" ca="1" si="0"/>
        <v>36</v>
      </c>
      <c r="W26" s="116" t="str">
        <f t="shared" ca="1" si="1"/>
        <v>Vigente</v>
      </c>
      <c r="X26" s="2" t="s">
        <v>73</v>
      </c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</row>
    <row r="27" spans="1:205">
      <c r="A27" s="142" t="s">
        <v>26</v>
      </c>
      <c r="B27" s="19" t="s">
        <v>140</v>
      </c>
      <c r="C27" s="34">
        <v>8760593</v>
      </c>
      <c r="D27" s="34">
        <v>0</v>
      </c>
      <c r="E27" s="34">
        <v>66</v>
      </c>
      <c r="F27" s="34" t="s">
        <v>28</v>
      </c>
      <c r="G27" s="34" t="s">
        <v>29</v>
      </c>
      <c r="H27" s="34">
        <v>2022</v>
      </c>
      <c r="I27" s="50">
        <v>45642</v>
      </c>
      <c r="J27" s="34" t="s">
        <v>105</v>
      </c>
      <c r="K27" s="34" t="s">
        <v>31</v>
      </c>
      <c r="L27" s="34" t="s">
        <v>141</v>
      </c>
      <c r="M27" s="34"/>
      <c r="N27" s="45" t="s">
        <v>32</v>
      </c>
      <c r="O27" s="19" t="s">
        <v>33</v>
      </c>
      <c r="P27" s="19" t="s">
        <v>84</v>
      </c>
      <c r="Q27" s="88" t="s">
        <v>142</v>
      </c>
      <c r="R27" s="34" t="s">
        <v>60</v>
      </c>
      <c r="S27" s="34" t="s">
        <v>49</v>
      </c>
      <c r="T27" s="76">
        <v>45890</v>
      </c>
      <c r="U27" s="50">
        <v>46074</v>
      </c>
      <c r="V27" s="34">
        <f t="shared" ca="1" si="0"/>
        <v>-11</v>
      </c>
      <c r="W27" s="116" t="str">
        <f t="shared" ca="1" si="1"/>
        <v>Vencido</v>
      </c>
      <c r="X27" s="34" t="s">
        <v>73</v>
      </c>
    </row>
    <row r="28" spans="1:205">
      <c r="A28" s="142" t="s">
        <v>26</v>
      </c>
      <c r="B28" s="19" t="s">
        <v>143</v>
      </c>
      <c r="C28" s="24">
        <v>9712437</v>
      </c>
      <c r="D28" s="33" t="s">
        <v>144</v>
      </c>
      <c r="E28" s="23">
        <v>63</v>
      </c>
      <c r="F28" s="19" t="s">
        <v>28</v>
      </c>
      <c r="G28" s="19" t="s">
        <v>29</v>
      </c>
      <c r="H28" s="19">
        <v>2021</v>
      </c>
      <c r="I28" s="46">
        <v>44340</v>
      </c>
      <c r="J28" s="19" t="s">
        <v>30</v>
      </c>
      <c r="K28" s="19" t="s">
        <v>31</v>
      </c>
      <c r="L28" s="46" t="s">
        <v>96</v>
      </c>
      <c r="M28" s="19" t="s">
        <v>31</v>
      </c>
      <c r="N28" s="45" t="s">
        <v>32</v>
      </c>
      <c r="O28" s="19" t="s">
        <v>45</v>
      </c>
      <c r="P28" s="19" t="s">
        <v>84</v>
      </c>
      <c r="Q28" s="51" t="s">
        <v>85</v>
      </c>
      <c r="R28" s="149" t="s">
        <v>60</v>
      </c>
      <c r="S28" s="2" t="s">
        <v>49</v>
      </c>
      <c r="T28" s="59">
        <v>45925</v>
      </c>
      <c r="U28" s="4">
        <v>46106</v>
      </c>
      <c r="V28" s="2">
        <f t="shared" ca="1" si="0"/>
        <v>21</v>
      </c>
      <c r="W28" s="116" t="str">
        <f t="shared" ca="1" si="1"/>
        <v>Vigente</v>
      </c>
      <c r="X28" s="19" t="s">
        <v>73</v>
      </c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</row>
    <row r="29" spans="1:205" ht="37.5">
      <c r="A29" s="142" t="s">
        <v>26</v>
      </c>
      <c r="B29" s="19" t="s">
        <v>145</v>
      </c>
      <c r="C29" s="24">
        <v>16849126</v>
      </c>
      <c r="D29" s="19">
        <v>3</v>
      </c>
      <c r="E29" s="23">
        <v>36</v>
      </c>
      <c r="F29" s="19" t="s">
        <v>28</v>
      </c>
      <c r="G29" s="19" t="s">
        <v>29</v>
      </c>
      <c r="H29" s="19" t="s">
        <v>96</v>
      </c>
      <c r="I29" s="19" t="s">
        <v>97</v>
      </c>
      <c r="J29" s="19" t="s">
        <v>83</v>
      </c>
      <c r="K29" s="19" t="s">
        <v>31</v>
      </c>
      <c r="L29" s="19" t="s">
        <v>96</v>
      </c>
      <c r="M29" s="19" t="s">
        <v>31</v>
      </c>
      <c r="N29" s="45" t="s">
        <v>32</v>
      </c>
      <c r="O29" s="19" t="s">
        <v>33</v>
      </c>
      <c r="P29" s="19" t="s">
        <v>84</v>
      </c>
      <c r="Q29" s="51" t="s">
        <v>123</v>
      </c>
      <c r="R29" s="2" t="s">
        <v>60</v>
      </c>
      <c r="S29" s="2" t="s">
        <v>49</v>
      </c>
      <c r="T29" s="59">
        <v>45855</v>
      </c>
      <c r="U29" s="4">
        <v>46039</v>
      </c>
      <c r="V29" s="2">
        <f t="shared" ca="1" si="0"/>
        <v>-46</v>
      </c>
      <c r="W29" s="116" t="str">
        <f t="shared" ca="1" si="1"/>
        <v>Vencido</v>
      </c>
      <c r="X29" s="19" t="s">
        <v>73</v>
      </c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</row>
    <row r="30" spans="1:205" s="12" customFormat="1">
      <c r="A30" s="142" t="s">
        <v>26</v>
      </c>
      <c r="B30" s="19" t="s">
        <v>146</v>
      </c>
      <c r="C30" s="35">
        <v>10867881</v>
      </c>
      <c r="D30" s="41" t="s">
        <v>67</v>
      </c>
      <c r="E30" s="36">
        <v>59</v>
      </c>
      <c r="F30" s="34" t="s">
        <v>28</v>
      </c>
      <c r="G30" s="34" t="s">
        <v>29</v>
      </c>
      <c r="H30" s="34" t="s">
        <v>96</v>
      </c>
      <c r="I30" s="34" t="s">
        <v>97</v>
      </c>
      <c r="J30" s="34" t="s">
        <v>83</v>
      </c>
      <c r="K30" s="34" t="s">
        <v>31</v>
      </c>
      <c r="L30" s="34" t="s">
        <v>96</v>
      </c>
      <c r="M30" s="34" t="s">
        <v>31</v>
      </c>
      <c r="N30" s="45" t="s">
        <v>32</v>
      </c>
      <c r="O30" s="19" t="s">
        <v>33</v>
      </c>
      <c r="P30" s="34" t="s">
        <v>147</v>
      </c>
      <c r="Q30" s="51" t="s">
        <v>148</v>
      </c>
      <c r="R30" s="34" t="s">
        <v>149</v>
      </c>
      <c r="S30" s="34" t="s">
        <v>49</v>
      </c>
      <c r="T30" s="59">
        <v>45862</v>
      </c>
      <c r="U30" s="4">
        <v>46227</v>
      </c>
      <c r="V30" s="116">
        <f t="shared" ca="1" si="0"/>
        <v>142</v>
      </c>
      <c r="W30" s="116" t="str">
        <f t="shared" ca="1" si="1"/>
        <v>Vigente</v>
      </c>
      <c r="X30" s="19" t="s">
        <v>73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</row>
    <row r="31" spans="1:205" ht="37.5">
      <c r="A31" s="142" t="s">
        <v>26</v>
      </c>
      <c r="B31" s="148" t="s">
        <v>150</v>
      </c>
      <c r="C31" s="117">
        <v>7386980</v>
      </c>
      <c r="D31" s="19">
        <v>3</v>
      </c>
      <c r="E31" s="23">
        <v>68</v>
      </c>
      <c r="F31" s="19" t="s">
        <v>28</v>
      </c>
      <c r="G31" s="19" t="s">
        <v>29</v>
      </c>
      <c r="H31" s="19">
        <v>2023</v>
      </c>
      <c r="I31" s="46">
        <v>44943</v>
      </c>
      <c r="J31" s="19" t="s">
        <v>30</v>
      </c>
      <c r="K31" s="19" t="s">
        <v>31</v>
      </c>
      <c r="L31" s="46">
        <v>45097</v>
      </c>
      <c r="M31" s="19" t="s">
        <v>31</v>
      </c>
      <c r="N31" s="45" t="s">
        <v>32</v>
      </c>
      <c r="O31" s="19" t="s">
        <v>33</v>
      </c>
      <c r="P31" s="19"/>
      <c r="Q31" s="51" t="s">
        <v>151</v>
      </c>
      <c r="R31" s="149" t="s">
        <v>60</v>
      </c>
      <c r="S31" s="2" t="s">
        <v>49</v>
      </c>
      <c r="T31" s="59">
        <v>45988</v>
      </c>
      <c r="U31" s="4">
        <v>46169</v>
      </c>
      <c r="V31" s="2">
        <f t="shared" ca="1" si="0"/>
        <v>84</v>
      </c>
      <c r="W31" s="116" t="str">
        <f t="shared" ca="1" si="1"/>
        <v>Vigente</v>
      </c>
      <c r="X31" s="19"/>
    </row>
    <row r="32" spans="1:205" ht="37.5">
      <c r="A32" s="142" t="s">
        <v>26</v>
      </c>
      <c r="B32" s="19" t="s">
        <v>152</v>
      </c>
      <c r="C32" s="123">
        <v>14467047</v>
      </c>
      <c r="D32" s="19">
        <v>7</v>
      </c>
      <c r="E32" s="23">
        <v>51</v>
      </c>
      <c r="F32" s="19" t="s">
        <v>28</v>
      </c>
      <c r="G32" s="19" t="s">
        <v>29</v>
      </c>
      <c r="H32" s="19">
        <v>2023</v>
      </c>
      <c r="I32" s="46">
        <v>45266</v>
      </c>
      <c r="J32" s="19" t="s">
        <v>30</v>
      </c>
      <c r="K32" s="19" t="s">
        <v>31</v>
      </c>
      <c r="L32" s="46">
        <v>45335</v>
      </c>
      <c r="M32" s="19" t="s">
        <v>31</v>
      </c>
      <c r="N32" s="45" t="s">
        <v>32</v>
      </c>
      <c r="O32" s="19" t="s">
        <v>33</v>
      </c>
      <c r="P32" s="19"/>
      <c r="Q32" s="51" t="s">
        <v>153</v>
      </c>
      <c r="R32" s="19" t="s">
        <v>72</v>
      </c>
      <c r="S32" s="19" t="s">
        <v>94</v>
      </c>
      <c r="T32" s="59">
        <v>46064</v>
      </c>
      <c r="U32" s="4">
        <v>46092</v>
      </c>
      <c r="V32" s="2">
        <f t="shared" ca="1" si="0"/>
        <v>7</v>
      </c>
      <c r="W32" s="116" t="str">
        <f t="shared" ca="1" si="1"/>
        <v>Por Vencer</v>
      </c>
      <c r="X32" s="19"/>
    </row>
    <row r="33" spans="1:205" s="13" customFormat="1">
      <c r="A33" s="142" t="s">
        <v>26</v>
      </c>
      <c r="B33" s="19" t="s">
        <v>154</v>
      </c>
      <c r="C33" s="24">
        <v>12770908</v>
      </c>
      <c r="D33" s="19">
        <v>4</v>
      </c>
      <c r="E33" s="23">
        <v>49</v>
      </c>
      <c r="F33" s="19" t="s">
        <v>28</v>
      </c>
      <c r="G33" s="19" t="s">
        <v>29</v>
      </c>
      <c r="H33" s="19" t="s">
        <v>96</v>
      </c>
      <c r="I33" s="19" t="s">
        <v>97</v>
      </c>
      <c r="J33" s="19" t="s">
        <v>83</v>
      </c>
      <c r="K33" s="19" t="s">
        <v>31</v>
      </c>
      <c r="L33" s="19" t="s">
        <v>96</v>
      </c>
      <c r="M33" s="34" t="s">
        <v>31</v>
      </c>
      <c r="N33" s="45" t="s">
        <v>32</v>
      </c>
      <c r="O33" s="19" t="s">
        <v>33</v>
      </c>
      <c r="P33" s="34"/>
      <c r="Q33" s="19" t="s">
        <v>155</v>
      </c>
      <c r="R33" s="34" t="s">
        <v>55</v>
      </c>
      <c r="S33" s="34" t="s">
        <v>49</v>
      </c>
      <c r="T33" s="59">
        <v>46057</v>
      </c>
      <c r="U33" s="4">
        <v>46146</v>
      </c>
      <c r="V33" s="2">
        <f t="shared" ca="1" si="0"/>
        <v>61</v>
      </c>
      <c r="W33" s="116" t="str">
        <f t="shared" ca="1" si="1"/>
        <v>Vigente</v>
      </c>
      <c r="X33" s="19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</row>
    <row r="34" spans="1:205" s="12" customFormat="1">
      <c r="A34" s="142" t="s">
        <v>26</v>
      </c>
      <c r="B34" s="19" t="s">
        <v>156</v>
      </c>
      <c r="C34" s="19">
        <v>11091462</v>
      </c>
      <c r="D34" s="19">
        <v>8</v>
      </c>
      <c r="E34" s="19">
        <v>57</v>
      </c>
      <c r="F34" s="19" t="s">
        <v>28</v>
      </c>
      <c r="G34" s="19" t="s">
        <v>29</v>
      </c>
      <c r="H34" s="19">
        <v>2001</v>
      </c>
      <c r="I34" s="46">
        <v>37043</v>
      </c>
      <c r="J34" s="19" t="s">
        <v>105</v>
      </c>
      <c r="K34" s="19" t="s">
        <v>31</v>
      </c>
      <c r="L34" s="46">
        <v>43326</v>
      </c>
      <c r="M34" s="19" t="s">
        <v>31</v>
      </c>
      <c r="N34" s="45" t="s">
        <v>32</v>
      </c>
      <c r="O34" s="19" t="s">
        <v>33</v>
      </c>
      <c r="P34" s="19"/>
      <c r="Q34" s="51" t="s">
        <v>157</v>
      </c>
      <c r="R34" s="2" t="s">
        <v>55</v>
      </c>
      <c r="S34" s="2" t="s">
        <v>49</v>
      </c>
      <c r="T34" s="59">
        <v>46063</v>
      </c>
      <c r="U34" s="4">
        <v>46152</v>
      </c>
      <c r="V34" s="2">
        <f t="shared" ca="1" si="0"/>
        <v>67</v>
      </c>
      <c r="W34" s="116" t="str">
        <f t="shared" ca="1" si="1"/>
        <v>Vigente</v>
      </c>
      <c r="X34" s="19"/>
    </row>
    <row r="35" spans="1:205">
      <c r="A35" s="142" t="s">
        <v>158</v>
      </c>
      <c r="B35" s="19" t="s">
        <v>159</v>
      </c>
      <c r="C35" s="34">
        <v>13759848</v>
      </c>
      <c r="D35" s="34">
        <v>5</v>
      </c>
      <c r="E35" s="34">
        <v>44</v>
      </c>
      <c r="F35" s="34" t="s">
        <v>28</v>
      </c>
      <c r="G35" s="34" t="s">
        <v>29</v>
      </c>
      <c r="H35" s="34" t="s">
        <v>96</v>
      </c>
      <c r="I35" s="34" t="s">
        <v>97</v>
      </c>
      <c r="J35" s="34" t="s">
        <v>105</v>
      </c>
      <c r="K35" s="34" t="s">
        <v>31</v>
      </c>
      <c r="L35" s="34" t="s">
        <v>96</v>
      </c>
      <c r="M35" s="34" t="s">
        <v>31</v>
      </c>
      <c r="N35" s="45" t="s">
        <v>32</v>
      </c>
      <c r="O35" s="19" t="s">
        <v>45</v>
      </c>
      <c r="P35" s="34" t="s">
        <v>147</v>
      </c>
      <c r="Q35" s="88" t="s">
        <v>85</v>
      </c>
      <c r="R35" s="34" t="s">
        <v>86</v>
      </c>
      <c r="S35" s="34" t="s">
        <v>49</v>
      </c>
      <c r="T35" s="59">
        <v>45967</v>
      </c>
      <c r="U35" s="4">
        <v>46148</v>
      </c>
      <c r="V35" s="2">
        <f t="shared" ca="1" si="0"/>
        <v>63</v>
      </c>
      <c r="W35" s="116" t="str">
        <f t="shared" ca="1" si="1"/>
        <v>Vigente</v>
      </c>
      <c r="X35" s="34" t="s">
        <v>73</v>
      </c>
    </row>
    <row r="36" spans="1:205" s="12" customFormat="1">
      <c r="A36" s="142" t="s">
        <v>26</v>
      </c>
      <c r="B36" s="19" t="s">
        <v>160</v>
      </c>
      <c r="C36" s="34">
        <v>6252993</v>
      </c>
      <c r="D36" s="34">
        <v>8</v>
      </c>
      <c r="E36" s="34">
        <v>72</v>
      </c>
      <c r="F36" s="34" t="s">
        <v>36</v>
      </c>
      <c r="G36" s="34" t="s">
        <v>29</v>
      </c>
      <c r="H36" s="34">
        <v>2024</v>
      </c>
      <c r="I36" s="50">
        <v>45545</v>
      </c>
      <c r="J36" s="34" t="s">
        <v>37</v>
      </c>
      <c r="K36" s="34" t="s">
        <v>38</v>
      </c>
      <c r="L36" s="50" t="s">
        <v>161</v>
      </c>
      <c r="M36" s="34" t="s">
        <v>31</v>
      </c>
      <c r="N36" s="45" t="s">
        <v>32</v>
      </c>
      <c r="O36" s="19" t="s">
        <v>33</v>
      </c>
      <c r="P36" s="34" t="s">
        <v>84</v>
      </c>
      <c r="Q36" s="89" t="s">
        <v>162</v>
      </c>
      <c r="R36" s="34" t="s">
        <v>72</v>
      </c>
      <c r="S36" s="34" t="s">
        <v>94</v>
      </c>
      <c r="T36" s="76">
        <v>45945</v>
      </c>
      <c r="U36" s="50">
        <v>46006</v>
      </c>
      <c r="V36" s="116">
        <f t="shared" ca="1" si="0"/>
        <v>-79</v>
      </c>
      <c r="W36" s="116" t="str">
        <f t="shared" ca="1" si="1"/>
        <v>Vencido</v>
      </c>
      <c r="X36" s="34" t="s">
        <v>73</v>
      </c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</row>
    <row r="37" spans="1:205">
      <c r="A37" s="142" t="s">
        <v>26</v>
      </c>
      <c r="B37" s="19" t="s">
        <v>163</v>
      </c>
      <c r="C37" s="24">
        <v>14314730</v>
      </c>
      <c r="D37" s="19">
        <v>4</v>
      </c>
      <c r="E37" s="23">
        <v>47</v>
      </c>
      <c r="F37" s="19" t="s">
        <v>28</v>
      </c>
      <c r="G37" s="19" t="s">
        <v>29</v>
      </c>
      <c r="H37" s="19" t="s">
        <v>96</v>
      </c>
      <c r="I37" s="2" t="s">
        <v>97</v>
      </c>
      <c r="J37" s="19" t="s">
        <v>30</v>
      </c>
      <c r="K37" s="19" t="s">
        <v>31</v>
      </c>
      <c r="L37" s="46">
        <v>45237</v>
      </c>
      <c r="M37" s="19" t="s">
        <v>31</v>
      </c>
      <c r="N37" s="45" t="s">
        <v>32</v>
      </c>
      <c r="O37" s="19" t="s">
        <v>33</v>
      </c>
      <c r="P37" s="19" t="s">
        <v>84</v>
      </c>
      <c r="Q37" s="51" t="s">
        <v>164</v>
      </c>
      <c r="R37" s="2" t="s">
        <v>55</v>
      </c>
      <c r="S37" s="2" t="s">
        <v>49</v>
      </c>
      <c r="T37" s="59">
        <v>45841</v>
      </c>
      <c r="U37" s="4">
        <v>45933</v>
      </c>
      <c r="V37" s="2">
        <f t="shared" ref="V37:V68" ca="1" si="2">U37-TODAY()</f>
        <v>-152</v>
      </c>
      <c r="W37" s="116" t="str">
        <f t="shared" ref="W37:W68" ca="1" si="3">IF(V37&gt;=20,"Vigente",IF(AND(V37&gt;=1,V37&lt;=20),"Por Vencer","Vencido"))</f>
        <v>Vencido</v>
      </c>
      <c r="X37" s="19" t="s">
        <v>73</v>
      </c>
    </row>
    <row r="38" spans="1:205" s="12" customFormat="1">
      <c r="A38" s="142" t="s">
        <v>26</v>
      </c>
      <c r="B38" s="19" t="s">
        <v>165</v>
      </c>
      <c r="C38" s="24">
        <v>10059047</v>
      </c>
      <c r="D38" s="19">
        <v>6</v>
      </c>
      <c r="E38" s="23">
        <v>60</v>
      </c>
      <c r="F38" s="19" t="s">
        <v>28</v>
      </c>
      <c r="G38" s="19" t="s">
        <v>29</v>
      </c>
      <c r="H38" s="19">
        <v>2022</v>
      </c>
      <c r="I38" s="46">
        <v>44575</v>
      </c>
      <c r="J38" s="19" t="s">
        <v>83</v>
      </c>
      <c r="K38" s="19" t="s">
        <v>31</v>
      </c>
      <c r="L38" s="46">
        <v>44936</v>
      </c>
      <c r="M38" s="34" t="s">
        <v>31</v>
      </c>
      <c r="N38" s="45" t="s">
        <v>32</v>
      </c>
      <c r="O38" s="19" t="s">
        <v>33</v>
      </c>
      <c r="P38" s="19"/>
      <c r="Q38" s="51" t="s">
        <v>166</v>
      </c>
      <c r="R38" s="34" t="s">
        <v>60</v>
      </c>
      <c r="S38" s="34" t="s">
        <v>49</v>
      </c>
      <c r="T38" s="59">
        <v>46030</v>
      </c>
      <c r="U38" s="4">
        <v>46211</v>
      </c>
      <c r="V38" s="2">
        <f t="shared" ca="1" si="2"/>
        <v>126</v>
      </c>
      <c r="W38" s="116" t="str">
        <f t="shared" ca="1" si="3"/>
        <v>Vigente</v>
      </c>
      <c r="X38" s="19"/>
    </row>
    <row r="39" spans="1:205" s="12" customFormat="1">
      <c r="A39" s="142" t="s">
        <v>158</v>
      </c>
      <c r="B39" s="19" t="s">
        <v>167</v>
      </c>
      <c r="C39" s="24">
        <v>7378331</v>
      </c>
      <c r="D39" s="19">
        <v>3</v>
      </c>
      <c r="E39" s="23">
        <v>69</v>
      </c>
      <c r="F39" s="19" t="s">
        <v>28</v>
      </c>
      <c r="G39" s="19" t="s">
        <v>168</v>
      </c>
      <c r="H39" s="19">
        <v>2025</v>
      </c>
      <c r="I39" s="46"/>
      <c r="J39" s="19" t="s">
        <v>30</v>
      </c>
      <c r="K39" s="19" t="s">
        <v>38</v>
      </c>
      <c r="L39" s="46">
        <v>45937</v>
      </c>
      <c r="M39" s="34" t="s">
        <v>44</v>
      </c>
      <c r="N39" s="83" t="s">
        <v>52</v>
      </c>
      <c r="O39" s="19" t="s">
        <v>33</v>
      </c>
      <c r="P39" s="19"/>
      <c r="Q39" s="51" t="s">
        <v>169</v>
      </c>
      <c r="R39" s="34" t="s">
        <v>72</v>
      </c>
      <c r="S39" s="50" t="s">
        <v>94</v>
      </c>
      <c r="T39" s="59">
        <v>45992</v>
      </c>
      <c r="U39" s="4">
        <v>46054</v>
      </c>
      <c r="V39" s="2">
        <f t="shared" ca="1" si="2"/>
        <v>-31</v>
      </c>
      <c r="W39" s="116" t="str">
        <f t="shared" ca="1" si="3"/>
        <v>Vencido</v>
      </c>
      <c r="X39" s="19"/>
    </row>
    <row r="40" spans="1:205">
      <c r="A40" s="142" t="s">
        <v>26</v>
      </c>
      <c r="B40" s="19" t="s">
        <v>170</v>
      </c>
      <c r="C40" s="25">
        <v>6626545</v>
      </c>
      <c r="D40" s="19">
        <v>5</v>
      </c>
      <c r="E40" s="23">
        <v>70</v>
      </c>
      <c r="F40" s="19" t="s">
        <v>58</v>
      </c>
      <c r="G40" s="19" t="s">
        <v>29</v>
      </c>
      <c r="H40" s="19">
        <v>2023</v>
      </c>
      <c r="I40" s="46">
        <v>45222</v>
      </c>
      <c r="J40" s="19" t="s">
        <v>30</v>
      </c>
      <c r="K40" s="19" t="s">
        <v>38</v>
      </c>
      <c r="L40" s="46">
        <v>45587</v>
      </c>
      <c r="M40" s="19" t="s">
        <v>31</v>
      </c>
      <c r="N40" s="45" t="s">
        <v>32</v>
      </c>
      <c r="O40" s="19" t="s">
        <v>33</v>
      </c>
      <c r="P40" s="19" t="s">
        <v>171</v>
      </c>
      <c r="Q40" s="51" t="s">
        <v>172</v>
      </c>
      <c r="R40" s="19" t="s">
        <v>173</v>
      </c>
      <c r="S40" s="19" t="s">
        <v>49</v>
      </c>
      <c r="T40" s="59">
        <v>45967</v>
      </c>
      <c r="U40" s="4">
        <v>46028</v>
      </c>
      <c r="V40" s="2">
        <f t="shared" ca="1" si="2"/>
        <v>-57</v>
      </c>
      <c r="W40" s="116" t="str">
        <f t="shared" ca="1" si="3"/>
        <v>Vencido</v>
      </c>
      <c r="X40" s="19" t="s">
        <v>73</v>
      </c>
    </row>
    <row r="41" spans="1:205">
      <c r="A41" s="142" t="s">
        <v>26</v>
      </c>
      <c r="B41" s="19" t="s">
        <v>174</v>
      </c>
      <c r="C41" s="34">
        <v>13327421</v>
      </c>
      <c r="D41" s="34">
        <v>9</v>
      </c>
      <c r="E41" s="34">
        <v>48</v>
      </c>
      <c r="F41" s="34" t="s">
        <v>28</v>
      </c>
      <c r="G41" s="34" t="s">
        <v>68</v>
      </c>
      <c r="H41" s="34">
        <v>2025</v>
      </c>
      <c r="I41" s="50">
        <v>45841</v>
      </c>
      <c r="J41" s="34" t="s">
        <v>105</v>
      </c>
      <c r="K41" s="34" t="s">
        <v>175</v>
      </c>
      <c r="L41" s="50">
        <v>45881</v>
      </c>
      <c r="M41" s="34" t="s">
        <v>44</v>
      </c>
      <c r="N41" s="83" t="s">
        <v>52</v>
      </c>
      <c r="O41" s="19" t="s">
        <v>33</v>
      </c>
      <c r="P41" s="34"/>
      <c r="Q41" s="34" t="s">
        <v>176</v>
      </c>
      <c r="R41" s="34" t="s">
        <v>48</v>
      </c>
      <c r="S41" s="34" t="s">
        <v>49</v>
      </c>
      <c r="T41" s="76">
        <v>45883</v>
      </c>
      <c r="U41" s="50">
        <v>46005</v>
      </c>
      <c r="V41" s="2">
        <f t="shared" ca="1" si="2"/>
        <v>-80</v>
      </c>
      <c r="W41" s="116" t="str">
        <f t="shared" ca="1" si="3"/>
        <v>Vencido</v>
      </c>
      <c r="X41" s="34"/>
    </row>
    <row r="42" spans="1:205">
      <c r="A42" s="142" t="s">
        <v>26</v>
      </c>
      <c r="B42" s="19" t="s">
        <v>177</v>
      </c>
      <c r="C42" s="19">
        <v>15573006</v>
      </c>
      <c r="D42" s="19">
        <v>4</v>
      </c>
      <c r="E42" s="19">
        <v>41</v>
      </c>
      <c r="F42" s="19" t="s">
        <v>28</v>
      </c>
      <c r="G42" s="19" t="s">
        <v>29</v>
      </c>
      <c r="H42" s="19">
        <v>2024</v>
      </c>
      <c r="I42" s="46">
        <v>45356</v>
      </c>
      <c r="J42" s="19" t="s">
        <v>37</v>
      </c>
      <c r="K42" s="19" t="s">
        <v>38</v>
      </c>
      <c r="L42" s="46">
        <v>45454</v>
      </c>
      <c r="M42" s="19" t="s">
        <v>31</v>
      </c>
      <c r="N42" s="45" t="s">
        <v>32</v>
      </c>
      <c r="O42" s="19" t="s">
        <v>33</v>
      </c>
      <c r="P42" s="19" t="s">
        <v>84</v>
      </c>
      <c r="Q42" s="121" t="s">
        <v>125</v>
      </c>
      <c r="R42" s="19" t="s">
        <v>55</v>
      </c>
      <c r="S42" s="19" t="s">
        <v>49</v>
      </c>
      <c r="T42" s="59">
        <v>45953</v>
      </c>
      <c r="U42" s="151">
        <v>46045</v>
      </c>
      <c r="V42" s="116">
        <f t="shared" ca="1" si="2"/>
        <v>-40</v>
      </c>
      <c r="W42" s="116" t="str">
        <f t="shared" ca="1" si="3"/>
        <v>Vencido</v>
      </c>
      <c r="X42" s="19" t="s">
        <v>50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</row>
    <row r="43" spans="1:205">
      <c r="A43" s="142" t="s">
        <v>26</v>
      </c>
      <c r="B43" s="19" t="s">
        <v>178</v>
      </c>
      <c r="C43" s="19">
        <v>11599869</v>
      </c>
      <c r="D43" s="19">
        <v>2</v>
      </c>
      <c r="E43" s="19">
        <v>54</v>
      </c>
      <c r="F43" s="19" t="s">
        <v>28</v>
      </c>
      <c r="G43" s="19" t="s">
        <v>29</v>
      </c>
      <c r="H43" s="19" t="s">
        <v>179</v>
      </c>
      <c r="I43" s="19" t="s">
        <v>97</v>
      </c>
      <c r="J43" s="19" t="s">
        <v>105</v>
      </c>
      <c r="K43" s="19" t="s">
        <v>31</v>
      </c>
      <c r="L43" s="19" t="s">
        <v>96</v>
      </c>
      <c r="M43" s="19" t="s">
        <v>31</v>
      </c>
      <c r="N43" s="45" t="s">
        <v>32</v>
      </c>
      <c r="O43" s="19" t="s">
        <v>33</v>
      </c>
      <c r="P43" s="19" t="s">
        <v>147</v>
      </c>
      <c r="Q43" s="51" t="s">
        <v>162</v>
      </c>
      <c r="R43" s="19" t="s">
        <v>72</v>
      </c>
      <c r="S43" s="2" t="s">
        <v>49</v>
      </c>
      <c r="T43" s="59">
        <v>45897</v>
      </c>
      <c r="U43" s="4">
        <v>45958</v>
      </c>
      <c r="V43" s="2">
        <f t="shared" ca="1" si="2"/>
        <v>-127</v>
      </c>
      <c r="W43" s="116" t="str">
        <f t="shared" ca="1" si="3"/>
        <v>Vencido</v>
      </c>
      <c r="X43" s="19" t="s">
        <v>73</v>
      </c>
    </row>
    <row r="44" spans="1:205">
      <c r="A44" s="142" t="s">
        <v>26</v>
      </c>
      <c r="B44" s="141" t="s">
        <v>180</v>
      </c>
      <c r="C44" s="24">
        <v>7086654</v>
      </c>
      <c r="D44" s="19">
        <v>4</v>
      </c>
      <c r="E44" s="23">
        <v>72</v>
      </c>
      <c r="F44" s="19" t="s">
        <v>28</v>
      </c>
      <c r="G44" s="19" t="s">
        <v>29</v>
      </c>
      <c r="H44" s="19">
        <v>2019</v>
      </c>
      <c r="I44" s="46">
        <v>43689</v>
      </c>
      <c r="J44" s="19" t="s">
        <v>30</v>
      </c>
      <c r="K44" s="19" t="s">
        <v>31</v>
      </c>
      <c r="L44" s="46">
        <v>44334</v>
      </c>
      <c r="M44" s="34" t="s">
        <v>31</v>
      </c>
      <c r="N44" s="45" t="s">
        <v>32</v>
      </c>
      <c r="O44" s="19" t="s">
        <v>33</v>
      </c>
      <c r="P44" s="19"/>
      <c r="Q44" s="51" t="s">
        <v>88</v>
      </c>
      <c r="R44" s="34" t="s">
        <v>60</v>
      </c>
      <c r="S44" s="34" t="s">
        <v>49</v>
      </c>
      <c r="T44" s="59">
        <v>45988</v>
      </c>
      <c r="U44" s="4">
        <v>46169</v>
      </c>
      <c r="V44" s="116">
        <f t="shared" ca="1" si="2"/>
        <v>84</v>
      </c>
      <c r="W44" s="116" t="str">
        <f t="shared" ca="1" si="3"/>
        <v>Vigente</v>
      </c>
      <c r="X44" s="19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</row>
    <row r="45" spans="1:205" s="12" customFormat="1">
      <c r="A45" s="142" t="s">
        <v>26</v>
      </c>
      <c r="B45" s="12" t="s">
        <v>181</v>
      </c>
      <c r="C45" s="34">
        <v>17362941</v>
      </c>
      <c r="D45" s="34">
        <v>9</v>
      </c>
      <c r="E45" s="34">
        <v>34</v>
      </c>
      <c r="F45" s="17" t="s">
        <v>28</v>
      </c>
      <c r="G45" s="34" t="s">
        <v>29</v>
      </c>
      <c r="H45" s="34">
        <v>2024</v>
      </c>
      <c r="I45" s="50">
        <v>45410</v>
      </c>
      <c r="J45" s="34" t="s">
        <v>105</v>
      </c>
      <c r="K45" s="34" t="s">
        <v>31</v>
      </c>
      <c r="L45" s="34"/>
      <c r="M45" s="34" t="s">
        <v>31</v>
      </c>
      <c r="N45" s="45" t="s">
        <v>32</v>
      </c>
      <c r="O45" s="19" t="s">
        <v>33</v>
      </c>
      <c r="P45" s="34"/>
      <c r="Q45" s="88" t="s">
        <v>107</v>
      </c>
      <c r="R45" s="34" t="s">
        <v>55</v>
      </c>
      <c r="S45" s="34" t="s">
        <v>49</v>
      </c>
      <c r="T45" s="76">
        <v>46058</v>
      </c>
      <c r="U45" s="50">
        <v>46147</v>
      </c>
      <c r="V45" s="2">
        <f t="shared" ca="1" si="2"/>
        <v>62</v>
      </c>
      <c r="W45" s="116" t="str">
        <f t="shared" ca="1" si="3"/>
        <v>Vigente</v>
      </c>
      <c r="X45" s="34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</row>
    <row r="46" spans="1:205" ht="37.5">
      <c r="A46" s="142" t="s">
        <v>26</v>
      </c>
      <c r="B46" s="19" t="s">
        <v>182</v>
      </c>
      <c r="C46" s="34">
        <v>12572806</v>
      </c>
      <c r="D46" s="34">
        <v>5</v>
      </c>
      <c r="E46" s="34">
        <v>50</v>
      </c>
      <c r="F46" s="34" t="s">
        <v>28</v>
      </c>
      <c r="G46" s="34" t="s">
        <v>68</v>
      </c>
      <c r="H46" s="34">
        <v>2024</v>
      </c>
      <c r="I46" s="50">
        <v>45617</v>
      </c>
      <c r="J46" s="34" t="s">
        <v>37</v>
      </c>
      <c r="K46" s="34" t="s">
        <v>110</v>
      </c>
      <c r="L46" s="50">
        <v>45790</v>
      </c>
      <c r="M46" s="34" t="s">
        <v>31</v>
      </c>
      <c r="N46" s="45" t="s">
        <v>32</v>
      </c>
      <c r="O46" s="19" t="s">
        <v>33</v>
      </c>
      <c r="P46" s="34"/>
      <c r="Q46" s="88" t="s">
        <v>183</v>
      </c>
      <c r="R46" s="34" t="s">
        <v>48</v>
      </c>
      <c r="S46" s="34" t="s">
        <v>94</v>
      </c>
      <c r="T46" s="76">
        <v>46030</v>
      </c>
      <c r="U46" s="50">
        <v>46061</v>
      </c>
      <c r="V46" s="116">
        <f t="shared" ca="1" si="2"/>
        <v>-24</v>
      </c>
      <c r="W46" s="116" t="str">
        <f t="shared" ca="1" si="3"/>
        <v>Vencido</v>
      </c>
      <c r="X46" s="34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</row>
    <row r="47" spans="1:205" s="14" customFormat="1">
      <c r="A47" s="142" t="s">
        <v>26</v>
      </c>
      <c r="B47" s="19" t="s">
        <v>184</v>
      </c>
      <c r="C47" s="24">
        <v>9792537</v>
      </c>
      <c r="D47" s="19">
        <v>2</v>
      </c>
      <c r="E47" s="23">
        <v>59</v>
      </c>
      <c r="F47" s="19" t="s">
        <v>28</v>
      </c>
      <c r="G47" s="19" t="s">
        <v>29</v>
      </c>
      <c r="H47" s="19">
        <v>2020</v>
      </c>
      <c r="I47" s="46">
        <v>44034</v>
      </c>
      <c r="J47" s="19" t="s">
        <v>30</v>
      </c>
      <c r="K47" s="19" t="s">
        <v>31</v>
      </c>
      <c r="L47" s="46">
        <v>45174</v>
      </c>
      <c r="M47" s="34" t="s">
        <v>31</v>
      </c>
      <c r="N47" s="45" t="s">
        <v>32</v>
      </c>
      <c r="O47" s="19" t="s">
        <v>33</v>
      </c>
      <c r="P47" s="19" t="s">
        <v>84</v>
      </c>
      <c r="Q47" s="51" t="s">
        <v>85</v>
      </c>
      <c r="R47" s="34" t="s">
        <v>86</v>
      </c>
      <c r="S47" s="34" t="s">
        <v>49</v>
      </c>
      <c r="T47" s="59">
        <v>45953</v>
      </c>
      <c r="U47" s="4">
        <v>46135</v>
      </c>
      <c r="V47" s="2">
        <f t="shared" ca="1" si="2"/>
        <v>50</v>
      </c>
      <c r="W47" s="116" t="str">
        <f t="shared" ca="1" si="3"/>
        <v>Vigente</v>
      </c>
      <c r="X47" s="19" t="s">
        <v>73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</row>
    <row r="48" spans="1:205" ht="37.5">
      <c r="A48" s="142" t="s">
        <v>26</v>
      </c>
      <c r="B48" s="19" t="s">
        <v>185</v>
      </c>
      <c r="C48" s="19">
        <v>13535902</v>
      </c>
      <c r="D48" s="19">
        <v>5</v>
      </c>
      <c r="E48" s="19">
        <v>45</v>
      </c>
      <c r="F48" s="19" t="s">
        <v>117</v>
      </c>
      <c r="G48" s="19" t="s">
        <v>29</v>
      </c>
      <c r="H48" s="19">
        <v>2024</v>
      </c>
      <c r="I48" s="46">
        <v>45383</v>
      </c>
      <c r="J48" s="19" t="s">
        <v>37</v>
      </c>
      <c r="K48" s="19" t="s">
        <v>38</v>
      </c>
      <c r="L48" s="46">
        <v>45412</v>
      </c>
      <c r="M48" s="19" t="s">
        <v>31</v>
      </c>
      <c r="N48" s="45" t="s">
        <v>32</v>
      </c>
      <c r="O48" s="19" t="s">
        <v>33</v>
      </c>
      <c r="P48" s="19"/>
      <c r="Q48" s="121" t="s">
        <v>186</v>
      </c>
      <c r="R48" s="19" t="s">
        <v>60</v>
      </c>
      <c r="S48" s="19" t="s">
        <v>49</v>
      </c>
      <c r="T48" s="59">
        <v>46066</v>
      </c>
      <c r="U48" s="4">
        <v>46247</v>
      </c>
      <c r="V48" s="2">
        <f t="shared" ca="1" si="2"/>
        <v>162</v>
      </c>
      <c r="W48" s="116" t="str">
        <f t="shared" ca="1" si="3"/>
        <v>Vigente</v>
      </c>
      <c r="X48" s="19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</row>
    <row r="49" spans="1:205" s="13" customFormat="1" ht="36.6" customHeight="1">
      <c r="A49" s="142" t="s">
        <v>26</v>
      </c>
      <c r="B49" s="19" t="s">
        <v>187</v>
      </c>
      <c r="C49" s="24">
        <v>12288188</v>
      </c>
      <c r="D49" s="19">
        <v>1</v>
      </c>
      <c r="E49" s="23">
        <v>51</v>
      </c>
      <c r="F49" s="19" t="s">
        <v>28</v>
      </c>
      <c r="G49" s="19" t="s">
        <v>29</v>
      </c>
      <c r="H49" s="19" t="s">
        <v>96</v>
      </c>
      <c r="I49" s="19" t="s">
        <v>97</v>
      </c>
      <c r="J49" s="19" t="s">
        <v>30</v>
      </c>
      <c r="K49" s="19" t="s">
        <v>31</v>
      </c>
      <c r="L49" s="19" t="s">
        <v>96</v>
      </c>
      <c r="M49" s="19" t="s">
        <v>31</v>
      </c>
      <c r="N49" s="45" t="s">
        <v>32</v>
      </c>
      <c r="O49" s="19" t="s">
        <v>33</v>
      </c>
      <c r="P49" s="19"/>
      <c r="Q49" s="51" t="s">
        <v>88</v>
      </c>
      <c r="R49" s="2" t="s">
        <v>60</v>
      </c>
      <c r="S49" s="2" t="s">
        <v>49</v>
      </c>
      <c r="T49" s="59">
        <v>46058</v>
      </c>
      <c r="U49" s="4">
        <v>46239</v>
      </c>
      <c r="V49" s="2">
        <f t="shared" ca="1" si="2"/>
        <v>154</v>
      </c>
      <c r="W49" s="116" t="str">
        <f t="shared" ca="1" si="3"/>
        <v>Vigente</v>
      </c>
      <c r="X49" s="19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</row>
    <row r="50" spans="1:205" s="12" customFormat="1">
      <c r="A50" s="142" t="s">
        <v>26</v>
      </c>
      <c r="B50" s="19" t="s">
        <v>188</v>
      </c>
      <c r="C50" s="34">
        <v>10955748</v>
      </c>
      <c r="D50" s="41" t="s">
        <v>67</v>
      </c>
      <c r="E50" s="34">
        <v>47</v>
      </c>
      <c r="F50" s="34" t="s">
        <v>28</v>
      </c>
      <c r="G50" s="34" t="s">
        <v>29</v>
      </c>
      <c r="H50" s="34" t="s">
        <v>96</v>
      </c>
      <c r="I50" s="34" t="s">
        <v>97</v>
      </c>
      <c r="J50" s="34" t="s">
        <v>105</v>
      </c>
      <c r="K50" s="34" t="s">
        <v>31</v>
      </c>
      <c r="L50" s="34" t="s">
        <v>141</v>
      </c>
      <c r="M50" s="34" t="s">
        <v>31</v>
      </c>
      <c r="N50" s="45" t="s">
        <v>32</v>
      </c>
      <c r="O50" s="19" t="s">
        <v>45</v>
      </c>
      <c r="P50" s="19" t="s">
        <v>189</v>
      </c>
      <c r="Q50" s="88" t="s">
        <v>107</v>
      </c>
      <c r="R50" s="34" t="s">
        <v>55</v>
      </c>
      <c r="S50" s="34" t="s">
        <v>49</v>
      </c>
      <c r="T50" s="76">
        <v>45799</v>
      </c>
      <c r="U50" s="50">
        <v>45891</v>
      </c>
      <c r="V50" s="116">
        <f t="shared" ca="1" si="2"/>
        <v>-194</v>
      </c>
      <c r="W50" s="116" t="str">
        <f t="shared" ca="1" si="3"/>
        <v>Vencido</v>
      </c>
      <c r="X50" s="34" t="s">
        <v>73</v>
      </c>
    </row>
    <row r="51" spans="1:205">
      <c r="A51" s="142" t="s">
        <v>26</v>
      </c>
      <c r="B51" s="19" t="s">
        <v>190</v>
      </c>
      <c r="C51" s="24">
        <v>20092007</v>
      </c>
      <c r="D51" s="19">
        <v>4</v>
      </c>
      <c r="E51" s="23">
        <v>26</v>
      </c>
      <c r="F51" s="19" t="s">
        <v>28</v>
      </c>
      <c r="G51" s="19" t="s">
        <v>29</v>
      </c>
      <c r="H51" s="19" t="s">
        <v>96</v>
      </c>
      <c r="I51" s="19" t="s">
        <v>97</v>
      </c>
      <c r="J51" s="19" t="s">
        <v>83</v>
      </c>
      <c r="K51" s="19" t="s">
        <v>31</v>
      </c>
      <c r="L51" s="19" t="s">
        <v>96</v>
      </c>
      <c r="M51" s="19" t="s">
        <v>31</v>
      </c>
      <c r="N51" s="45" t="s">
        <v>32</v>
      </c>
      <c r="O51" s="19" t="s">
        <v>33</v>
      </c>
      <c r="P51" s="19"/>
      <c r="Q51" s="51" t="s">
        <v>191</v>
      </c>
      <c r="R51" s="19" t="s">
        <v>60</v>
      </c>
      <c r="S51" s="19" t="s">
        <v>49</v>
      </c>
      <c r="T51" s="59">
        <v>45981</v>
      </c>
      <c r="U51" s="4">
        <v>46162</v>
      </c>
      <c r="V51" s="2">
        <f t="shared" ca="1" si="2"/>
        <v>77</v>
      </c>
      <c r="W51" s="116" t="str">
        <f t="shared" ca="1" si="3"/>
        <v>Vigente</v>
      </c>
      <c r="X51" s="19"/>
    </row>
    <row r="52" spans="1:205" s="12" customFormat="1">
      <c r="A52" s="19" t="s">
        <v>26</v>
      </c>
      <c r="B52" s="19" t="s">
        <v>192</v>
      </c>
      <c r="C52" s="19">
        <v>13178560</v>
      </c>
      <c r="D52" s="19">
        <v>7</v>
      </c>
      <c r="E52" s="19">
        <v>47</v>
      </c>
      <c r="F52" s="19" t="s">
        <v>28</v>
      </c>
      <c r="G52" s="19" t="s">
        <v>29</v>
      </c>
      <c r="H52" s="19" t="s">
        <v>96</v>
      </c>
      <c r="I52" s="19" t="s">
        <v>97</v>
      </c>
      <c r="J52" s="19" t="s">
        <v>83</v>
      </c>
      <c r="K52" s="19" t="s">
        <v>31</v>
      </c>
      <c r="L52" s="19" t="s">
        <v>141</v>
      </c>
      <c r="M52" s="19" t="s">
        <v>31</v>
      </c>
      <c r="N52" s="147" t="s">
        <v>32</v>
      </c>
      <c r="O52" s="19" t="s">
        <v>45</v>
      </c>
      <c r="P52" s="19" t="s">
        <v>147</v>
      </c>
      <c r="Q52" s="51" t="s">
        <v>88</v>
      </c>
      <c r="R52" s="19" t="s">
        <v>60</v>
      </c>
      <c r="S52" s="19" t="s">
        <v>49</v>
      </c>
      <c r="T52" s="75">
        <v>45951</v>
      </c>
      <c r="U52" s="46">
        <v>46133</v>
      </c>
      <c r="V52" s="19">
        <f t="shared" ca="1" si="2"/>
        <v>48</v>
      </c>
      <c r="W52" s="145" t="str">
        <f t="shared" ca="1" si="3"/>
        <v>Vigente</v>
      </c>
      <c r="X52" s="19" t="s">
        <v>73</v>
      </c>
    </row>
    <row r="53" spans="1:205" customFormat="1" ht="40.9" customHeight="1">
      <c r="A53" s="142" t="s">
        <v>26</v>
      </c>
      <c r="B53" s="19" t="s">
        <v>193</v>
      </c>
      <c r="C53" s="34">
        <v>10692392</v>
      </c>
      <c r="D53" s="34">
        <v>2</v>
      </c>
      <c r="E53" s="34">
        <v>56</v>
      </c>
      <c r="F53" s="34" t="s">
        <v>109</v>
      </c>
      <c r="G53" s="34" t="s">
        <v>29</v>
      </c>
      <c r="H53" s="34">
        <v>2024</v>
      </c>
      <c r="I53" s="50">
        <v>45474</v>
      </c>
      <c r="J53" s="34" t="s">
        <v>37</v>
      </c>
      <c r="K53" s="34" t="s">
        <v>31</v>
      </c>
      <c r="L53" s="50">
        <v>45573</v>
      </c>
      <c r="M53" s="34" t="s">
        <v>31</v>
      </c>
      <c r="N53" s="45" t="s">
        <v>32</v>
      </c>
      <c r="O53" s="19" t="s">
        <v>45</v>
      </c>
      <c r="P53" s="34" t="s">
        <v>84</v>
      </c>
      <c r="Q53" s="88" t="s">
        <v>125</v>
      </c>
      <c r="R53" s="34" t="s">
        <v>112</v>
      </c>
      <c r="S53" s="34" t="s">
        <v>49</v>
      </c>
      <c r="T53" s="76">
        <v>45967</v>
      </c>
      <c r="U53" s="50">
        <v>46059</v>
      </c>
      <c r="V53" s="2">
        <f t="shared" ca="1" si="2"/>
        <v>-26</v>
      </c>
      <c r="W53" s="116" t="str">
        <f t="shared" ca="1" si="3"/>
        <v>Vencido</v>
      </c>
      <c r="X53" s="34" t="s">
        <v>73</v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</row>
    <row r="54" spans="1:205">
      <c r="A54" s="142" t="s">
        <v>26</v>
      </c>
      <c r="B54" s="19" t="s">
        <v>194</v>
      </c>
      <c r="C54" s="24">
        <v>13208946</v>
      </c>
      <c r="D54" s="19">
        <v>9</v>
      </c>
      <c r="E54" s="23">
        <v>46</v>
      </c>
      <c r="F54" s="19" t="s">
        <v>58</v>
      </c>
      <c r="G54" s="19" t="s">
        <v>29</v>
      </c>
      <c r="H54" s="19" t="s">
        <v>96</v>
      </c>
      <c r="I54" s="46" t="s">
        <v>97</v>
      </c>
      <c r="J54" s="19" t="s">
        <v>83</v>
      </c>
      <c r="K54" s="19" t="s">
        <v>31</v>
      </c>
      <c r="L54" s="46" t="s">
        <v>96</v>
      </c>
      <c r="M54" s="19" t="s">
        <v>31</v>
      </c>
      <c r="N54" s="45" t="s">
        <v>32</v>
      </c>
      <c r="O54" s="19" t="s">
        <v>45</v>
      </c>
      <c r="P54" s="19" t="s">
        <v>84</v>
      </c>
      <c r="Q54" s="51" t="s">
        <v>88</v>
      </c>
      <c r="R54" s="19" t="s">
        <v>60</v>
      </c>
      <c r="S54" s="19" t="s">
        <v>49</v>
      </c>
      <c r="T54" s="59">
        <v>45960</v>
      </c>
      <c r="U54" s="4">
        <v>46142</v>
      </c>
      <c r="V54" s="2">
        <f t="shared" ca="1" si="2"/>
        <v>57</v>
      </c>
      <c r="W54" s="116" t="str">
        <f t="shared" ca="1" si="3"/>
        <v>Vigente</v>
      </c>
      <c r="X54" s="19" t="s">
        <v>73</v>
      </c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</row>
    <row r="55" spans="1:205" s="13" customFormat="1">
      <c r="A55" s="142" t="s">
        <v>26</v>
      </c>
      <c r="B55" s="19" t="s">
        <v>195</v>
      </c>
      <c r="C55" s="34">
        <v>8879412</v>
      </c>
      <c r="D55" s="34">
        <v>5</v>
      </c>
      <c r="E55" s="34">
        <v>65</v>
      </c>
      <c r="F55" s="34" t="s">
        <v>28</v>
      </c>
      <c r="G55" s="34" t="s">
        <v>68</v>
      </c>
      <c r="H55" s="34" t="s">
        <v>96</v>
      </c>
      <c r="I55" s="34" t="s">
        <v>97</v>
      </c>
      <c r="J55" s="34" t="s">
        <v>105</v>
      </c>
      <c r="K55" s="34" t="s">
        <v>31</v>
      </c>
      <c r="L55" s="34" t="s">
        <v>141</v>
      </c>
      <c r="M55" s="34" t="s">
        <v>31</v>
      </c>
      <c r="N55" s="45" t="s">
        <v>32</v>
      </c>
      <c r="O55" s="19" t="s">
        <v>33</v>
      </c>
      <c r="P55" s="34" t="s">
        <v>147</v>
      </c>
      <c r="Q55" s="88" t="s">
        <v>85</v>
      </c>
      <c r="R55" s="34" t="s">
        <v>60</v>
      </c>
      <c r="S55" s="34" t="s">
        <v>49</v>
      </c>
      <c r="T55" s="76">
        <v>45833</v>
      </c>
      <c r="U55" s="50">
        <v>46016</v>
      </c>
      <c r="V55" s="2">
        <f t="shared" ca="1" si="2"/>
        <v>-69</v>
      </c>
      <c r="W55" s="116" t="str">
        <f t="shared" ca="1" si="3"/>
        <v>Vencido</v>
      </c>
      <c r="X55" s="34" t="s">
        <v>73</v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</row>
    <row r="56" spans="1:205" s="12" customFormat="1">
      <c r="A56" s="142" t="s">
        <v>26</v>
      </c>
      <c r="B56" s="19" t="s">
        <v>196</v>
      </c>
      <c r="C56" s="39">
        <v>15573245</v>
      </c>
      <c r="D56" s="38">
        <v>8</v>
      </c>
      <c r="E56" s="23">
        <v>40</v>
      </c>
      <c r="F56" s="38" t="s">
        <v>28</v>
      </c>
      <c r="G56" s="19" t="s">
        <v>29</v>
      </c>
      <c r="H56" s="19">
        <v>2022</v>
      </c>
      <c r="I56" s="75">
        <v>44723</v>
      </c>
      <c r="J56" s="38" t="s">
        <v>30</v>
      </c>
      <c r="K56" s="38" t="s">
        <v>31</v>
      </c>
      <c r="L56" s="46">
        <v>45237</v>
      </c>
      <c r="M56" s="19" t="s">
        <v>31</v>
      </c>
      <c r="N56" s="45" t="s">
        <v>32</v>
      </c>
      <c r="O56" s="19" t="s">
        <v>33</v>
      </c>
      <c r="P56" s="19" t="s">
        <v>84</v>
      </c>
      <c r="Q56" s="51" t="s">
        <v>88</v>
      </c>
      <c r="R56" s="149" t="s">
        <v>86</v>
      </c>
      <c r="S56" s="2" t="s">
        <v>49</v>
      </c>
      <c r="T56" s="59">
        <v>45925</v>
      </c>
      <c r="U56" s="4">
        <v>46106</v>
      </c>
      <c r="V56" s="2">
        <f t="shared" ca="1" si="2"/>
        <v>21</v>
      </c>
      <c r="W56" s="116" t="str">
        <f t="shared" ca="1" si="3"/>
        <v>Vigente</v>
      </c>
      <c r="X56" s="19" t="s">
        <v>50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</row>
    <row r="57" spans="1:205" s="11" customFormat="1" ht="40.5" customHeight="1">
      <c r="A57" s="142" t="s">
        <v>26</v>
      </c>
      <c r="B57" s="20" t="s">
        <v>197</v>
      </c>
      <c r="C57" s="126">
        <v>7285913</v>
      </c>
      <c r="D57" s="19">
        <v>8</v>
      </c>
      <c r="E57" s="23">
        <v>69</v>
      </c>
      <c r="F57" s="19" t="s">
        <v>28</v>
      </c>
      <c r="G57" s="19" t="s">
        <v>29</v>
      </c>
      <c r="H57" s="19" t="s">
        <v>96</v>
      </c>
      <c r="I57" s="46" t="s">
        <v>97</v>
      </c>
      <c r="J57" s="19" t="s">
        <v>83</v>
      </c>
      <c r="K57" s="19" t="s">
        <v>31</v>
      </c>
      <c r="L57" s="46" t="s">
        <v>96</v>
      </c>
      <c r="M57" s="19" t="s">
        <v>31</v>
      </c>
      <c r="N57" s="45" t="s">
        <v>32</v>
      </c>
      <c r="O57" s="19" t="s">
        <v>33</v>
      </c>
      <c r="P57" s="19" t="s">
        <v>84</v>
      </c>
      <c r="Q57" s="51" t="s">
        <v>88</v>
      </c>
      <c r="R57" s="19" t="s">
        <v>60</v>
      </c>
      <c r="S57" s="19" t="s">
        <v>49</v>
      </c>
      <c r="T57" s="59">
        <v>45904</v>
      </c>
      <c r="U57" s="4">
        <v>46085</v>
      </c>
      <c r="V57" s="2">
        <f t="shared" ca="1" si="2"/>
        <v>0</v>
      </c>
      <c r="W57" s="116" t="str">
        <f t="shared" ca="1" si="3"/>
        <v>Vencido</v>
      </c>
      <c r="X57" s="19" t="s">
        <v>73</v>
      </c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</row>
    <row r="58" spans="1:205" s="12" customFormat="1" ht="37.5">
      <c r="A58" s="142" t="s">
        <v>26</v>
      </c>
      <c r="B58" s="19" t="s">
        <v>198</v>
      </c>
      <c r="C58" s="39">
        <v>8087675</v>
      </c>
      <c r="D58" s="19">
        <v>0</v>
      </c>
      <c r="E58" s="23">
        <v>68</v>
      </c>
      <c r="F58" s="19" t="s">
        <v>132</v>
      </c>
      <c r="G58" s="19" t="s">
        <v>29</v>
      </c>
      <c r="H58" s="19" t="s">
        <v>96</v>
      </c>
      <c r="I58" s="46" t="s">
        <v>97</v>
      </c>
      <c r="J58" s="19" t="s">
        <v>83</v>
      </c>
      <c r="K58" s="19" t="s">
        <v>31</v>
      </c>
      <c r="L58" s="46" t="s">
        <v>96</v>
      </c>
      <c r="M58" s="34" t="s">
        <v>31</v>
      </c>
      <c r="N58" s="45" t="s">
        <v>32</v>
      </c>
      <c r="O58" s="19" t="s">
        <v>33</v>
      </c>
      <c r="P58" s="19"/>
      <c r="Q58" s="51" t="s">
        <v>123</v>
      </c>
      <c r="R58" s="34" t="s">
        <v>60</v>
      </c>
      <c r="S58" s="34" t="s">
        <v>49</v>
      </c>
      <c r="T58" s="59">
        <v>46063</v>
      </c>
      <c r="U58" s="4">
        <v>46244</v>
      </c>
      <c r="V58" s="116">
        <f ca="1">U58-TODAY()</f>
        <v>159</v>
      </c>
      <c r="W58" s="116" t="str">
        <f ca="1">IF(V58&gt;=20,"Vigente",IF(AND(V58&gt;=1,V58&lt;=20),"Por Vencer","Vencido"))</f>
        <v>Vigente</v>
      </c>
      <c r="X58" s="19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</row>
    <row r="59" spans="1:205" s="12" customFormat="1" ht="37.5">
      <c r="A59" s="142" t="s">
        <v>26</v>
      </c>
      <c r="B59" s="19" t="s">
        <v>199</v>
      </c>
      <c r="C59" s="40">
        <v>6996462</v>
      </c>
      <c r="D59" s="34">
        <v>1</v>
      </c>
      <c r="E59" s="36">
        <v>66</v>
      </c>
      <c r="F59" s="34" t="s">
        <v>28</v>
      </c>
      <c r="G59" s="34" t="s">
        <v>29</v>
      </c>
      <c r="H59" s="34" t="s">
        <v>96</v>
      </c>
      <c r="I59" s="34" t="s">
        <v>97</v>
      </c>
      <c r="J59" s="34" t="s">
        <v>83</v>
      </c>
      <c r="K59" s="34" t="s">
        <v>31</v>
      </c>
      <c r="L59" s="34" t="s">
        <v>96</v>
      </c>
      <c r="M59" s="34" t="s">
        <v>31</v>
      </c>
      <c r="N59" s="45" t="s">
        <v>32</v>
      </c>
      <c r="O59" s="19" t="s">
        <v>33</v>
      </c>
      <c r="P59" s="34"/>
      <c r="Q59" s="51" t="s">
        <v>200</v>
      </c>
      <c r="R59" s="34" t="s">
        <v>55</v>
      </c>
      <c r="S59" s="8" t="s">
        <v>49</v>
      </c>
      <c r="T59" s="59">
        <v>46064</v>
      </c>
      <c r="U59" s="4">
        <v>46153</v>
      </c>
      <c r="V59" s="2">
        <f t="shared" ca="1" si="2"/>
        <v>68</v>
      </c>
      <c r="W59" s="116" t="str">
        <f t="shared" ca="1" si="3"/>
        <v>Vigente</v>
      </c>
      <c r="X59" s="19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</row>
    <row r="60" spans="1:205" s="11" customFormat="1" ht="17.25" customHeight="1">
      <c r="A60" s="142" t="s">
        <v>26</v>
      </c>
      <c r="B60" s="19" t="s">
        <v>201</v>
      </c>
      <c r="C60" s="39">
        <v>11613763</v>
      </c>
      <c r="D60" s="19">
        <v>1</v>
      </c>
      <c r="E60" s="23">
        <v>55</v>
      </c>
      <c r="F60" s="19" t="s">
        <v>28</v>
      </c>
      <c r="G60" s="19" t="s">
        <v>29</v>
      </c>
      <c r="H60" s="19" t="s">
        <v>96</v>
      </c>
      <c r="I60" s="19" t="s">
        <v>97</v>
      </c>
      <c r="J60" s="19" t="s">
        <v>83</v>
      </c>
      <c r="K60" s="19" t="s">
        <v>31</v>
      </c>
      <c r="L60" s="19" t="s">
        <v>96</v>
      </c>
      <c r="M60" s="34" t="s">
        <v>31</v>
      </c>
      <c r="N60" s="45" t="s">
        <v>32</v>
      </c>
      <c r="O60" s="19" t="s">
        <v>45</v>
      </c>
      <c r="P60" s="19" t="s">
        <v>50</v>
      </c>
      <c r="Q60" s="51" t="s">
        <v>88</v>
      </c>
      <c r="R60" s="34" t="s">
        <v>86</v>
      </c>
      <c r="S60" s="34" t="s">
        <v>49</v>
      </c>
      <c r="T60" s="59">
        <v>45911</v>
      </c>
      <c r="U60" s="4">
        <v>46092</v>
      </c>
      <c r="V60" s="2">
        <f t="shared" ca="1" si="2"/>
        <v>7</v>
      </c>
      <c r="W60" s="116" t="str">
        <f t="shared" ca="1" si="3"/>
        <v>Por Vencer</v>
      </c>
      <c r="X60" s="19" t="s">
        <v>73</v>
      </c>
    </row>
    <row r="61" spans="1:205" s="11" customFormat="1" ht="39.75" customHeight="1">
      <c r="A61" s="142" t="s">
        <v>26</v>
      </c>
      <c r="B61" s="19" t="s">
        <v>202</v>
      </c>
      <c r="C61" s="63">
        <v>7056366</v>
      </c>
      <c r="D61" s="34">
        <v>5</v>
      </c>
      <c r="E61" s="34">
        <v>72</v>
      </c>
      <c r="F61" s="34" t="s">
        <v>28</v>
      </c>
      <c r="G61" s="34" t="s">
        <v>29</v>
      </c>
      <c r="H61" s="34">
        <v>2024</v>
      </c>
      <c r="I61" s="50">
        <v>45525</v>
      </c>
      <c r="J61" s="34" t="s">
        <v>37</v>
      </c>
      <c r="K61" s="34" t="s">
        <v>38</v>
      </c>
      <c r="L61" s="50">
        <v>45818</v>
      </c>
      <c r="M61" s="34" t="s">
        <v>31</v>
      </c>
      <c r="N61" s="45" t="s">
        <v>32</v>
      </c>
      <c r="O61" s="19" t="s">
        <v>203</v>
      </c>
      <c r="P61" s="34"/>
      <c r="Q61" s="88" t="s">
        <v>204</v>
      </c>
      <c r="R61" s="34" t="s">
        <v>48</v>
      </c>
      <c r="S61" s="34" t="s">
        <v>94</v>
      </c>
      <c r="T61" s="76">
        <v>46055</v>
      </c>
      <c r="U61" s="50">
        <v>46083</v>
      </c>
      <c r="V61" s="116">
        <f t="shared" ca="1" si="2"/>
        <v>-2</v>
      </c>
      <c r="W61" s="116" t="str">
        <f t="shared" ca="1" si="3"/>
        <v>Vencido</v>
      </c>
      <c r="X61" s="34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</row>
    <row r="62" spans="1:205" s="12" customFormat="1" ht="45" customHeight="1">
      <c r="A62" s="142" t="s">
        <v>26</v>
      </c>
      <c r="B62" s="19" t="s">
        <v>205</v>
      </c>
      <c r="C62" s="63">
        <v>11312711</v>
      </c>
      <c r="D62" s="34">
        <v>2</v>
      </c>
      <c r="E62" s="34">
        <v>56</v>
      </c>
      <c r="F62" s="34" t="s">
        <v>28</v>
      </c>
      <c r="G62" s="34" t="s">
        <v>68</v>
      </c>
      <c r="H62" s="34" t="s">
        <v>96</v>
      </c>
      <c r="I62" s="46" t="s">
        <v>97</v>
      </c>
      <c r="J62" s="34" t="s">
        <v>30</v>
      </c>
      <c r="K62" s="34" t="s">
        <v>38</v>
      </c>
      <c r="L62" s="50">
        <v>45881</v>
      </c>
      <c r="M62" s="34" t="s">
        <v>90</v>
      </c>
      <c r="N62" s="45" t="s">
        <v>32</v>
      </c>
      <c r="O62" s="19" t="s">
        <v>33</v>
      </c>
      <c r="P62" s="34"/>
      <c r="Q62" s="34" t="s">
        <v>206</v>
      </c>
      <c r="R62" s="34" t="s">
        <v>55</v>
      </c>
      <c r="S62" s="34" t="s">
        <v>49</v>
      </c>
      <c r="T62" s="76">
        <v>46055</v>
      </c>
      <c r="U62" s="50">
        <v>46144</v>
      </c>
      <c r="V62" s="2">
        <f t="shared" ca="1" si="2"/>
        <v>59</v>
      </c>
      <c r="W62" s="116" t="str">
        <f t="shared" ca="1" si="3"/>
        <v>Vigente</v>
      </c>
      <c r="X62" s="34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</row>
    <row r="63" spans="1:205" s="12" customFormat="1" ht="45" customHeight="1">
      <c r="A63" s="142" t="s">
        <v>158</v>
      </c>
      <c r="B63" s="19" t="s">
        <v>207</v>
      </c>
      <c r="C63" s="63">
        <v>18010500</v>
      </c>
      <c r="D63" s="34" t="s">
        <v>67</v>
      </c>
      <c r="E63" s="34">
        <v>33</v>
      </c>
      <c r="F63" s="34" t="s">
        <v>28</v>
      </c>
      <c r="G63" s="34" t="s">
        <v>208</v>
      </c>
      <c r="H63" s="34"/>
      <c r="I63" s="34"/>
      <c r="J63" s="34"/>
      <c r="K63" s="34" t="s">
        <v>110</v>
      </c>
      <c r="L63" s="50"/>
      <c r="M63" s="34" t="s">
        <v>31</v>
      </c>
      <c r="N63" s="45" t="s">
        <v>32</v>
      </c>
      <c r="O63" s="19" t="s">
        <v>33</v>
      </c>
      <c r="P63" s="34" t="s">
        <v>84</v>
      </c>
      <c r="Q63" s="88" t="s">
        <v>209</v>
      </c>
      <c r="R63" s="34" t="s">
        <v>86</v>
      </c>
      <c r="S63" s="34" t="s">
        <v>94</v>
      </c>
      <c r="T63" s="59">
        <v>45953</v>
      </c>
      <c r="U63" s="4">
        <v>46135</v>
      </c>
      <c r="V63" s="2">
        <f t="shared" ca="1" si="2"/>
        <v>50</v>
      </c>
      <c r="W63" s="116" t="str">
        <f t="shared" ca="1" si="3"/>
        <v>Vigente</v>
      </c>
      <c r="X63" s="19" t="s">
        <v>73</v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</row>
    <row r="64" spans="1:205" s="11" customFormat="1" ht="18.75" customHeight="1">
      <c r="A64" s="142" t="s">
        <v>26</v>
      </c>
      <c r="B64" s="19" t="s">
        <v>210</v>
      </c>
      <c r="C64" s="39">
        <v>15041181</v>
      </c>
      <c r="D64" s="33">
        <v>5</v>
      </c>
      <c r="E64" s="23">
        <v>43</v>
      </c>
      <c r="F64" s="19" t="s">
        <v>28</v>
      </c>
      <c r="G64" s="19" t="s">
        <v>29</v>
      </c>
      <c r="H64" s="19">
        <v>2025</v>
      </c>
      <c r="I64" s="46" t="s">
        <v>97</v>
      </c>
      <c r="J64" s="19" t="s">
        <v>83</v>
      </c>
      <c r="K64" s="19" t="s">
        <v>31</v>
      </c>
      <c r="L64" s="46" t="s">
        <v>96</v>
      </c>
      <c r="M64" s="19" t="s">
        <v>31</v>
      </c>
      <c r="N64" s="45" t="s">
        <v>32</v>
      </c>
      <c r="O64" s="19" t="s">
        <v>45</v>
      </c>
      <c r="P64" s="19" t="s">
        <v>211</v>
      </c>
      <c r="Q64" s="51" t="s">
        <v>176</v>
      </c>
      <c r="R64" s="19" t="s">
        <v>48</v>
      </c>
      <c r="S64" s="19" t="s">
        <v>94</v>
      </c>
      <c r="T64" s="59">
        <v>45925</v>
      </c>
      <c r="U64" s="4">
        <v>45955</v>
      </c>
      <c r="V64" s="2">
        <f t="shared" ca="1" si="2"/>
        <v>-130</v>
      </c>
      <c r="W64" s="116" t="str">
        <f t="shared" ca="1" si="3"/>
        <v>Vencido</v>
      </c>
      <c r="X64" s="19" t="s">
        <v>73</v>
      </c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</row>
    <row r="65" spans="1:205">
      <c r="A65" s="142" t="s">
        <v>26</v>
      </c>
      <c r="B65" s="19" t="s">
        <v>212</v>
      </c>
      <c r="C65" s="24">
        <v>13748837</v>
      </c>
      <c r="D65" s="33" t="s">
        <v>67</v>
      </c>
      <c r="E65" s="23">
        <v>44</v>
      </c>
      <c r="F65" s="19" t="s">
        <v>58</v>
      </c>
      <c r="G65" s="19" t="s">
        <v>29</v>
      </c>
      <c r="H65" s="19">
        <v>2020</v>
      </c>
      <c r="I65" s="46">
        <v>44108</v>
      </c>
      <c r="J65" s="19" t="s">
        <v>83</v>
      </c>
      <c r="K65" s="19" t="s">
        <v>31</v>
      </c>
      <c r="L65" s="19" t="s">
        <v>96</v>
      </c>
      <c r="M65" s="34" t="s">
        <v>31</v>
      </c>
      <c r="N65" s="45" t="s">
        <v>32</v>
      </c>
      <c r="O65" s="19" t="s">
        <v>33</v>
      </c>
      <c r="P65" s="19"/>
      <c r="Q65" s="51" t="s">
        <v>88</v>
      </c>
      <c r="R65" s="34" t="s">
        <v>60</v>
      </c>
      <c r="S65" s="34" t="s">
        <v>49</v>
      </c>
      <c r="T65" s="59">
        <v>46064</v>
      </c>
      <c r="U65" s="4">
        <v>46245</v>
      </c>
      <c r="V65" s="2">
        <f t="shared" ca="1" si="2"/>
        <v>160</v>
      </c>
      <c r="W65" s="116" t="str">
        <f t="shared" ca="1" si="3"/>
        <v>Vigente</v>
      </c>
      <c r="X65" s="19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</row>
    <row r="66" spans="1:205" s="12" customFormat="1">
      <c r="A66" s="142" t="s">
        <v>26</v>
      </c>
      <c r="B66" s="19" t="s">
        <v>213</v>
      </c>
      <c r="C66" s="130">
        <v>10029369</v>
      </c>
      <c r="D66" s="19">
        <v>2</v>
      </c>
      <c r="E66" s="23">
        <v>48</v>
      </c>
      <c r="F66" s="19" t="s">
        <v>28</v>
      </c>
      <c r="G66" s="19" t="s">
        <v>29</v>
      </c>
      <c r="H66" s="19">
        <v>2022</v>
      </c>
      <c r="I66" s="46">
        <v>44904</v>
      </c>
      <c r="J66" s="19" t="s">
        <v>30</v>
      </c>
      <c r="K66" s="19" t="s">
        <v>31</v>
      </c>
      <c r="L66" s="46">
        <v>45195</v>
      </c>
      <c r="M66" s="19" t="s">
        <v>31</v>
      </c>
      <c r="N66" s="45" t="s">
        <v>32</v>
      </c>
      <c r="O66" s="19" t="s">
        <v>33</v>
      </c>
      <c r="P66" s="19"/>
      <c r="Q66" s="51" t="s">
        <v>214</v>
      </c>
      <c r="R66" s="19" t="s">
        <v>86</v>
      </c>
      <c r="S66" s="19" t="s">
        <v>94</v>
      </c>
      <c r="T66" s="59">
        <v>46064</v>
      </c>
      <c r="U66" s="4">
        <v>46245</v>
      </c>
      <c r="V66" s="116">
        <f t="shared" ca="1" si="2"/>
        <v>160</v>
      </c>
      <c r="W66" s="116" t="str">
        <f t="shared" ca="1" si="3"/>
        <v>Vigente</v>
      </c>
      <c r="X66" s="19"/>
    </row>
    <row r="67" spans="1:205" s="11" customFormat="1" ht="38.25" customHeight="1">
      <c r="A67" s="142" t="s">
        <v>26</v>
      </c>
      <c r="B67" s="19" t="s">
        <v>215</v>
      </c>
      <c r="C67" s="40">
        <v>17363323</v>
      </c>
      <c r="D67" s="34">
        <v>8</v>
      </c>
      <c r="E67" s="36">
        <v>34</v>
      </c>
      <c r="F67" s="34" t="s">
        <v>28</v>
      </c>
      <c r="G67" s="34" t="s">
        <v>29</v>
      </c>
      <c r="H67" s="34" t="s">
        <v>96</v>
      </c>
      <c r="I67" s="34" t="s">
        <v>97</v>
      </c>
      <c r="J67" s="34" t="s">
        <v>83</v>
      </c>
      <c r="K67" s="34" t="s">
        <v>31</v>
      </c>
      <c r="L67" s="34" t="s">
        <v>96</v>
      </c>
      <c r="M67" s="34" t="s">
        <v>31</v>
      </c>
      <c r="N67" s="45" t="s">
        <v>32</v>
      </c>
      <c r="O67" s="19" t="s">
        <v>33</v>
      </c>
      <c r="P67" s="34"/>
      <c r="Q67" s="51" t="s">
        <v>88</v>
      </c>
      <c r="R67" s="34" t="s">
        <v>60</v>
      </c>
      <c r="S67" s="34" t="s">
        <v>49</v>
      </c>
      <c r="T67" s="59">
        <v>46065</v>
      </c>
      <c r="U67" s="4">
        <v>46246</v>
      </c>
      <c r="V67" s="2">
        <f t="shared" ca="1" si="2"/>
        <v>161</v>
      </c>
      <c r="W67" s="116" t="str">
        <f t="shared" ca="1" si="3"/>
        <v>Vigente</v>
      </c>
      <c r="X67" s="19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</row>
    <row r="68" spans="1:205" customFormat="1" ht="72" customHeight="1">
      <c r="A68" s="142" t="s">
        <v>26</v>
      </c>
      <c r="B68" s="19" t="s">
        <v>216</v>
      </c>
      <c r="C68" s="39">
        <v>9464777</v>
      </c>
      <c r="D68" s="19">
        <v>0</v>
      </c>
      <c r="E68" s="23">
        <v>61</v>
      </c>
      <c r="F68" s="19" t="s">
        <v>28</v>
      </c>
      <c r="G68" s="19" t="s">
        <v>29</v>
      </c>
      <c r="H68" s="19" t="s">
        <v>96</v>
      </c>
      <c r="I68" s="19" t="s">
        <v>97</v>
      </c>
      <c r="J68" s="19" t="s">
        <v>30</v>
      </c>
      <c r="K68" s="19" t="s">
        <v>31</v>
      </c>
      <c r="L68" s="19" t="s">
        <v>96</v>
      </c>
      <c r="M68" s="19" t="s">
        <v>31</v>
      </c>
      <c r="N68" s="45" t="s">
        <v>32</v>
      </c>
      <c r="O68" s="19" t="s">
        <v>45</v>
      </c>
      <c r="P68" s="19" t="s">
        <v>147</v>
      </c>
      <c r="Q68" s="51" t="s">
        <v>88</v>
      </c>
      <c r="R68" s="2" t="s">
        <v>60</v>
      </c>
      <c r="S68" s="2" t="s">
        <v>49</v>
      </c>
      <c r="T68" s="59">
        <v>45309</v>
      </c>
      <c r="U68" s="4">
        <v>45491</v>
      </c>
      <c r="V68" s="2">
        <f t="shared" ca="1" si="2"/>
        <v>-594</v>
      </c>
      <c r="W68" s="116" t="str">
        <f t="shared" ca="1" si="3"/>
        <v>Vencido</v>
      </c>
      <c r="X68" s="19" t="s">
        <v>61</v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</row>
    <row r="69" spans="1:205">
      <c r="A69" s="142" t="s">
        <v>26</v>
      </c>
      <c r="B69" s="19" t="s">
        <v>217</v>
      </c>
      <c r="C69" s="40">
        <v>10085827</v>
      </c>
      <c r="D69" s="34">
        <v>4</v>
      </c>
      <c r="E69" s="36">
        <v>61</v>
      </c>
      <c r="F69" s="34" t="s">
        <v>28</v>
      </c>
      <c r="G69" s="34" t="s">
        <v>29</v>
      </c>
      <c r="H69" s="34" t="s">
        <v>96</v>
      </c>
      <c r="I69" s="34" t="s">
        <v>97</v>
      </c>
      <c r="J69" s="34" t="s">
        <v>83</v>
      </c>
      <c r="K69" s="34" t="s">
        <v>31</v>
      </c>
      <c r="L69" s="34" t="s">
        <v>96</v>
      </c>
      <c r="M69" s="34" t="s">
        <v>31</v>
      </c>
      <c r="N69" s="45" t="s">
        <v>32</v>
      </c>
      <c r="O69" s="19" t="s">
        <v>33</v>
      </c>
      <c r="P69" s="34"/>
      <c r="Q69" s="51" t="s">
        <v>218</v>
      </c>
      <c r="R69" s="34" t="s">
        <v>60</v>
      </c>
      <c r="S69" s="34" t="s">
        <v>49</v>
      </c>
      <c r="T69" s="59">
        <v>46066</v>
      </c>
      <c r="U69" s="4">
        <v>46247</v>
      </c>
      <c r="V69" s="116">
        <f t="shared" ref="V69:V100" ca="1" si="4">U69-TODAY()</f>
        <v>162</v>
      </c>
      <c r="W69" s="116" t="str">
        <f t="shared" ref="W69:W100" ca="1" si="5">IF(V69&gt;=20,"Vigente",IF(AND(V69&gt;=1,V69&lt;=20),"Por Vencer","Vencido"))</f>
        <v>Vigente</v>
      </c>
      <c r="X69" s="19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</row>
    <row r="70" spans="1:205" s="12" customFormat="1" ht="36" customHeight="1">
      <c r="A70" s="142" t="s">
        <v>26</v>
      </c>
      <c r="B70" s="19" t="s">
        <v>219</v>
      </c>
      <c r="C70" s="34">
        <v>10132354</v>
      </c>
      <c r="D70" s="34">
        <v>4</v>
      </c>
      <c r="E70" s="34">
        <v>60</v>
      </c>
      <c r="F70" s="34" t="s">
        <v>28</v>
      </c>
      <c r="G70" s="34" t="s">
        <v>29</v>
      </c>
      <c r="H70" s="34" t="s">
        <v>96</v>
      </c>
      <c r="I70" s="34" t="s">
        <v>97</v>
      </c>
      <c r="J70" s="34" t="s">
        <v>105</v>
      </c>
      <c r="K70" s="34" t="s">
        <v>31</v>
      </c>
      <c r="L70" s="34" t="s">
        <v>96</v>
      </c>
      <c r="M70" s="34" t="s">
        <v>31</v>
      </c>
      <c r="N70" s="45" t="s">
        <v>32</v>
      </c>
      <c r="O70" s="19" t="s">
        <v>33</v>
      </c>
      <c r="P70" s="34" t="s">
        <v>147</v>
      </c>
      <c r="Q70" s="51" t="s">
        <v>88</v>
      </c>
      <c r="R70" s="34" t="s">
        <v>60</v>
      </c>
      <c r="S70" s="34" t="s">
        <v>49</v>
      </c>
      <c r="T70" s="59">
        <v>45883</v>
      </c>
      <c r="U70" s="4">
        <v>46067</v>
      </c>
      <c r="V70" s="2">
        <f t="shared" ca="1" si="4"/>
        <v>-18</v>
      </c>
      <c r="W70" s="116" t="str">
        <f t="shared" ca="1" si="5"/>
        <v>Vencido</v>
      </c>
      <c r="X70" s="34" t="s">
        <v>73</v>
      </c>
    </row>
    <row r="71" spans="1:205" s="11" customFormat="1" ht="18" customHeight="1">
      <c r="A71" s="142" t="s">
        <v>26</v>
      </c>
      <c r="B71" s="19" t="s">
        <v>220</v>
      </c>
      <c r="C71" s="34">
        <v>12803372</v>
      </c>
      <c r="D71" s="34">
        <v>6</v>
      </c>
      <c r="E71" s="34">
        <v>49</v>
      </c>
      <c r="F71" s="34" t="s">
        <v>58</v>
      </c>
      <c r="G71" s="34" t="s">
        <v>29</v>
      </c>
      <c r="H71" s="34">
        <v>2024</v>
      </c>
      <c r="I71" s="50">
        <v>45485</v>
      </c>
      <c r="J71" s="34" t="s">
        <v>37</v>
      </c>
      <c r="K71" s="34" t="s">
        <v>38</v>
      </c>
      <c r="L71" s="50">
        <v>45832</v>
      </c>
      <c r="M71" s="34" t="s">
        <v>31</v>
      </c>
      <c r="N71" s="45" t="s">
        <v>32</v>
      </c>
      <c r="O71" s="19" t="s">
        <v>33</v>
      </c>
      <c r="P71" s="88"/>
      <c r="Q71" s="88" t="s">
        <v>88</v>
      </c>
      <c r="R71" s="34" t="s">
        <v>60</v>
      </c>
      <c r="S71" s="34" t="s">
        <v>49</v>
      </c>
      <c r="T71" s="76">
        <v>45995</v>
      </c>
      <c r="U71" s="50">
        <v>46177</v>
      </c>
      <c r="V71" s="116">
        <f t="shared" ca="1" si="4"/>
        <v>92</v>
      </c>
      <c r="W71" s="116" t="str">
        <f t="shared" ca="1" si="5"/>
        <v>Vigente</v>
      </c>
      <c r="X71" s="34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</row>
    <row r="72" spans="1:205" s="11" customFormat="1" ht="39.75" customHeight="1">
      <c r="A72" s="142" t="s">
        <v>26</v>
      </c>
      <c r="B72" s="19" t="s">
        <v>221</v>
      </c>
      <c r="C72" s="34">
        <v>11513633</v>
      </c>
      <c r="D72" s="34" t="s">
        <v>67</v>
      </c>
      <c r="E72" s="34">
        <v>54</v>
      </c>
      <c r="F72" s="34" t="s">
        <v>222</v>
      </c>
      <c r="G72" s="34" t="s">
        <v>68</v>
      </c>
      <c r="H72" s="34">
        <v>2021</v>
      </c>
      <c r="I72" s="50">
        <v>44507</v>
      </c>
      <c r="J72" s="34" t="s">
        <v>83</v>
      </c>
      <c r="K72" s="34" t="s">
        <v>110</v>
      </c>
      <c r="L72" s="50">
        <v>45394</v>
      </c>
      <c r="M72" s="34" t="s">
        <v>31</v>
      </c>
      <c r="N72" s="45" t="s">
        <v>32</v>
      </c>
      <c r="O72" s="19" t="s">
        <v>33</v>
      </c>
      <c r="P72" s="19" t="s">
        <v>84</v>
      </c>
      <c r="Q72" s="51" t="s">
        <v>103</v>
      </c>
      <c r="R72" s="34" t="s">
        <v>112</v>
      </c>
      <c r="S72" s="34" t="s">
        <v>49</v>
      </c>
      <c r="T72" s="59">
        <v>45904</v>
      </c>
      <c r="U72" s="4">
        <v>45995</v>
      </c>
      <c r="V72" s="2">
        <f t="shared" ca="1" si="4"/>
        <v>-90</v>
      </c>
      <c r="W72" s="116" t="str">
        <f t="shared" ca="1" si="5"/>
        <v>Vencido</v>
      </c>
      <c r="X72" s="19" t="s">
        <v>73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</row>
    <row r="73" spans="1:205" customFormat="1" ht="39.75" customHeight="1">
      <c r="A73" s="142" t="s">
        <v>26</v>
      </c>
      <c r="B73" s="19" t="s">
        <v>223</v>
      </c>
      <c r="C73" s="24">
        <v>5855847</v>
      </c>
      <c r="D73" s="19">
        <v>8</v>
      </c>
      <c r="E73" s="23">
        <v>79</v>
      </c>
      <c r="F73" s="19" t="s">
        <v>224</v>
      </c>
      <c r="G73" s="19" t="s">
        <v>29</v>
      </c>
      <c r="H73" s="19">
        <v>2020</v>
      </c>
      <c r="I73" s="46">
        <v>44015</v>
      </c>
      <c r="J73" s="19" t="s">
        <v>30</v>
      </c>
      <c r="K73" s="19" t="s">
        <v>31</v>
      </c>
      <c r="L73" s="19" t="s">
        <v>96</v>
      </c>
      <c r="M73" s="34" t="s">
        <v>31</v>
      </c>
      <c r="N73" s="45" t="s">
        <v>32</v>
      </c>
      <c r="O73" s="19" t="s">
        <v>33</v>
      </c>
      <c r="P73" s="19"/>
      <c r="Q73" s="51" t="s">
        <v>225</v>
      </c>
      <c r="R73" s="34" t="s">
        <v>55</v>
      </c>
      <c r="S73" s="34" t="s">
        <v>49</v>
      </c>
      <c r="T73" s="59">
        <v>46066</v>
      </c>
      <c r="U73" s="4">
        <v>46155</v>
      </c>
      <c r="V73" s="2">
        <f t="shared" ca="1" si="4"/>
        <v>70</v>
      </c>
      <c r="W73" s="116" t="str">
        <f t="shared" ca="1" si="5"/>
        <v>Vigente</v>
      </c>
      <c r="X73" s="19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</row>
    <row r="74" spans="1:205">
      <c r="A74" s="142" t="s">
        <v>26</v>
      </c>
      <c r="B74" s="19" t="s">
        <v>226</v>
      </c>
      <c r="C74" s="34">
        <v>26822970</v>
      </c>
      <c r="D74" s="34">
        <v>1</v>
      </c>
      <c r="E74" s="34">
        <v>65</v>
      </c>
      <c r="F74" s="34" t="s">
        <v>28</v>
      </c>
      <c r="G74" s="34" t="s">
        <v>29</v>
      </c>
      <c r="H74" s="34">
        <v>2025</v>
      </c>
      <c r="I74" s="50">
        <v>45534</v>
      </c>
      <c r="J74" s="34" t="s">
        <v>37</v>
      </c>
      <c r="K74" s="34" t="s">
        <v>31</v>
      </c>
      <c r="L74" s="50">
        <v>45959</v>
      </c>
      <c r="M74" s="34" t="s">
        <v>31</v>
      </c>
      <c r="N74" s="45" t="s">
        <v>32</v>
      </c>
      <c r="O74" s="19" t="s">
        <v>45</v>
      </c>
      <c r="P74" s="34" t="s">
        <v>84</v>
      </c>
      <c r="Q74" s="88" t="s">
        <v>103</v>
      </c>
      <c r="R74" s="34" t="s">
        <v>112</v>
      </c>
      <c r="S74" s="34" t="s">
        <v>49</v>
      </c>
      <c r="T74" s="76">
        <v>45960</v>
      </c>
      <c r="U74" s="50">
        <v>46052</v>
      </c>
      <c r="V74" s="34">
        <f t="shared" ca="1" si="4"/>
        <v>-33</v>
      </c>
      <c r="W74" s="116" t="str">
        <f t="shared" ca="1" si="5"/>
        <v>Vencido</v>
      </c>
      <c r="X74" s="34" t="s">
        <v>50</v>
      </c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</row>
    <row r="75" spans="1:205" s="11" customFormat="1" ht="42" customHeight="1">
      <c r="A75" s="142" t="s">
        <v>26</v>
      </c>
      <c r="B75" s="19" t="s">
        <v>227</v>
      </c>
      <c r="C75" s="24">
        <v>13179442</v>
      </c>
      <c r="D75" s="19">
        <v>8</v>
      </c>
      <c r="E75" s="23">
        <v>47</v>
      </c>
      <c r="F75" s="19" t="s">
        <v>28</v>
      </c>
      <c r="G75" s="19" t="s">
        <v>29</v>
      </c>
      <c r="H75" s="19">
        <v>2022</v>
      </c>
      <c r="I75" s="46">
        <v>44600</v>
      </c>
      <c r="J75" s="19" t="s">
        <v>30</v>
      </c>
      <c r="K75" s="19" t="s">
        <v>31</v>
      </c>
      <c r="L75" s="46">
        <v>44635</v>
      </c>
      <c r="M75" s="19" t="s">
        <v>31</v>
      </c>
      <c r="N75" s="45" t="s">
        <v>32</v>
      </c>
      <c r="O75" s="19" t="s">
        <v>33</v>
      </c>
      <c r="P75" s="19" t="s">
        <v>171</v>
      </c>
      <c r="Q75" s="51" t="s">
        <v>228</v>
      </c>
      <c r="R75" s="2" t="s">
        <v>60</v>
      </c>
      <c r="S75" s="2" t="s">
        <v>49</v>
      </c>
      <c r="T75" s="59">
        <v>45862</v>
      </c>
      <c r="U75" s="4">
        <v>46046</v>
      </c>
      <c r="V75" s="2">
        <f t="shared" ca="1" si="4"/>
        <v>-39</v>
      </c>
      <c r="W75" s="116" t="str">
        <f t="shared" ca="1" si="5"/>
        <v>Vencido</v>
      </c>
      <c r="X75" s="2" t="s">
        <v>50</v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</row>
    <row r="76" spans="1:205" s="12" customFormat="1">
      <c r="A76" s="142" t="s">
        <v>26</v>
      </c>
      <c r="B76" s="19" t="s">
        <v>229</v>
      </c>
      <c r="C76" s="34">
        <v>10927912</v>
      </c>
      <c r="D76" s="34">
        <v>9</v>
      </c>
      <c r="E76" s="34">
        <v>56</v>
      </c>
      <c r="F76" s="34" t="s">
        <v>36</v>
      </c>
      <c r="G76" s="34" t="s">
        <v>68</v>
      </c>
      <c r="H76" s="34">
        <v>2024</v>
      </c>
      <c r="I76" s="50">
        <v>45609</v>
      </c>
      <c r="J76" s="34" t="s">
        <v>37</v>
      </c>
      <c r="K76" s="34" t="s">
        <v>230</v>
      </c>
      <c r="L76" s="50">
        <v>45629</v>
      </c>
      <c r="M76" s="34" t="s">
        <v>90</v>
      </c>
      <c r="N76" s="45" t="s">
        <v>32</v>
      </c>
      <c r="O76" s="19" t="s">
        <v>33</v>
      </c>
      <c r="P76" s="34"/>
      <c r="Q76" s="88" t="s">
        <v>231</v>
      </c>
      <c r="R76" s="34" t="s">
        <v>232</v>
      </c>
      <c r="S76" s="34" t="s">
        <v>94</v>
      </c>
      <c r="T76" s="76">
        <v>46065</v>
      </c>
      <c r="U76" s="50">
        <v>46185</v>
      </c>
      <c r="V76" s="2">
        <f t="shared" ca="1" si="4"/>
        <v>100</v>
      </c>
      <c r="W76" s="116" t="str">
        <f t="shared" ca="1" si="5"/>
        <v>Vigente</v>
      </c>
      <c r="X76" s="34"/>
    </row>
    <row r="77" spans="1:205" s="11" customFormat="1" ht="33.75" customHeight="1">
      <c r="A77" s="142" t="s">
        <v>26</v>
      </c>
      <c r="B77" s="19" t="s">
        <v>233</v>
      </c>
      <c r="C77" s="19">
        <v>12002711</v>
      </c>
      <c r="D77" s="19">
        <v>5</v>
      </c>
      <c r="E77" s="19">
        <v>61</v>
      </c>
      <c r="F77" s="19" t="s">
        <v>28</v>
      </c>
      <c r="G77" s="19" t="s">
        <v>29</v>
      </c>
      <c r="H77" s="19" t="s">
        <v>96</v>
      </c>
      <c r="I77" s="19" t="s">
        <v>97</v>
      </c>
      <c r="J77" s="19" t="s">
        <v>105</v>
      </c>
      <c r="K77" s="19" t="s">
        <v>31</v>
      </c>
      <c r="L77" s="19" t="s">
        <v>96</v>
      </c>
      <c r="M77" s="19" t="s">
        <v>31</v>
      </c>
      <c r="N77" s="45" t="s">
        <v>32</v>
      </c>
      <c r="O77" s="19" t="s">
        <v>33</v>
      </c>
      <c r="P77" s="19"/>
      <c r="Q77" s="51" t="s">
        <v>234</v>
      </c>
      <c r="R77" s="19" t="s">
        <v>60</v>
      </c>
      <c r="S77" s="19" t="s">
        <v>49</v>
      </c>
      <c r="T77" s="59">
        <v>45995</v>
      </c>
      <c r="U77" s="4">
        <v>46177</v>
      </c>
      <c r="V77" s="2">
        <f t="shared" ca="1" si="4"/>
        <v>92</v>
      </c>
      <c r="W77" s="116" t="str">
        <f t="shared" ca="1" si="5"/>
        <v>Vigente</v>
      </c>
      <c r="X77" s="19"/>
    </row>
    <row r="78" spans="1:205" s="12" customFormat="1" ht="38.25" customHeight="1">
      <c r="A78" s="142" t="s">
        <v>26</v>
      </c>
      <c r="B78" s="19" t="s">
        <v>235</v>
      </c>
      <c r="C78" s="24">
        <v>13747705</v>
      </c>
      <c r="D78" s="33" t="s">
        <v>67</v>
      </c>
      <c r="E78" s="23">
        <v>44</v>
      </c>
      <c r="F78" s="19" t="s">
        <v>132</v>
      </c>
      <c r="G78" s="19" t="s">
        <v>29</v>
      </c>
      <c r="H78" s="19">
        <v>2020</v>
      </c>
      <c r="I78" s="46">
        <v>44160</v>
      </c>
      <c r="J78" s="19" t="s">
        <v>30</v>
      </c>
      <c r="K78" s="19" t="s">
        <v>38</v>
      </c>
      <c r="L78" s="46">
        <v>45314</v>
      </c>
      <c r="M78" s="19" t="s">
        <v>31</v>
      </c>
      <c r="N78" s="45" t="s">
        <v>32</v>
      </c>
      <c r="O78" s="19" t="s">
        <v>45</v>
      </c>
      <c r="P78" s="19" t="s">
        <v>147</v>
      </c>
      <c r="Q78" s="51" t="s">
        <v>236</v>
      </c>
      <c r="R78" s="149" t="s">
        <v>55</v>
      </c>
      <c r="S78" s="2" t="s">
        <v>49</v>
      </c>
      <c r="T78" s="59">
        <v>45925</v>
      </c>
      <c r="U78" s="4">
        <v>46016</v>
      </c>
      <c r="V78" s="2">
        <f t="shared" ca="1" si="4"/>
        <v>-69</v>
      </c>
      <c r="W78" s="116" t="str">
        <f t="shared" ca="1" si="5"/>
        <v>Vencido</v>
      </c>
      <c r="X78" s="19" t="s">
        <v>73</v>
      </c>
    </row>
    <row r="79" spans="1:205" s="12" customFormat="1" ht="30" customHeight="1">
      <c r="A79" s="142" t="s">
        <v>26</v>
      </c>
      <c r="B79" s="19" t="s">
        <v>237</v>
      </c>
      <c r="C79" s="34">
        <v>12426631</v>
      </c>
      <c r="D79" s="34">
        <v>9</v>
      </c>
      <c r="E79" s="34">
        <v>52</v>
      </c>
      <c r="F79" s="34" t="s">
        <v>28</v>
      </c>
      <c r="G79" s="34" t="s">
        <v>68</v>
      </c>
      <c r="H79" s="34">
        <v>2025</v>
      </c>
      <c r="I79" s="50">
        <v>45686</v>
      </c>
      <c r="J79" s="34" t="s">
        <v>37</v>
      </c>
      <c r="K79" s="34" t="s">
        <v>38</v>
      </c>
      <c r="L79" s="50">
        <v>45727</v>
      </c>
      <c r="M79" s="34" t="s">
        <v>44</v>
      </c>
      <c r="N79" s="45" t="s">
        <v>32</v>
      </c>
      <c r="O79" s="19" t="s">
        <v>33</v>
      </c>
      <c r="P79" s="34"/>
      <c r="Q79" s="34" t="s">
        <v>238</v>
      </c>
      <c r="R79" s="34" t="s">
        <v>48</v>
      </c>
      <c r="S79" s="34" t="s">
        <v>49</v>
      </c>
      <c r="T79" s="76">
        <v>45995</v>
      </c>
      <c r="U79" s="50">
        <v>46026</v>
      </c>
      <c r="V79" s="2">
        <f t="shared" ca="1" si="4"/>
        <v>-59</v>
      </c>
      <c r="W79" s="116" t="str">
        <f t="shared" ca="1" si="5"/>
        <v>Vencido</v>
      </c>
      <c r="X79" s="34"/>
    </row>
    <row r="80" spans="1:205" s="12" customFormat="1" ht="39" customHeight="1">
      <c r="A80" s="142" t="s">
        <v>26</v>
      </c>
      <c r="B80" s="19" t="s">
        <v>239</v>
      </c>
      <c r="C80" s="24">
        <v>11162792</v>
      </c>
      <c r="D80" s="19">
        <v>4</v>
      </c>
      <c r="E80" s="23">
        <v>58</v>
      </c>
      <c r="F80" s="19" t="s">
        <v>28</v>
      </c>
      <c r="G80" s="19" t="s">
        <v>29</v>
      </c>
      <c r="H80" s="19" t="s">
        <v>96</v>
      </c>
      <c r="I80" s="19" t="s">
        <v>97</v>
      </c>
      <c r="J80" s="19" t="s">
        <v>83</v>
      </c>
      <c r="K80" s="19" t="s">
        <v>31</v>
      </c>
      <c r="L80" s="19" t="s">
        <v>96</v>
      </c>
      <c r="M80" s="34" t="s">
        <v>31</v>
      </c>
      <c r="N80" s="45" t="s">
        <v>32</v>
      </c>
      <c r="O80" s="19" t="s">
        <v>33</v>
      </c>
      <c r="P80" s="19"/>
      <c r="Q80" s="51" t="s">
        <v>88</v>
      </c>
      <c r="R80" s="34" t="s">
        <v>60</v>
      </c>
      <c r="S80" s="34" t="s">
        <v>49</v>
      </c>
      <c r="T80" s="59">
        <v>46065</v>
      </c>
      <c r="U80" s="4">
        <v>46246</v>
      </c>
      <c r="V80" s="2">
        <f t="shared" ca="1" si="4"/>
        <v>161</v>
      </c>
      <c r="W80" s="116" t="str">
        <f t="shared" ca="1" si="5"/>
        <v>Vigente</v>
      </c>
      <c r="X80" s="19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</row>
    <row r="81" spans="1:205" s="12" customFormat="1" ht="34.5" customHeight="1">
      <c r="A81" s="142" t="s">
        <v>26</v>
      </c>
      <c r="B81" s="19" t="s">
        <v>240</v>
      </c>
      <c r="C81" s="24">
        <v>11209764</v>
      </c>
      <c r="D81" s="19">
        <v>3</v>
      </c>
      <c r="E81" s="23">
        <v>56</v>
      </c>
      <c r="F81" s="19" t="s">
        <v>28</v>
      </c>
      <c r="G81" s="19" t="s">
        <v>29</v>
      </c>
      <c r="H81" s="19" t="s">
        <v>96</v>
      </c>
      <c r="I81" s="19" t="s">
        <v>97</v>
      </c>
      <c r="J81" s="19" t="s">
        <v>83</v>
      </c>
      <c r="K81" s="19" t="s">
        <v>31</v>
      </c>
      <c r="L81" s="19" t="s">
        <v>96</v>
      </c>
      <c r="M81" s="19" t="s">
        <v>31</v>
      </c>
      <c r="N81" s="45" t="s">
        <v>32</v>
      </c>
      <c r="O81" s="19" t="s">
        <v>33</v>
      </c>
      <c r="P81" s="19"/>
      <c r="Q81" s="51" t="s">
        <v>88</v>
      </c>
      <c r="R81" s="149" t="s">
        <v>60</v>
      </c>
      <c r="S81" s="2" t="s">
        <v>49</v>
      </c>
      <c r="T81" s="59">
        <v>46065</v>
      </c>
      <c r="U81" s="4">
        <v>46246</v>
      </c>
      <c r="V81" s="2">
        <f t="shared" ca="1" si="4"/>
        <v>161</v>
      </c>
      <c r="W81" s="116" t="str">
        <f t="shared" ca="1" si="5"/>
        <v>Vigente</v>
      </c>
      <c r="X81" s="2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</row>
    <row r="82" spans="1:205" s="11" customFormat="1" ht="28.5" customHeight="1">
      <c r="A82" s="142" t="s">
        <v>26</v>
      </c>
      <c r="B82" s="19" t="s">
        <v>241</v>
      </c>
      <c r="C82" s="24">
        <v>12391911</v>
      </c>
      <c r="D82" s="19">
        <v>4</v>
      </c>
      <c r="E82" s="23">
        <v>50</v>
      </c>
      <c r="F82" s="19" t="s">
        <v>224</v>
      </c>
      <c r="G82" s="19" t="s">
        <v>29</v>
      </c>
      <c r="H82" s="19">
        <v>2021</v>
      </c>
      <c r="I82" s="46">
        <v>44319</v>
      </c>
      <c r="J82" s="19" t="s">
        <v>30</v>
      </c>
      <c r="K82" s="19" t="s">
        <v>31</v>
      </c>
      <c r="L82" s="46">
        <v>44663</v>
      </c>
      <c r="M82" s="19" t="s">
        <v>31</v>
      </c>
      <c r="N82" s="45" t="s">
        <v>32</v>
      </c>
      <c r="O82" s="19" t="s">
        <v>33</v>
      </c>
      <c r="P82" s="51" t="s">
        <v>242</v>
      </c>
      <c r="Q82" s="51" t="s">
        <v>243</v>
      </c>
      <c r="R82" s="149" t="s">
        <v>244</v>
      </c>
      <c r="S82" s="2" t="s">
        <v>49</v>
      </c>
      <c r="T82" s="59">
        <v>45953</v>
      </c>
      <c r="U82" s="4">
        <v>46014</v>
      </c>
      <c r="V82" s="2">
        <f t="shared" ca="1" si="4"/>
        <v>-71</v>
      </c>
      <c r="W82" s="116" t="str">
        <f t="shared" ca="1" si="5"/>
        <v>Vencido</v>
      </c>
      <c r="X82" s="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</row>
    <row r="83" spans="1:205" s="11" customFormat="1" ht="38.25" customHeight="1">
      <c r="A83" s="142" t="s">
        <v>26</v>
      </c>
      <c r="B83" s="19" t="s">
        <v>245</v>
      </c>
      <c r="C83" s="34">
        <v>12770459</v>
      </c>
      <c r="D83" s="34">
        <v>7</v>
      </c>
      <c r="E83" s="34">
        <v>49</v>
      </c>
      <c r="F83" s="34" t="s">
        <v>28</v>
      </c>
      <c r="G83" s="34" t="s">
        <v>68</v>
      </c>
      <c r="H83" s="34">
        <v>2025</v>
      </c>
      <c r="I83" s="50">
        <v>45729</v>
      </c>
      <c r="J83" s="34" t="s">
        <v>37</v>
      </c>
      <c r="K83" s="34" t="s">
        <v>31</v>
      </c>
      <c r="L83" s="34" t="s">
        <v>161</v>
      </c>
      <c r="M83" s="34" t="s">
        <v>31</v>
      </c>
      <c r="N83" s="45" t="s">
        <v>32</v>
      </c>
      <c r="O83" s="19" t="s">
        <v>45</v>
      </c>
      <c r="P83" s="34" t="s">
        <v>147</v>
      </c>
      <c r="Q83" s="88" t="s">
        <v>103</v>
      </c>
      <c r="R83" s="34" t="s">
        <v>55</v>
      </c>
      <c r="S83" s="34" t="s">
        <v>94</v>
      </c>
      <c r="T83" s="76">
        <v>45939</v>
      </c>
      <c r="U83" s="50">
        <v>46031</v>
      </c>
      <c r="V83" s="116">
        <f t="shared" ca="1" si="4"/>
        <v>-54</v>
      </c>
      <c r="W83" s="116" t="str">
        <f t="shared" ca="1" si="5"/>
        <v>Vencido</v>
      </c>
      <c r="X83" s="34" t="s">
        <v>73</v>
      </c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</row>
    <row r="84" spans="1:205" s="11" customFormat="1" ht="38.25" customHeight="1">
      <c r="A84" s="142" t="s">
        <v>26</v>
      </c>
      <c r="B84" s="140" t="s">
        <v>246</v>
      </c>
      <c r="C84" s="24">
        <v>16596560</v>
      </c>
      <c r="D84" s="19">
        <v>4</v>
      </c>
      <c r="E84" s="23">
        <v>36</v>
      </c>
      <c r="F84" s="19" t="s">
        <v>28</v>
      </c>
      <c r="G84" s="19" t="s">
        <v>29</v>
      </c>
      <c r="H84" s="19">
        <v>2023</v>
      </c>
      <c r="I84" s="46">
        <v>44992</v>
      </c>
      <c r="J84" s="19" t="s">
        <v>30</v>
      </c>
      <c r="K84" s="19" t="s">
        <v>31</v>
      </c>
      <c r="L84" s="46">
        <v>45272</v>
      </c>
      <c r="M84" s="19" t="s">
        <v>31</v>
      </c>
      <c r="N84" s="45" t="s">
        <v>32</v>
      </c>
      <c r="O84" s="19" t="s">
        <v>33</v>
      </c>
      <c r="P84" s="19"/>
      <c r="Q84" s="51" t="s">
        <v>135</v>
      </c>
      <c r="R84" s="19" t="s">
        <v>55</v>
      </c>
      <c r="S84" s="19" t="s">
        <v>49</v>
      </c>
      <c r="T84" s="59">
        <v>46059</v>
      </c>
      <c r="U84" s="4">
        <v>46148</v>
      </c>
      <c r="V84" s="2">
        <f t="shared" ca="1" si="4"/>
        <v>63</v>
      </c>
      <c r="W84" s="116" t="str">
        <f t="shared" ca="1" si="5"/>
        <v>Vigente</v>
      </c>
      <c r="X84" s="19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</row>
    <row r="85" spans="1:205" s="11" customFormat="1" ht="41.25" customHeight="1">
      <c r="A85" s="142" t="s">
        <v>26</v>
      </c>
      <c r="B85" s="19" t="s">
        <v>247</v>
      </c>
      <c r="C85" s="24">
        <v>15572784</v>
      </c>
      <c r="D85" s="19">
        <v>5</v>
      </c>
      <c r="E85" s="23">
        <v>40</v>
      </c>
      <c r="F85" s="19" t="s">
        <v>28</v>
      </c>
      <c r="G85" s="19" t="s">
        <v>29</v>
      </c>
      <c r="H85" s="19">
        <v>2020</v>
      </c>
      <c r="I85" s="46">
        <v>43956</v>
      </c>
      <c r="J85" s="19" t="s">
        <v>83</v>
      </c>
      <c r="K85" s="19" t="s">
        <v>31</v>
      </c>
      <c r="L85" s="46">
        <v>44327</v>
      </c>
      <c r="M85" s="19" t="s">
        <v>31</v>
      </c>
      <c r="N85" s="45" t="s">
        <v>32</v>
      </c>
      <c r="O85" s="19" t="s">
        <v>45</v>
      </c>
      <c r="P85" s="19" t="s">
        <v>84</v>
      </c>
      <c r="Q85" s="51" t="s">
        <v>85</v>
      </c>
      <c r="R85" s="2" t="s">
        <v>60</v>
      </c>
      <c r="S85" s="79" t="s">
        <v>49</v>
      </c>
      <c r="T85" s="59">
        <v>45939</v>
      </c>
      <c r="U85" s="4">
        <v>46121</v>
      </c>
      <c r="V85" s="116">
        <f t="shared" ca="1" si="4"/>
        <v>36</v>
      </c>
      <c r="W85" s="116" t="str">
        <f t="shared" ca="1" si="5"/>
        <v>Vigente</v>
      </c>
      <c r="X85" s="19" t="s">
        <v>73</v>
      </c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</row>
    <row r="86" spans="1:205" s="12" customFormat="1">
      <c r="A86" s="142" t="s">
        <v>26</v>
      </c>
      <c r="B86" s="19" t="s">
        <v>248</v>
      </c>
      <c r="C86" s="24">
        <v>10039428</v>
      </c>
      <c r="D86" s="19">
        <v>6</v>
      </c>
      <c r="E86" s="23">
        <v>60</v>
      </c>
      <c r="F86" s="19" t="s">
        <v>28</v>
      </c>
      <c r="G86" s="19" t="s">
        <v>29</v>
      </c>
      <c r="H86" s="19" t="s">
        <v>96</v>
      </c>
      <c r="I86" s="19" t="s">
        <v>97</v>
      </c>
      <c r="J86" s="19" t="s">
        <v>83</v>
      </c>
      <c r="K86" s="19" t="s">
        <v>31</v>
      </c>
      <c r="L86" s="19" t="s">
        <v>96</v>
      </c>
      <c r="M86" s="19" t="s">
        <v>31</v>
      </c>
      <c r="N86" s="45" t="s">
        <v>32</v>
      </c>
      <c r="O86" s="19" t="s">
        <v>33</v>
      </c>
      <c r="P86" s="19" t="s">
        <v>84</v>
      </c>
      <c r="Q86" s="51" t="s">
        <v>162</v>
      </c>
      <c r="R86" s="19" t="s">
        <v>72</v>
      </c>
      <c r="S86" s="19" t="s">
        <v>49</v>
      </c>
      <c r="T86" s="59">
        <v>45960</v>
      </c>
      <c r="U86" s="4">
        <v>46021</v>
      </c>
      <c r="V86" s="116">
        <f t="shared" ca="1" si="4"/>
        <v>-64</v>
      </c>
      <c r="W86" s="116" t="str">
        <f t="shared" ca="1" si="5"/>
        <v>Vencido</v>
      </c>
      <c r="X86" s="19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</row>
    <row r="87" spans="1:205" s="12" customFormat="1">
      <c r="A87" s="142" t="s">
        <v>26</v>
      </c>
      <c r="B87" s="19" t="s">
        <v>249</v>
      </c>
      <c r="C87" s="24">
        <v>18011724</v>
      </c>
      <c r="D87" s="19">
        <v>5</v>
      </c>
      <c r="E87" s="23">
        <v>31</v>
      </c>
      <c r="F87" s="19" t="s">
        <v>28</v>
      </c>
      <c r="G87" s="19" t="s">
        <v>29</v>
      </c>
      <c r="H87" s="19">
        <v>2023</v>
      </c>
      <c r="I87" s="46">
        <v>45146</v>
      </c>
      <c r="J87" s="19" t="s">
        <v>30</v>
      </c>
      <c r="K87" s="19" t="s">
        <v>31</v>
      </c>
      <c r="L87" s="46">
        <v>45517</v>
      </c>
      <c r="M87" s="19" t="s">
        <v>31</v>
      </c>
      <c r="N87" s="45" t="s">
        <v>32</v>
      </c>
      <c r="O87" s="19" t="s">
        <v>33</v>
      </c>
      <c r="P87" s="19"/>
      <c r="Q87" s="51" t="s">
        <v>250</v>
      </c>
      <c r="R87" s="19" t="s">
        <v>60</v>
      </c>
      <c r="S87" s="19" t="s">
        <v>49</v>
      </c>
      <c r="T87" s="59">
        <v>45981</v>
      </c>
      <c r="U87" s="61">
        <v>46162</v>
      </c>
      <c r="V87" s="116">
        <f t="shared" ca="1" si="4"/>
        <v>77</v>
      </c>
      <c r="W87" s="116" t="str">
        <f t="shared" ca="1" si="5"/>
        <v>Vigente</v>
      </c>
      <c r="X87" s="19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</row>
    <row r="88" spans="1:205" s="12" customFormat="1">
      <c r="A88" s="142" t="s">
        <v>26</v>
      </c>
      <c r="B88" s="19" t="s">
        <v>251</v>
      </c>
      <c r="C88" s="24">
        <v>11181742</v>
      </c>
      <c r="D88" s="19">
        <v>1</v>
      </c>
      <c r="E88" s="23">
        <v>56</v>
      </c>
      <c r="F88" s="19" t="s">
        <v>28</v>
      </c>
      <c r="G88" s="19" t="s">
        <v>29</v>
      </c>
      <c r="H88" s="19">
        <v>2021</v>
      </c>
      <c r="I88" s="46">
        <v>44349</v>
      </c>
      <c r="J88" s="19" t="s">
        <v>83</v>
      </c>
      <c r="K88" s="19" t="s">
        <v>31</v>
      </c>
      <c r="L88" s="46">
        <v>44306</v>
      </c>
      <c r="M88" s="34" t="s">
        <v>31</v>
      </c>
      <c r="N88" s="45" t="s">
        <v>32</v>
      </c>
      <c r="O88" s="19" t="s">
        <v>33</v>
      </c>
      <c r="P88" s="19" t="s">
        <v>147</v>
      </c>
      <c r="Q88" s="51" t="s">
        <v>252</v>
      </c>
      <c r="R88" s="34" t="s">
        <v>60</v>
      </c>
      <c r="S88" s="34" t="s">
        <v>49</v>
      </c>
      <c r="T88" s="59">
        <v>45841</v>
      </c>
      <c r="U88" s="4">
        <v>46025</v>
      </c>
      <c r="V88" s="2">
        <f t="shared" ca="1" si="4"/>
        <v>-60</v>
      </c>
      <c r="W88" s="116" t="str">
        <f t="shared" ca="1" si="5"/>
        <v>Vencido</v>
      </c>
      <c r="X88" s="19" t="s">
        <v>73</v>
      </c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</row>
    <row r="89" spans="1:205" s="11" customFormat="1" ht="37.5" customHeight="1">
      <c r="A89" s="142" t="s">
        <v>26</v>
      </c>
      <c r="B89" s="34" t="s">
        <v>253</v>
      </c>
      <c r="C89" s="34"/>
      <c r="D89" s="34"/>
      <c r="E89" s="34"/>
      <c r="F89" s="34"/>
      <c r="G89" s="34"/>
      <c r="H89" s="34"/>
      <c r="I89" s="50"/>
      <c r="J89" s="34"/>
      <c r="K89" s="34"/>
      <c r="L89" s="34"/>
      <c r="M89" s="34"/>
      <c r="N89" s="45"/>
      <c r="O89" s="34"/>
      <c r="P89" s="34"/>
      <c r="Q89" s="88"/>
      <c r="R89" s="34"/>
      <c r="S89" s="34"/>
      <c r="T89" s="76"/>
      <c r="U89" s="50"/>
      <c r="V89" s="2"/>
      <c r="W89" s="116"/>
      <c r="X89" s="34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</row>
    <row r="90" spans="1:205" s="11" customFormat="1" ht="37.5" customHeight="1">
      <c r="A90" s="142" t="s">
        <v>26</v>
      </c>
      <c r="B90" s="19" t="s">
        <v>254</v>
      </c>
      <c r="C90" s="24">
        <v>11327341</v>
      </c>
      <c r="D90" s="19">
        <v>0</v>
      </c>
      <c r="E90" s="23">
        <v>56</v>
      </c>
      <c r="F90" s="19" t="s">
        <v>28</v>
      </c>
      <c r="G90" s="19" t="s">
        <v>29</v>
      </c>
      <c r="H90" s="19">
        <v>2023</v>
      </c>
      <c r="I90" s="46">
        <v>45127</v>
      </c>
      <c r="J90" s="19" t="s">
        <v>30</v>
      </c>
      <c r="K90" s="19" t="s">
        <v>38</v>
      </c>
      <c r="L90" s="46">
        <v>45377</v>
      </c>
      <c r="M90" s="19" t="s">
        <v>31</v>
      </c>
      <c r="N90" s="45" t="s">
        <v>32</v>
      </c>
      <c r="O90" s="19" t="s">
        <v>33</v>
      </c>
      <c r="P90" s="19" t="s">
        <v>84</v>
      </c>
      <c r="Q90" s="51" t="s">
        <v>107</v>
      </c>
      <c r="R90" s="2" t="s">
        <v>112</v>
      </c>
      <c r="S90" s="2" t="s">
        <v>49</v>
      </c>
      <c r="T90" s="59">
        <v>45943</v>
      </c>
      <c r="U90" s="4">
        <v>46035</v>
      </c>
      <c r="V90" s="2">
        <f t="shared" ref="V90:V121" ca="1" si="6">U90-TODAY()</f>
        <v>-50</v>
      </c>
      <c r="W90" s="116" t="str">
        <f t="shared" ref="W90:W121" ca="1" si="7">IF(V90&gt;=20,"Vigente",IF(AND(V90&gt;=1,V90&lt;=20),"Por Vencer","Vencido"))</f>
        <v>Vencido</v>
      </c>
      <c r="X90" s="19" t="s">
        <v>73</v>
      </c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</row>
    <row r="91" spans="1:205" s="11" customFormat="1" ht="39" customHeight="1">
      <c r="A91" s="142" t="s">
        <v>26</v>
      </c>
      <c r="B91" s="19" t="s">
        <v>255</v>
      </c>
      <c r="C91" s="19">
        <v>12213882</v>
      </c>
      <c r="D91" s="19">
        <v>8</v>
      </c>
      <c r="E91" s="19">
        <v>52</v>
      </c>
      <c r="F91" s="19" t="s">
        <v>28</v>
      </c>
      <c r="G91" s="19" t="s">
        <v>29</v>
      </c>
      <c r="H91" s="19">
        <v>2023</v>
      </c>
      <c r="I91" s="46">
        <v>45259</v>
      </c>
      <c r="J91" s="19" t="s">
        <v>37</v>
      </c>
      <c r="K91" s="19" t="s">
        <v>38</v>
      </c>
      <c r="L91" s="46">
        <v>45314</v>
      </c>
      <c r="M91" s="19" t="s">
        <v>31</v>
      </c>
      <c r="N91" s="45" t="s">
        <v>32</v>
      </c>
      <c r="O91" s="19" t="s">
        <v>33</v>
      </c>
      <c r="P91" s="19" t="s">
        <v>147</v>
      </c>
      <c r="Q91" s="51" t="s">
        <v>256</v>
      </c>
      <c r="R91" s="19" t="s">
        <v>86</v>
      </c>
      <c r="S91" s="19" t="s">
        <v>49</v>
      </c>
      <c r="T91" s="59">
        <v>45904</v>
      </c>
      <c r="U91" s="4">
        <v>46085</v>
      </c>
      <c r="V91" s="116">
        <f t="shared" ca="1" si="6"/>
        <v>0</v>
      </c>
      <c r="W91" s="116" t="str">
        <f t="shared" ca="1" si="7"/>
        <v>Vencido</v>
      </c>
      <c r="X91" s="19" t="s">
        <v>73</v>
      </c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</row>
    <row r="92" spans="1:205" s="11" customFormat="1" ht="36" customHeight="1">
      <c r="A92" s="142" t="s">
        <v>26</v>
      </c>
      <c r="B92" s="19" t="s">
        <v>257</v>
      </c>
      <c r="C92" s="34">
        <v>7091424</v>
      </c>
      <c r="D92" s="34">
        <v>7</v>
      </c>
      <c r="E92" s="34">
        <v>71</v>
      </c>
      <c r="F92" s="34" t="s">
        <v>28</v>
      </c>
      <c r="G92" s="34" t="s">
        <v>68</v>
      </c>
      <c r="H92" s="34">
        <v>2025</v>
      </c>
      <c r="I92" s="50">
        <v>45723</v>
      </c>
      <c r="J92" s="34" t="s">
        <v>258</v>
      </c>
      <c r="K92" s="34" t="s">
        <v>38</v>
      </c>
      <c r="L92" s="50">
        <v>45694</v>
      </c>
      <c r="M92" s="34" t="s">
        <v>31</v>
      </c>
      <c r="N92" s="45" t="s">
        <v>32</v>
      </c>
      <c r="O92" s="19" t="s">
        <v>45</v>
      </c>
      <c r="P92" s="34" t="s">
        <v>147</v>
      </c>
      <c r="Q92" s="88" t="s">
        <v>85</v>
      </c>
      <c r="R92" s="34" t="s">
        <v>86</v>
      </c>
      <c r="S92" s="34" t="s">
        <v>49</v>
      </c>
      <c r="T92" s="76">
        <v>45964</v>
      </c>
      <c r="U92" s="50">
        <v>46145</v>
      </c>
      <c r="V92" s="116">
        <f t="shared" ca="1" si="6"/>
        <v>60</v>
      </c>
      <c r="W92" s="116" t="str">
        <f t="shared" ca="1" si="7"/>
        <v>Vigente</v>
      </c>
      <c r="X92" s="34" t="s">
        <v>73</v>
      </c>
    </row>
    <row r="93" spans="1:205" s="11" customFormat="1" ht="39" customHeight="1">
      <c r="A93" s="142" t="s">
        <v>26</v>
      </c>
      <c r="B93" s="19" t="s">
        <v>259</v>
      </c>
      <c r="C93" s="34">
        <v>9556706</v>
      </c>
      <c r="D93" s="34">
        <v>1</v>
      </c>
      <c r="E93" s="34">
        <v>63</v>
      </c>
      <c r="F93" s="34" t="s">
        <v>58</v>
      </c>
      <c r="G93" s="34" t="s">
        <v>260</v>
      </c>
      <c r="H93" s="34">
        <v>2025</v>
      </c>
      <c r="I93" s="50">
        <v>45854</v>
      </c>
      <c r="J93" s="34" t="s">
        <v>37</v>
      </c>
      <c r="K93" s="34" t="s">
        <v>31</v>
      </c>
      <c r="L93" s="50">
        <v>45951</v>
      </c>
      <c r="M93" s="34" t="s">
        <v>31</v>
      </c>
      <c r="N93" s="45" t="s">
        <v>32</v>
      </c>
      <c r="O93" s="19" t="s">
        <v>33</v>
      </c>
      <c r="P93" s="34" t="s">
        <v>147</v>
      </c>
      <c r="Q93" s="88" t="s">
        <v>103</v>
      </c>
      <c r="R93" s="34" t="s">
        <v>55</v>
      </c>
      <c r="S93" s="34" t="s">
        <v>94</v>
      </c>
      <c r="T93" s="76">
        <v>45953</v>
      </c>
      <c r="U93" s="50">
        <v>46045</v>
      </c>
      <c r="V93" s="2">
        <f t="shared" ca="1" si="6"/>
        <v>-40</v>
      </c>
      <c r="W93" s="116" t="str">
        <f t="shared" ca="1" si="7"/>
        <v>Vencido</v>
      </c>
      <c r="X93" s="34" t="s">
        <v>73</v>
      </c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</row>
    <row r="94" spans="1:205" s="11" customFormat="1">
      <c r="A94" s="142" t="s">
        <v>26</v>
      </c>
      <c r="B94" s="19" t="s">
        <v>261</v>
      </c>
      <c r="C94" s="34">
        <v>7170792</v>
      </c>
      <c r="D94" s="41" t="s">
        <v>67</v>
      </c>
      <c r="E94" s="34">
        <v>71</v>
      </c>
      <c r="F94" s="34" t="s">
        <v>58</v>
      </c>
      <c r="G94" s="34" t="s">
        <v>29</v>
      </c>
      <c r="H94" s="34" t="s">
        <v>96</v>
      </c>
      <c r="I94" s="34" t="s">
        <v>97</v>
      </c>
      <c r="J94" s="34" t="s">
        <v>83</v>
      </c>
      <c r="K94" s="34" t="s">
        <v>31</v>
      </c>
      <c r="L94" s="34" t="s">
        <v>141</v>
      </c>
      <c r="M94" s="34" t="s">
        <v>31</v>
      </c>
      <c r="N94" s="45" t="s">
        <v>32</v>
      </c>
      <c r="O94" s="19" t="s">
        <v>45</v>
      </c>
      <c r="P94" s="34" t="s">
        <v>84</v>
      </c>
      <c r="Q94" s="88" t="s">
        <v>85</v>
      </c>
      <c r="R94" s="34" t="s">
        <v>86</v>
      </c>
      <c r="S94" s="34" t="s">
        <v>49</v>
      </c>
      <c r="T94" s="76">
        <v>45967</v>
      </c>
      <c r="U94" s="50">
        <v>46148</v>
      </c>
      <c r="V94" s="34">
        <f t="shared" ca="1" si="6"/>
        <v>63</v>
      </c>
      <c r="W94" s="116" t="str">
        <f t="shared" ca="1" si="7"/>
        <v>Vigente</v>
      </c>
      <c r="X94" s="34" t="s">
        <v>73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</row>
    <row r="95" spans="1:205" s="11" customFormat="1" ht="39" customHeight="1">
      <c r="A95" s="142" t="s">
        <v>26</v>
      </c>
      <c r="B95" s="32" t="s">
        <v>262</v>
      </c>
      <c r="C95" s="25">
        <v>10495398</v>
      </c>
      <c r="D95" s="32">
        <v>0</v>
      </c>
      <c r="E95" s="23">
        <v>60</v>
      </c>
      <c r="F95" s="32" t="s">
        <v>58</v>
      </c>
      <c r="G95" s="19" t="s">
        <v>29</v>
      </c>
      <c r="H95" s="19">
        <v>2022</v>
      </c>
      <c r="I95" s="49">
        <v>44588</v>
      </c>
      <c r="J95" s="32" t="s">
        <v>83</v>
      </c>
      <c r="K95" s="32" t="s">
        <v>31</v>
      </c>
      <c r="L95" s="19" t="s">
        <v>96</v>
      </c>
      <c r="M95" s="34" t="s">
        <v>31</v>
      </c>
      <c r="N95" s="45" t="s">
        <v>32</v>
      </c>
      <c r="O95" s="19" t="s">
        <v>45</v>
      </c>
      <c r="P95" s="19" t="s">
        <v>84</v>
      </c>
      <c r="Q95" s="65" t="s">
        <v>125</v>
      </c>
      <c r="R95" s="34" t="s">
        <v>55</v>
      </c>
      <c r="S95" s="34" t="s">
        <v>94</v>
      </c>
      <c r="T95" s="59">
        <v>45952</v>
      </c>
      <c r="U95" s="4">
        <v>46044</v>
      </c>
      <c r="V95" s="2">
        <f t="shared" ca="1" si="6"/>
        <v>-41</v>
      </c>
      <c r="W95" s="116" t="str">
        <f t="shared" ca="1" si="7"/>
        <v>Vencido</v>
      </c>
      <c r="X95" s="19" t="s">
        <v>73</v>
      </c>
    </row>
    <row r="96" spans="1:205" s="11" customFormat="1" ht="41.25" customHeight="1">
      <c r="A96" s="142" t="s">
        <v>26</v>
      </c>
      <c r="B96" s="19" t="s">
        <v>263</v>
      </c>
      <c r="C96" s="24">
        <v>10805189</v>
      </c>
      <c r="D96" s="19">
        <v>2</v>
      </c>
      <c r="E96" s="23">
        <v>58</v>
      </c>
      <c r="F96" s="19" t="s">
        <v>28</v>
      </c>
      <c r="G96" s="19" t="s">
        <v>29</v>
      </c>
      <c r="H96" s="19" t="s">
        <v>96</v>
      </c>
      <c r="I96" s="19" t="s">
        <v>97</v>
      </c>
      <c r="J96" s="19" t="s">
        <v>30</v>
      </c>
      <c r="K96" s="19" t="s">
        <v>31</v>
      </c>
      <c r="L96" s="19" t="s">
        <v>96</v>
      </c>
      <c r="M96" s="34" t="s">
        <v>31</v>
      </c>
      <c r="N96" s="45" t="s">
        <v>32</v>
      </c>
      <c r="O96" s="19" t="s">
        <v>45</v>
      </c>
      <c r="P96" s="19" t="s">
        <v>84</v>
      </c>
      <c r="Q96" s="51" t="s">
        <v>264</v>
      </c>
      <c r="R96" s="34" t="s">
        <v>60</v>
      </c>
      <c r="S96" s="34" t="s">
        <v>49</v>
      </c>
      <c r="T96" s="59">
        <v>45939</v>
      </c>
      <c r="U96" s="4">
        <v>46121</v>
      </c>
      <c r="V96" s="2">
        <f t="shared" ca="1" si="6"/>
        <v>36</v>
      </c>
      <c r="W96" s="116" t="str">
        <f t="shared" ca="1" si="7"/>
        <v>Vigente</v>
      </c>
      <c r="X96" s="19" t="s">
        <v>50</v>
      </c>
    </row>
    <row r="97" spans="1:205" s="12" customFormat="1" ht="39.75" customHeight="1">
      <c r="A97" s="142" t="s">
        <v>26</v>
      </c>
      <c r="B97" s="19" t="s">
        <v>265</v>
      </c>
      <c r="C97" s="34">
        <v>15572191</v>
      </c>
      <c r="D97" s="41" t="s">
        <v>67</v>
      </c>
      <c r="E97" s="34">
        <v>40</v>
      </c>
      <c r="F97" s="34" t="s">
        <v>28</v>
      </c>
      <c r="G97" s="34" t="s">
        <v>29</v>
      </c>
      <c r="H97" s="34">
        <v>2024</v>
      </c>
      <c r="I97" s="50">
        <v>45420</v>
      </c>
      <c r="J97" s="34" t="s">
        <v>37</v>
      </c>
      <c r="K97" s="34" t="s">
        <v>38</v>
      </c>
      <c r="L97" s="50">
        <v>45461</v>
      </c>
      <c r="M97" s="34" t="s">
        <v>44</v>
      </c>
      <c r="N97" s="45" t="s">
        <v>32</v>
      </c>
      <c r="O97" s="19" t="s">
        <v>33</v>
      </c>
      <c r="P97" s="34"/>
      <c r="Q97" s="51" t="s">
        <v>266</v>
      </c>
      <c r="R97" s="34" t="s">
        <v>232</v>
      </c>
      <c r="S97" s="34" t="s">
        <v>49</v>
      </c>
      <c r="T97" s="59">
        <v>46064</v>
      </c>
      <c r="U97" s="4">
        <v>46184</v>
      </c>
      <c r="V97" s="2">
        <f t="shared" ca="1" si="6"/>
        <v>99</v>
      </c>
      <c r="W97" s="116" t="str">
        <f t="shared" ca="1" si="7"/>
        <v>Vigente</v>
      </c>
      <c r="X97" s="34"/>
    </row>
    <row r="98" spans="1:205" s="11" customFormat="1" ht="43.5" customHeight="1">
      <c r="A98" s="142" t="s">
        <v>26</v>
      </c>
      <c r="B98" s="19" t="s">
        <v>267</v>
      </c>
      <c r="C98" s="24">
        <v>11600319</v>
      </c>
      <c r="D98" s="19">
        <v>8</v>
      </c>
      <c r="E98" s="23">
        <v>53</v>
      </c>
      <c r="F98" s="19" t="s">
        <v>28</v>
      </c>
      <c r="G98" s="19" t="s">
        <v>29</v>
      </c>
      <c r="H98" s="19">
        <v>2018</v>
      </c>
      <c r="I98" s="46">
        <v>43319</v>
      </c>
      <c r="J98" s="19" t="s">
        <v>83</v>
      </c>
      <c r="K98" s="19" t="s">
        <v>31</v>
      </c>
      <c r="L98" s="46">
        <v>44565</v>
      </c>
      <c r="M98" s="19" t="s">
        <v>31</v>
      </c>
      <c r="N98" s="45" t="s">
        <v>32</v>
      </c>
      <c r="O98" s="19" t="s">
        <v>33</v>
      </c>
      <c r="P98" s="51" t="s">
        <v>84</v>
      </c>
      <c r="Q98" s="51" t="s">
        <v>268</v>
      </c>
      <c r="R98" s="19" t="s">
        <v>60</v>
      </c>
      <c r="S98" s="19" t="s">
        <v>49</v>
      </c>
      <c r="T98" s="59">
        <v>45883</v>
      </c>
      <c r="U98" s="4">
        <v>46067</v>
      </c>
      <c r="V98" s="2">
        <f t="shared" ca="1" si="6"/>
        <v>-18</v>
      </c>
      <c r="W98" s="116" t="str">
        <f t="shared" ca="1" si="7"/>
        <v>Vencido</v>
      </c>
      <c r="X98" s="19" t="s">
        <v>50</v>
      </c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</row>
    <row r="99" spans="1:205" s="11" customFormat="1" ht="42.75" customHeight="1">
      <c r="A99" s="142" t="s">
        <v>26</v>
      </c>
      <c r="B99" s="19" t="s">
        <v>269</v>
      </c>
      <c r="C99" s="34">
        <v>6097818</v>
      </c>
      <c r="D99" s="34">
        <v>2</v>
      </c>
      <c r="E99" s="34">
        <v>77</v>
      </c>
      <c r="F99" s="34" t="s">
        <v>28</v>
      </c>
      <c r="G99" s="34" t="s">
        <v>68</v>
      </c>
      <c r="H99" s="34">
        <v>2025</v>
      </c>
      <c r="I99" s="50">
        <v>45755</v>
      </c>
      <c r="J99" s="34" t="s">
        <v>37</v>
      </c>
      <c r="K99" s="34" t="s">
        <v>38</v>
      </c>
      <c r="L99" s="50">
        <v>46077</v>
      </c>
      <c r="M99" s="34" t="s">
        <v>90</v>
      </c>
      <c r="N99" s="45" t="s">
        <v>32</v>
      </c>
      <c r="O99" s="19" t="s">
        <v>33</v>
      </c>
      <c r="P99" s="34"/>
      <c r="Q99" s="88" t="s">
        <v>270</v>
      </c>
      <c r="R99" s="34" t="s">
        <v>72</v>
      </c>
      <c r="S99" s="34" t="s">
        <v>271</v>
      </c>
      <c r="T99" s="76">
        <v>46084</v>
      </c>
      <c r="U99" s="50">
        <v>46145</v>
      </c>
      <c r="V99" s="2">
        <f t="shared" ca="1" si="6"/>
        <v>60</v>
      </c>
      <c r="W99" s="116" t="str">
        <f t="shared" ca="1" si="7"/>
        <v>Vigente</v>
      </c>
      <c r="X99" s="34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</row>
    <row r="100" spans="1:205" s="11" customFormat="1" ht="48" customHeight="1">
      <c r="A100" s="142" t="s">
        <v>26</v>
      </c>
      <c r="B100" s="19" t="s">
        <v>272</v>
      </c>
      <c r="C100" s="34">
        <v>10512601</v>
      </c>
      <c r="D100" s="34">
        <v>8</v>
      </c>
      <c r="E100" s="34">
        <v>59</v>
      </c>
      <c r="F100" s="34" t="s">
        <v>28</v>
      </c>
      <c r="G100" s="34" t="s">
        <v>68</v>
      </c>
      <c r="H100" s="34">
        <v>2025</v>
      </c>
      <c r="I100" s="34" t="s">
        <v>273</v>
      </c>
      <c r="J100" s="34" t="s">
        <v>37</v>
      </c>
      <c r="K100" s="34" t="s">
        <v>38</v>
      </c>
      <c r="L100" s="50">
        <v>45839</v>
      </c>
      <c r="M100" s="34" t="s">
        <v>44</v>
      </c>
      <c r="N100" s="83" t="s">
        <v>52</v>
      </c>
      <c r="O100" s="19" t="s">
        <v>45</v>
      </c>
      <c r="P100" s="34"/>
      <c r="Q100" s="34" t="s">
        <v>274</v>
      </c>
      <c r="R100" s="34" t="s">
        <v>48</v>
      </c>
      <c r="S100" s="34" t="s">
        <v>271</v>
      </c>
      <c r="T100" s="50">
        <v>45842</v>
      </c>
      <c r="U100" s="50">
        <v>45904</v>
      </c>
      <c r="V100" s="2">
        <f t="shared" ca="1" si="6"/>
        <v>-181</v>
      </c>
      <c r="W100" s="116" t="str">
        <f t="shared" ca="1" si="7"/>
        <v>Vencido</v>
      </c>
      <c r="X100" s="34"/>
    </row>
    <row r="101" spans="1:205" customFormat="1" ht="36" customHeight="1">
      <c r="A101" s="142" t="s">
        <v>26</v>
      </c>
      <c r="B101" s="19" t="s">
        <v>275</v>
      </c>
      <c r="C101" s="24">
        <v>10635293</v>
      </c>
      <c r="D101" s="19">
        <v>3</v>
      </c>
      <c r="E101" s="23">
        <v>59</v>
      </c>
      <c r="F101" s="19" t="s">
        <v>224</v>
      </c>
      <c r="G101" s="19" t="s">
        <v>29</v>
      </c>
      <c r="H101" s="19">
        <v>2022</v>
      </c>
      <c r="I101" s="46">
        <v>44896</v>
      </c>
      <c r="J101" s="19" t="s">
        <v>30</v>
      </c>
      <c r="K101" s="19" t="s">
        <v>38</v>
      </c>
      <c r="L101" s="46">
        <v>45090</v>
      </c>
      <c r="M101" s="19" t="s">
        <v>31</v>
      </c>
      <c r="N101" s="45" t="s">
        <v>32</v>
      </c>
      <c r="O101" s="19" t="s">
        <v>33</v>
      </c>
      <c r="P101" s="19"/>
      <c r="Q101" s="51" t="s">
        <v>172</v>
      </c>
      <c r="R101" s="2" t="s">
        <v>72</v>
      </c>
      <c r="S101" s="2" t="s">
        <v>49</v>
      </c>
      <c r="T101" s="59">
        <v>45981</v>
      </c>
      <c r="U101" s="4">
        <v>46042</v>
      </c>
      <c r="V101" s="2">
        <f t="shared" ca="1" si="6"/>
        <v>-43</v>
      </c>
      <c r="W101" s="116" t="str">
        <f t="shared" ca="1" si="7"/>
        <v>Vencido</v>
      </c>
      <c r="X101" s="19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</row>
    <row r="102" spans="1:205" s="11" customFormat="1" ht="35.25" customHeight="1">
      <c r="A102" s="142" t="s">
        <v>26</v>
      </c>
      <c r="B102" s="19" t="s">
        <v>276</v>
      </c>
      <c r="C102" s="24">
        <v>13359994</v>
      </c>
      <c r="D102" s="19">
        <v>0</v>
      </c>
      <c r="E102" s="23">
        <v>45</v>
      </c>
      <c r="F102" s="19" t="s">
        <v>58</v>
      </c>
      <c r="G102" s="19" t="s">
        <v>29</v>
      </c>
      <c r="H102" s="19">
        <v>2021</v>
      </c>
      <c r="I102" s="46">
        <v>44362</v>
      </c>
      <c r="J102" s="19" t="s">
        <v>30</v>
      </c>
      <c r="K102" s="19" t="s">
        <v>31</v>
      </c>
      <c r="L102" s="46">
        <v>44481</v>
      </c>
      <c r="M102" s="19" t="s">
        <v>31</v>
      </c>
      <c r="N102" s="45" t="s">
        <v>32</v>
      </c>
      <c r="O102" s="19" t="s">
        <v>33</v>
      </c>
      <c r="P102" s="19" t="s">
        <v>147</v>
      </c>
      <c r="Q102" s="51" t="s">
        <v>88</v>
      </c>
      <c r="R102" s="2" t="s">
        <v>60</v>
      </c>
      <c r="S102" s="2" t="s">
        <v>49</v>
      </c>
      <c r="T102" s="119">
        <v>45876</v>
      </c>
      <c r="U102" s="10">
        <v>46060</v>
      </c>
      <c r="V102" s="116">
        <f t="shared" ca="1" si="6"/>
        <v>-25</v>
      </c>
      <c r="W102" s="116" t="str">
        <f t="shared" ca="1" si="7"/>
        <v>Vencido</v>
      </c>
      <c r="X102" s="19" t="s">
        <v>73</v>
      </c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</row>
    <row r="103" spans="1:205" s="11" customFormat="1" ht="35.25" customHeight="1">
      <c r="A103" s="142" t="s">
        <v>26</v>
      </c>
      <c r="B103" s="19" t="s">
        <v>277</v>
      </c>
      <c r="C103" s="24">
        <v>11161313</v>
      </c>
      <c r="D103" s="19">
        <v>3</v>
      </c>
      <c r="E103" s="23">
        <v>56</v>
      </c>
      <c r="F103" s="19" t="s">
        <v>224</v>
      </c>
      <c r="G103" s="19" t="s">
        <v>29</v>
      </c>
      <c r="H103" s="19" t="s">
        <v>96</v>
      </c>
      <c r="I103" s="19" t="s">
        <v>97</v>
      </c>
      <c r="J103" s="19" t="s">
        <v>83</v>
      </c>
      <c r="K103" s="19" t="s">
        <v>31</v>
      </c>
      <c r="L103" s="19" t="s">
        <v>96</v>
      </c>
      <c r="M103" s="19" t="s">
        <v>31</v>
      </c>
      <c r="N103" s="45" t="s">
        <v>32</v>
      </c>
      <c r="O103" s="19" t="s">
        <v>33</v>
      </c>
      <c r="P103" s="19"/>
      <c r="Q103" s="51" t="s">
        <v>209</v>
      </c>
      <c r="R103" s="2" t="s">
        <v>60</v>
      </c>
      <c r="S103" s="2" t="s">
        <v>49</v>
      </c>
      <c r="T103" s="59">
        <v>45988</v>
      </c>
      <c r="U103" s="61">
        <v>46169</v>
      </c>
      <c r="V103" s="116">
        <f t="shared" ca="1" si="6"/>
        <v>84</v>
      </c>
      <c r="W103" s="116" t="str">
        <f t="shared" ca="1" si="7"/>
        <v>Vigente</v>
      </c>
      <c r="X103" s="19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</row>
    <row r="104" spans="1:205" s="11" customFormat="1" ht="37.5" customHeight="1">
      <c r="A104" s="142" t="s">
        <v>26</v>
      </c>
      <c r="B104" s="19" t="s">
        <v>278</v>
      </c>
      <c r="C104" s="24">
        <v>17362545</v>
      </c>
      <c r="D104" s="19">
        <v>6</v>
      </c>
      <c r="E104" s="23">
        <v>34</v>
      </c>
      <c r="F104" s="19" t="s">
        <v>58</v>
      </c>
      <c r="G104" s="19" t="s">
        <v>29</v>
      </c>
      <c r="H104" s="19">
        <v>2022</v>
      </c>
      <c r="I104" s="46">
        <v>44704</v>
      </c>
      <c r="J104" s="19" t="s">
        <v>30</v>
      </c>
      <c r="K104" s="34" t="s">
        <v>31</v>
      </c>
      <c r="L104" s="46">
        <v>45076</v>
      </c>
      <c r="M104" s="19" t="s">
        <v>31</v>
      </c>
      <c r="N104" s="45" t="s">
        <v>32</v>
      </c>
      <c r="O104" s="19" t="s">
        <v>45</v>
      </c>
      <c r="P104" s="19" t="s">
        <v>147</v>
      </c>
      <c r="Q104" s="51" t="s">
        <v>107</v>
      </c>
      <c r="R104" s="19" t="s">
        <v>55</v>
      </c>
      <c r="S104" s="19" t="s">
        <v>49</v>
      </c>
      <c r="T104" s="59">
        <v>45939</v>
      </c>
      <c r="U104" s="4">
        <v>46031</v>
      </c>
      <c r="V104" s="116">
        <f t="shared" ca="1" si="6"/>
        <v>-54</v>
      </c>
      <c r="W104" s="116" t="str">
        <f t="shared" ca="1" si="7"/>
        <v>Vencido</v>
      </c>
      <c r="X104" s="19" t="s">
        <v>73</v>
      </c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</row>
    <row r="105" spans="1:205" ht="40.15" customHeight="1">
      <c r="A105" s="142" t="s">
        <v>26</v>
      </c>
      <c r="B105" s="19" t="s">
        <v>279</v>
      </c>
      <c r="C105" s="17">
        <v>15575349</v>
      </c>
      <c r="D105" s="34">
        <v>8</v>
      </c>
      <c r="E105" s="34">
        <v>31</v>
      </c>
      <c r="F105" s="34" t="s">
        <v>58</v>
      </c>
      <c r="G105" s="34" t="s">
        <v>68</v>
      </c>
      <c r="H105" s="34">
        <v>2025</v>
      </c>
      <c r="I105" s="50">
        <v>45679</v>
      </c>
      <c r="J105" s="34" t="s">
        <v>37</v>
      </c>
      <c r="K105" s="34" t="s">
        <v>38</v>
      </c>
      <c r="L105" s="50">
        <v>45720</v>
      </c>
      <c r="M105" s="34" t="s">
        <v>31</v>
      </c>
      <c r="N105" s="45" t="s">
        <v>32</v>
      </c>
      <c r="O105" s="19" t="s">
        <v>45</v>
      </c>
      <c r="P105" s="34" t="s">
        <v>147</v>
      </c>
      <c r="Q105" s="88" t="s">
        <v>103</v>
      </c>
      <c r="R105" s="34" t="s">
        <v>112</v>
      </c>
      <c r="S105" s="34" t="s">
        <v>94</v>
      </c>
      <c r="T105" s="76">
        <v>45925</v>
      </c>
      <c r="U105" s="50">
        <v>46016</v>
      </c>
      <c r="V105" s="116">
        <f t="shared" ca="1" si="6"/>
        <v>-69</v>
      </c>
      <c r="W105" s="116" t="str">
        <f t="shared" ca="1" si="7"/>
        <v>Vencido</v>
      </c>
      <c r="X105" s="34" t="s">
        <v>73</v>
      </c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</row>
    <row r="106" spans="1:205" s="11" customFormat="1" ht="36.6" customHeight="1">
      <c r="A106" s="142" t="s">
        <v>26</v>
      </c>
      <c r="B106" s="19" t="s">
        <v>280</v>
      </c>
      <c r="C106" s="19">
        <v>10446968</v>
      </c>
      <c r="D106" s="33" t="s">
        <v>144</v>
      </c>
      <c r="E106" s="19">
        <v>55</v>
      </c>
      <c r="F106" s="19" t="s">
        <v>58</v>
      </c>
      <c r="G106" s="19" t="s">
        <v>29</v>
      </c>
      <c r="H106" s="19">
        <v>2024</v>
      </c>
      <c r="I106" s="46">
        <v>45309</v>
      </c>
      <c r="J106" s="19" t="s">
        <v>37</v>
      </c>
      <c r="K106" s="19" t="s">
        <v>38</v>
      </c>
      <c r="L106" s="46">
        <v>45671</v>
      </c>
      <c r="M106" s="19" t="s">
        <v>31</v>
      </c>
      <c r="N106" s="45" t="s">
        <v>32</v>
      </c>
      <c r="O106" s="19" t="s">
        <v>33</v>
      </c>
      <c r="P106" s="19"/>
      <c r="Q106" s="51" t="s">
        <v>88</v>
      </c>
      <c r="R106" s="19" t="s">
        <v>60</v>
      </c>
      <c r="S106" s="19" t="s">
        <v>49</v>
      </c>
      <c r="T106" s="59">
        <v>46030</v>
      </c>
      <c r="U106" s="4">
        <v>46211</v>
      </c>
      <c r="V106" s="116">
        <f t="shared" ca="1" si="6"/>
        <v>126</v>
      </c>
      <c r="W106" s="116" t="str">
        <f t="shared" ca="1" si="7"/>
        <v>Vigente</v>
      </c>
      <c r="X106" s="19"/>
    </row>
    <row r="107" spans="1:205" s="11" customFormat="1" ht="39.6" customHeight="1">
      <c r="A107" s="142" t="s">
        <v>26</v>
      </c>
      <c r="B107" s="19" t="s">
        <v>281</v>
      </c>
      <c r="C107" s="19">
        <v>7563362</v>
      </c>
      <c r="D107" s="19">
        <v>9</v>
      </c>
      <c r="E107" s="19">
        <v>66</v>
      </c>
      <c r="F107" s="19" t="s">
        <v>28</v>
      </c>
      <c r="G107" s="19" t="s">
        <v>29</v>
      </c>
      <c r="H107" s="19">
        <v>2023</v>
      </c>
      <c r="I107" s="46">
        <v>45252</v>
      </c>
      <c r="J107" s="19" t="s">
        <v>37</v>
      </c>
      <c r="K107" s="19" t="s">
        <v>31</v>
      </c>
      <c r="L107" s="46">
        <v>45321</v>
      </c>
      <c r="M107" s="19" t="s">
        <v>31</v>
      </c>
      <c r="N107" s="45" t="s">
        <v>32</v>
      </c>
      <c r="O107" s="19" t="s">
        <v>45</v>
      </c>
      <c r="P107" s="19" t="s">
        <v>84</v>
      </c>
      <c r="Q107" s="51" t="s">
        <v>85</v>
      </c>
      <c r="R107" s="19" t="s">
        <v>86</v>
      </c>
      <c r="S107" s="19" t="s">
        <v>49</v>
      </c>
      <c r="T107" s="59">
        <v>45939</v>
      </c>
      <c r="U107" s="4">
        <v>46090</v>
      </c>
      <c r="V107" s="2">
        <f t="shared" ca="1" si="6"/>
        <v>5</v>
      </c>
      <c r="W107" s="116" t="str">
        <f t="shared" ca="1" si="7"/>
        <v>Por Vencer</v>
      </c>
      <c r="X107" s="19" t="s">
        <v>73</v>
      </c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</row>
    <row r="108" spans="1:205" s="11" customFormat="1" ht="31.5" customHeight="1">
      <c r="A108" s="142" t="s">
        <v>26</v>
      </c>
      <c r="B108" s="19" t="s">
        <v>282</v>
      </c>
      <c r="C108" s="34">
        <v>20092879</v>
      </c>
      <c r="D108" s="34">
        <v>2</v>
      </c>
      <c r="E108" s="34">
        <v>25</v>
      </c>
      <c r="F108" s="34" t="s">
        <v>58</v>
      </c>
      <c r="G108" s="34" t="s">
        <v>68</v>
      </c>
      <c r="H108" s="34">
        <v>2024</v>
      </c>
      <c r="I108" s="50">
        <v>45624</v>
      </c>
      <c r="J108" s="34" t="s">
        <v>37</v>
      </c>
      <c r="K108" s="34" t="s">
        <v>31</v>
      </c>
      <c r="L108" s="50">
        <v>45734</v>
      </c>
      <c r="M108" s="34" t="s">
        <v>31</v>
      </c>
      <c r="N108" s="45" t="s">
        <v>32</v>
      </c>
      <c r="O108" s="19" t="s">
        <v>33</v>
      </c>
      <c r="P108" s="34"/>
      <c r="Q108" s="88" t="s">
        <v>283</v>
      </c>
      <c r="R108" s="34" t="s">
        <v>48</v>
      </c>
      <c r="S108" s="34" t="s">
        <v>49</v>
      </c>
      <c r="T108" s="76">
        <v>45979</v>
      </c>
      <c r="U108" s="50">
        <v>46009</v>
      </c>
      <c r="V108" s="2">
        <f t="shared" ca="1" si="6"/>
        <v>-76</v>
      </c>
      <c r="W108" s="116" t="str">
        <f t="shared" ca="1" si="7"/>
        <v>Vencido</v>
      </c>
      <c r="X108" s="34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</row>
    <row r="109" spans="1:205" s="12" customFormat="1" ht="37.5" customHeight="1">
      <c r="A109" s="142" t="s">
        <v>26</v>
      </c>
      <c r="B109" s="19" t="s">
        <v>284</v>
      </c>
      <c r="C109" s="24">
        <v>19301379</v>
      </c>
      <c r="D109" s="19">
        <v>1</v>
      </c>
      <c r="E109" s="23">
        <v>28</v>
      </c>
      <c r="F109" s="19" t="s">
        <v>28</v>
      </c>
      <c r="G109" s="19" t="s">
        <v>29</v>
      </c>
      <c r="H109" s="19">
        <v>2021</v>
      </c>
      <c r="I109" s="46">
        <v>44357</v>
      </c>
      <c r="J109" s="19" t="s">
        <v>30</v>
      </c>
      <c r="K109" s="19" t="s">
        <v>31</v>
      </c>
      <c r="L109" s="46">
        <v>44629</v>
      </c>
      <c r="M109" s="19" t="s">
        <v>31</v>
      </c>
      <c r="N109" s="45" t="s">
        <v>32</v>
      </c>
      <c r="O109" s="19" t="s">
        <v>33</v>
      </c>
      <c r="P109" s="19" t="s">
        <v>147</v>
      </c>
      <c r="Q109" s="51" t="s">
        <v>123</v>
      </c>
      <c r="R109" s="19" t="s">
        <v>60</v>
      </c>
      <c r="S109" s="2" t="s">
        <v>49</v>
      </c>
      <c r="T109" s="59">
        <v>45841</v>
      </c>
      <c r="U109" s="4">
        <v>46025</v>
      </c>
      <c r="V109" s="2">
        <f t="shared" ca="1" si="6"/>
        <v>-60</v>
      </c>
      <c r="W109" s="116" t="str">
        <f t="shared" ca="1" si="7"/>
        <v>Vencido</v>
      </c>
      <c r="X109" s="19" t="s">
        <v>73</v>
      </c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</row>
    <row r="110" spans="1:205" s="12" customFormat="1" ht="37.5" customHeight="1">
      <c r="A110" s="142" t="s">
        <v>26</v>
      </c>
      <c r="B110" s="19" t="s">
        <v>285</v>
      </c>
      <c r="C110" s="63">
        <v>14208362</v>
      </c>
      <c r="D110" s="34">
        <v>0</v>
      </c>
      <c r="E110" s="34">
        <v>43</v>
      </c>
      <c r="F110" s="34" t="s">
        <v>36</v>
      </c>
      <c r="G110" s="34" t="s">
        <v>260</v>
      </c>
      <c r="H110" s="34"/>
      <c r="I110" s="34"/>
      <c r="J110" s="34"/>
      <c r="K110" s="34"/>
      <c r="L110" s="34"/>
      <c r="M110" s="34" t="s">
        <v>31</v>
      </c>
      <c r="N110" s="45" t="s">
        <v>32</v>
      </c>
      <c r="O110" s="19" t="s">
        <v>33</v>
      </c>
      <c r="P110" s="34" t="s">
        <v>147</v>
      </c>
      <c r="Q110" s="88" t="s">
        <v>286</v>
      </c>
      <c r="R110" s="34" t="s">
        <v>60</v>
      </c>
      <c r="S110" s="34" t="s">
        <v>94</v>
      </c>
      <c r="T110" s="59">
        <v>45876</v>
      </c>
      <c r="U110" s="4">
        <v>46060</v>
      </c>
      <c r="V110" s="2">
        <f t="shared" ca="1" si="6"/>
        <v>-25</v>
      </c>
      <c r="W110" s="116" t="str">
        <f t="shared" ca="1" si="7"/>
        <v>Vencido</v>
      </c>
      <c r="X110" s="34" t="s">
        <v>73</v>
      </c>
    </row>
    <row r="111" spans="1:205" s="12" customFormat="1" ht="37.5">
      <c r="A111" s="142" t="s">
        <v>26</v>
      </c>
      <c r="B111" s="19" t="s">
        <v>287</v>
      </c>
      <c r="C111" s="24">
        <v>12396638</v>
      </c>
      <c r="D111" s="19">
        <v>4</v>
      </c>
      <c r="E111" s="23">
        <v>50</v>
      </c>
      <c r="F111" s="19" t="s">
        <v>58</v>
      </c>
      <c r="G111" s="19" t="s">
        <v>29</v>
      </c>
      <c r="H111" s="19">
        <v>2022</v>
      </c>
      <c r="I111" s="46">
        <v>44589</v>
      </c>
      <c r="J111" s="19" t="s">
        <v>83</v>
      </c>
      <c r="K111" s="19" t="s">
        <v>31</v>
      </c>
      <c r="L111" s="46">
        <v>44847</v>
      </c>
      <c r="M111" s="19" t="s">
        <v>31</v>
      </c>
      <c r="N111" s="45" t="s">
        <v>32</v>
      </c>
      <c r="O111" s="19" t="s">
        <v>33</v>
      </c>
      <c r="P111" s="19"/>
      <c r="Q111" s="51" t="s">
        <v>288</v>
      </c>
      <c r="R111" s="149" t="s">
        <v>60</v>
      </c>
      <c r="S111" s="2" t="s">
        <v>49</v>
      </c>
      <c r="T111" s="59">
        <v>46065</v>
      </c>
      <c r="U111" s="4">
        <v>46246</v>
      </c>
      <c r="V111" s="2">
        <f t="shared" ca="1" si="6"/>
        <v>161</v>
      </c>
      <c r="W111" s="116" t="str">
        <f t="shared" ca="1" si="7"/>
        <v>Vigente</v>
      </c>
      <c r="X111" s="19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</row>
    <row r="112" spans="1:205">
      <c r="A112" s="142" t="s">
        <v>26</v>
      </c>
      <c r="B112" s="19" t="s">
        <v>289</v>
      </c>
      <c r="C112" s="24">
        <v>16565791</v>
      </c>
      <c r="D112" s="19">
        <v>8</v>
      </c>
      <c r="E112" s="23">
        <v>37</v>
      </c>
      <c r="F112" s="19" t="s">
        <v>28</v>
      </c>
      <c r="G112" s="19" t="s">
        <v>29</v>
      </c>
      <c r="H112" s="19">
        <v>2022</v>
      </c>
      <c r="I112" s="46">
        <v>44816</v>
      </c>
      <c r="J112" s="19" t="s">
        <v>30</v>
      </c>
      <c r="K112" s="19" t="s">
        <v>38</v>
      </c>
      <c r="L112" s="46">
        <v>44915</v>
      </c>
      <c r="M112" s="19" t="s">
        <v>31</v>
      </c>
      <c r="N112" s="45" t="s">
        <v>32</v>
      </c>
      <c r="O112" s="19" t="s">
        <v>45</v>
      </c>
      <c r="P112" s="19" t="s">
        <v>147</v>
      </c>
      <c r="Q112" s="51" t="s">
        <v>209</v>
      </c>
      <c r="R112" s="19" t="s">
        <v>290</v>
      </c>
      <c r="S112" s="2" t="s">
        <v>49</v>
      </c>
      <c r="T112" s="59">
        <v>45392</v>
      </c>
      <c r="U112" s="4">
        <v>45575</v>
      </c>
      <c r="V112" s="2">
        <f t="shared" ca="1" si="6"/>
        <v>-510</v>
      </c>
      <c r="W112" s="116" t="str">
        <f t="shared" ca="1" si="7"/>
        <v>Vencido</v>
      </c>
      <c r="X112" s="19" t="s">
        <v>73</v>
      </c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</row>
    <row r="113" spans="1:205" ht="42" customHeight="1">
      <c r="A113" s="142" t="s">
        <v>26</v>
      </c>
      <c r="B113" s="19" t="s">
        <v>291</v>
      </c>
      <c r="C113" s="34">
        <v>17736169</v>
      </c>
      <c r="D113" s="34">
        <v>0</v>
      </c>
      <c r="E113" s="34">
        <v>34</v>
      </c>
      <c r="F113" s="34" t="s">
        <v>28</v>
      </c>
      <c r="G113" s="34" t="s">
        <v>68</v>
      </c>
      <c r="H113" s="34"/>
      <c r="I113" s="34"/>
      <c r="J113" s="34"/>
      <c r="K113" s="34" t="s">
        <v>31</v>
      </c>
      <c r="L113" s="34" t="s">
        <v>141</v>
      </c>
      <c r="M113" s="34"/>
      <c r="N113" s="45" t="s">
        <v>32</v>
      </c>
      <c r="O113" s="19" t="s">
        <v>33</v>
      </c>
      <c r="P113" s="34"/>
      <c r="Q113" s="88" t="s">
        <v>292</v>
      </c>
      <c r="R113" s="34" t="s">
        <v>60</v>
      </c>
      <c r="S113" s="34" t="s">
        <v>49</v>
      </c>
      <c r="T113" s="76">
        <v>45995</v>
      </c>
      <c r="U113" s="50">
        <v>46177</v>
      </c>
      <c r="V113" s="116">
        <f t="shared" ca="1" si="6"/>
        <v>92</v>
      </c>
      <c r="W113" s="116" t="str">
        <f t="shared" ca="1" si="7"/>
        <v>Vigente</v>
      </c>
      <c r="X113" s="34"/>
    </row>
    <row r="114" spans="1:205" s="12" customFormat="1" ht="27" customHeight="1">
      <c r="A114" s="142" t="s">
        <v>26</v>
      </c>
      <c r="B114" s="19" t="s">
        <v>293</v>
      </c>
      <c r="C114" s="31">
        <v>16162413</v>
      </c>
      <c r="D114" s="30">
        <v>6</v>
      </c>
      <c r="E114" s="23">
        <v>38</v>
      </c>
      <c r="F114" s="30" t="s">
        <v>109</v>
      </c>
      <c r="G114" s="19" t="s">
        <v>29</v>
      </c>
      <c r="H114" s="19" t="s">
        <v>96</v>
      </c>
      <c r="I114" s="19" t="s">
        <v>97</v>
      </c>
      <c r="J114" s="132" t="s">
        <v>83</v>
      </c>
      <c r="K114" s="30" t="s">
        <v>31</v>
      </c>
      <c r="L114" s="19" t="s">
        <v>96</v>
      </c>
      <c r="M114" s="34" t="s">
        <v>31</v>
      </c>
      <c r="N114" s="45" t="s">
        <v>32</v>
      </c>
      <c r="O114" s="19" t="s">
        <v>33</v>
      </c>
      <c r="P114" s="19" t="s">
        <v>294</v>
      </c>
      <c r="Q114" s="51" t="s">
        <v>295</v>
      </c>
      <c r="R114" s="34" t="s">
        <v>232</v>
      </c>
      <c r="S114" s="34" t="s">
        <v>49</v>
      </c>
      <c r="T114" s="59">
        <v>45847</v>
      </c>
      <c r="U114" s="4">
        <v>45970</v>
      </c>
      <c r="V114" s="2">
        <f t="shared" ca="1" si="6"/>
        <v>-115</v>
      </c>
      <c r="W114" s="116" t="str">
        <f t="shared" ca="1" si="7"/>
        <v>Vencido</v>
      </c>
      <c r="X114" s="19" t="s">
        <v>50</v>
      </c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</row>
    <row r="115" spans="1:205" customFormat="1" ht="38.450000000000003" customHeight="1">
      <c r="A115" s="143" t="s">
        <v>26</v>
      </c>
      <c r="B115" s="19" t="s">
        <v>296</v>
      </c>
      <c r="C115" s="35">
        <v>13976258</v>
      </c>
      <c r="D115" s="34">
        <v>4</v>
      </c>
      <c r="E115" s="36">
        <v>42</v>
      </c>
      <c r="F115" s="34" t="s">
        <v>28</v>
      </c>
      <c r="G115" s="34" t="s">
        <v>29</v>
      </c>
      <c r="H115" s="34">
        <v>2023</v>
      </c>
      <c r="I115" s="50">
        <v>45166</v>
      </c>
      <c r="J115" s="34" t="s">
        <v>30</v>
      </c>
      <c r="K115" s="34" t="s">
        <v>31</v>
      </c>
      <c r="L115" s="34" t="s">
        <v>96</v>
      </c>
      <c r="M115" s="34" t="s">
        <v>31</v>
      </c>
      <c r="N115" s="45" t="s">
        <v>32</v>
      </c>
      <c r="O115" s="19" t="s">
        <v>33</v>
      </c>
      <c r="P115" s="19"/>
      <c r="Q115" s="51" t="s">
        <v>135</v>
      </c>
      <c r="R115" s="34" t="s">
        <v>55</v>
      </c>
      <c r="S115" s="34" t="s">
        <v>49</v>
      </c>
      <c r="T115" s="59">
        <v>45981</v>
      </c>
      <c r="U115" s="4">
        <v>46073</v>
      </c>
      <c r="V115" s="2">
        <f t="shared" ca="1" si="6"/>
        <v>-12</v>
      </c>
      <c r="W115" s="116" t="str">
        <f t="shared" ca="1" si="7"/>
        <v>Vencido</v>
      </c>
      <c r="X115" s="19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</row>
    <row r="116" spans="1:205" s="11" customFormat="1" ht="42.75" customHeight="1">
      <c r="A116" s="143" t="s">
        <v>26</v>
      </c>
      <c r="B116" s="19" t="s">
        <v>297</v>
      </c>
      <c r="C116" s="24">
        <v>8364346</v>
      </c>
      <c r="D116" s="19">
        <v>3</v>
      </c>
      <c r="E116" s="23">
        <v>64</v>
      </c>
      <c r="F116" s="19" t="s">
        <v>58</v>
      </c>
      <c r="G116" s="19" t="s">
        <v>29</v>
      </c>
      <c r="H116" s="19" t="s">
        <v>96</v>
      </c>
      <c r="I116" s="19" t="s">
        <v>97</v>
      </c>
      <c r="J116" s="19" t="s">
        <v>83</v>
      </c>
      <c r="K116" s="19" t="s">
        <v>31</v>
      </c>
      <c r="L116" s="19" t="s">
        <v>96</v>
      </c>
      <c r="M116" s="34" t="s">
        <v>31</v>
      </c>
      <c r="N116" s="45" t="s">
        <v>32</v>
      </c>
      <c r="O116" s="19" t="s">
        <v>45</v>
      </c>
      <c r="P116" s="19" t="s">
        <v>147</v>
      </c>
      <c r="Q116" s="65" t="s">
        <v>88</v>
      </c>
      <c r="R116" s="34" t="s">
        <v>86</v>
      </c>
      <c r="S116" s="34" t="s">
        <v>49</v>
      </c>
      <c r="T116" s="59">
        <v>45911</v>
      </c>
      <c r="U116" s="4">
        <v>46092</v>
      </c>
      <c r="V116" s="2">
        <f t="shared" ca="1" si="6"/>
        <v>7</v>
      </c>
      <c r="W116" s="116" t="str">
        <f t="shared" ca="1" si="7"/>
        <v>Por Vencer</v>
      </c>
      <c r="X116" s="19" t="s">
        <v>73</v>
      </c>
    </row>
    <row r="117" spans="1:205" s="12" customFormat="1">
      <c r="A117" s="143" t="s">
        <v>26</v>
      </c>
      <c r="B117" s="19" t="s">
        <v>298</v>
      </c>
      <c r="C117" s="24">
        <v>11939041</v>
      </c>
      <c r="D117" s="19">
        <v>9</v>
      </c>
      <c r="E117" s="23">
        <v>52</v>
      </c>
      <c r="F117" s="19" t="s">
        <v>28</v>
      </c>
      <c r="G117" s="19" t="s">
        <v>29</v>
      </c>
      <c r="H117" s="19">
        <v>2020</v>
      </c>
      <c r="I117" s="46">
        <v>44061</v>
      </c>
      <c r="J117" s="19" t="s">
        <v>83</v>
      </c>
      <c r="K117" s="19" t="s">
        <v>31</v>
      </c>
      <c r="L117" s="46">
        <v>45056</v>
      </c>
      <c r="M117" s="34" t="s">
        <v>31</v>
      </c>
      <c r="N117" s="45" t="s">
        <v>32</v>
      </c>
      <c r="O117" s="19" t="s">
        <v>33</v>
      </c>
      <c r="P117" s="19"/>
      <c r="Q117" s="51" t="s">
        <v>299</v>
      </c>
      <c r="R117" s="63" t="s">
        <v>60</v>
      </c>
      <c r="S117" s="34" t="s">
        <v>49</v>
      </c>
      <c r="T117" s="59">
        <v>45981</v>
      </c>
      <c r="U117" s="4">
        <v>46162</v>
      </c>
      <c r="V117" s="116">
        <f t="shared" ca="1" si="6"/>
        <v>77</v>
      </c>
      <c r="W117" s="116" t="str">
        <f t="shared" ca="1" si="7"/>
        <v>Vigente</v>
      </c>
      <c r="X117" s="19"/>
    </row>
    <row r="118" spans="1:205" s="11" customFormat="1" ht="36" customHeight="1">
      <c r="A118" s="143" t="s">
        <v>26</v>
      </c>
      <c r="B118" s="19" t="s">
        <v>300</v>
      </c>
      <c r="C118" s="34">
        <v>14371006</v>
      </c>
      <c r="D118" s="34">
        <v>8</v>
      </c>
      <c r="E118" s="34">
        <v>54</v>
      </c>
      <c r="F118" s="34" t="s">
        <v>28</v>
      </c>
      <c r="G118" s="34" t="s">
        <v>68</v>
      </c>
      <c r="H118" s="34">
        <v>2025</v>
      </c>
      <c r="I118" s="50">
        <v>45873</v>
      </c>
      <c r="J118" s="34" t="s">
        <v>258</v>
      </c>
      <c r="K118" s="34" t="s">
        <v>38</v>
      </c>
      <c r="L118" s="50">
        <v>45722</v>
      </c>
      <c r="M118" s="34" t="s">
        <v>44</v>
      </c>
      <c r="N118" s="83" t="s">
        <v>52</v>
      </c>
      <c r="O118" s="19" t="s">
        <v>45</v>
      </c>
      <c r="P118" s="34"/>
      <c r="Q118" s="34" t="s">
        <v>274</v>
      </c>
      <c r="R118" s="34" t="s">
        <v>301</v>
      </c>
      <c r="S118" s="34" t="s">
        <v>271</v>
      </c>
      <c r="T118" s="76">
        <v>45813</v>
      </c>
      <c r="U118" s="50">
        <v>45843</v>
      </c>
      <c r="V118" s="2">
        <f t="shared" ca="1" si="6"/>
        <v>-242</v>
      </c>
      <c r="W118" s="116" t="str">
        <f t="shared" ca="1" si="7"/>
        <v>Vencido</v>
      </c>
      <c r="X118" s="34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</row>
    <row r="119" spans="1:205" s="11" customFormat="1" ht="36" customHeight="1">
      <c r="A119" s="143" t="s">
        <v>158</v>
      </c>
      <c r="B119" s="19" t="s">
        <v>302</v>
      </c>
      <c r="C119" s="73">
        <v>15572588</v>
      </c>
      <c r="D119" s="73">
        <v>5</v>
      </c>
      <c r="E119" s="73">
        <v>42</v>
      </c>
      <c r="F119" s="73"/>
      <c r="G119" s="73" t="s">
        <v>68</v>
      </c>
      <c r="H119" s="73">
        <v>2025</v>
      </c>
      <c r="I119" s="137">
        <v>45916</v>
      </c>
      <c r="J119" s="73"/>
      <c r="K119" s="73" t="s">
        <v>38</v>
      </c>
      <c r="L119" s="76">
        <v>45944</v>
      </c>
      <c r="M119" s="73" t="s">
        <v>31</v>
      </c>
      <c r="N119" s="83" t="s">
        <v>52</v>
      </c>
      <c r="O119" s="19" t="s">
        <v>33</v>
      </c>
      <c r="P119" s="34"/>
      <c r="Q119" s="73" t="s">
        <v>303</v>
      </c>
      <c r="R119" s="73" t="s">
        <v>301</v>
      </c>
      <c r="S119" s="50" t="s">
        <v>94</v>
      </c>
      <c r="T119" s="76">
        <v>45925</v>
      </c>
      <c r="U119" s="50">
        <v>45955</v>
      </c>
      <c r="V119" s="2">
        <f t="shared" ca="1" si="6"/>
        <v>-130</v>
      </c>
      <c r="W119" s="116" t="str">
        <f t="shared" ca="1" si="7"/>
        <v>Vencido</v>
      </c>
      <c r="X119" s="34" t="s">
        <v>73</v>
      </c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</row>
    <row r="120" spans="1:205" s="11" customFormat="1" ht="36" customHeight="1">
      <c r="A120" s="143" t="s">
        <v>158</v>
      </c>
      <c r="B120" s="19" t="s">
        <v>304</v>
      </c>
      <c r="C120" s="73">
        <v>26807519</v>
      </c>
      <c r="D120" s="73">
        <v>4</v>
      </c>
      <c r="E120" s="73">
        <v>57</v>
      </c>
      <c r="F120" s="73" t="s">
        <v>28</v>
      </c>
      <c r="G120" s="73" t="s">
        <v>29</v>
      </c>
      <c r="H120" s="73">
        <v>2025</v>
      </c>
      <c r="I120" s="137">
        <v>45959</v>
      </c>
      <c r="J120" s="73"/>
      <c r="K120" s="73" t="s">
        <v>38</v>
      </c>
      <c r="L120" s="76">
        <v>45972</v>
      </c>
      <c r="M120" s="73" t="s">
        <v>44</v>
      </c>
      <c r="N120" s="83" t="s">
        <v>52</v>
      </c>
      <c r="O120" s="19" t="s">
        <v>33</v>
      </c>
      <c r="P120" s="34"/>
      <c r="Q120" s="73" t="s">
        <v>305</v>
      </c>
      <c r="R120" s="73" t="s">
        <v>301</v>
      </c>
      <c r="S120" s="50" t="s">
        <v>56</v>
      </c>
      <c r="T120" s="76">
        <v>45979</v>
      </c>
      <c r="U120" s="50">
        <v>46009</v>
      </c>
      <c r="V120" s="2">
        <f t="shared" ca="1" si="6"/>
        <v>-76</v>
      </c>
      <c r="W120" s="116" t="str">
        <f t="shared" ca="1" si="7"/>
        <v>Vencido</v>
      </c>
      <c r="X120" s="34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</row>
    <row r="121" spans="1:205" s="11" customFormat="1" ht="40.5" customHeight="1">
      <c r="A121" s="142" t="s">
        <v>26</v>
      </c>
      <c r="B121" s="19" t="s">
        <v>306</v>
      </c>
      <c r="C121" s="122">
        <v>10947627</v>
      </c>
      <c r="D121" s="38">
        <v>7</v>
      </c>
      <c r="E121" s="124">
        <v>53</v>
      </c>
      <c r="F121" s="38" t="s">
        <v>109</v>
      </c>
      <c r="G121" s="38" t="s">
        <v>29</v>
      </c>
      <c r="H121" s="38" t="s">
        <v>96</v>
      </c>
      <c r="I121" s="12" t="s">
        <v>97</v>
      </c>
      <c r="J121" s="38" t="s">
        <v>83</v>
      </c>
      <c r="K121" s="38" t="s">
        <v>31</v>
      </c>
      <c r="L121" s="38" t="s">
        <v>96</v>
      </c>
      <c r="M121" s="73" t="s">
        <v>31</v>
      </c>
      <c r="N121" s="45" t="s">
        <v>32</v>
      </c>
      <c r="O121" s="19" t="s">
        <v>33</v>
      </c>
      <c r="P121" s="19" t="s">
        <v>147</v>
      </c>
      <c r="Q121" s="134" t="s">
        <v>88</v>
      </c>
      <c r="R121" s="73" t="s">
        <v>60</v>
      </c>
      <c r="S121" s="34" t="s">
        <v>49</v>
      </c>
      <c r="T121" s="59">
        <v>45806</v>
      </c>
      <c r="U121" s="4">
        <v>45990</v>
      </c>
      <c r="V121" s="116">
        <f t="shared" ca="1" si="6"/>
        <v>-95</v>
      </c>
      <c r="W121" s="116" t="str">
        <f t="shared" ca="1" si="7"/>
        <v>Vencido</v>
      </c>
      <c r="X121" s="19" t="s">
        <v>73</v>
      </c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</row>
    <row r="122" spans="1:205" s="11" customFormat="1" ht="42.75" customHeight="1">
      <c r="A122" s="142" t="s">
        <v>26</v>
      </c>
      <c r="B122" s="19" t="s">
        <v>307</v>
      </c>
      <c r="C122" s="31">
        <v>11162628</v>
      </c>
      <c r="D122" s="132">
        <v>6</v>
      </c>
      <c r="E122" s="23">
        <v>56</v>
      </c>
      <c r="F122" s="30" t="s">
        <v>28</v>
      </c>
      <c r="G122" s="19" t="s">
        <v>29</v>
      </c>
      <c r="H122" s="19">
        <v>2016</v>
      </c>
      <c r="I122" s="133">
        <v>42615</v>
      </c>
      <c r="J122" s="30" t="s">
        <v>83</v>
      </c>
      <c r="K122" s="30" t="s">
        <v>31</v>
      </c>
      <c r="L122" s="30" t="s">
        <v>96</v>
      </c>
      <c r="M122" s="34" t="s">
        <v>31</v>
      </c>
      <c r="N122" s="45" t="s">
        <v>32</v>
      </c>
      <c r="O122" s="19" t="s">
        <v>45</v>
      </c>
      <c r="P122" s="19" t="s">
        <v>147</v>
      </c>
      <c r="Q122" s="51" t="s">
        <v>103</v>
      </c>
      <c r="R122" s="34" t="s">
        <v>55</v>
      </c>
      <c r="S122" s="19" t="s">
        <v>49</v>
      </c>
      <c r="T122" s="59">
        <v>45561</v>
      </c>
      <c r="U122" s="4">
        <v>45652</v>
      </c>
      <c r="V122" s="2">
        <f t="shared" ref="V122:V152" ca="1" si="8">U122-TODAY()</f>
        <v>-433</v>
      </c>
      <c r="W122" s="116" t="str">
        <f t="shared" ref="W122:W152" ca="1" si="9">IF(V122&gt;=20,"Vigente",IF(AND(V122&gt;=1,V122&lt;=20),"Por Vencer","Vencido"))</f>
        <v>Vencido</v>
      </c>
      <c r="X122" s="19" t="s">
        <v>73</v>
      </c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</row>
    <row r="123" spans="1:205" s="12" customFormat="1" ht="39.75" customHeight="1">
      <c r="A123" s="142" t="s">
        <v>26</v>
      </c>
      <c r="B123" s="19" t="s">
        <v>308</v>
      </c>
      <c r="C123" s="34">
        <v>4711705</v>
      </c>
      <c r="D123" s="34">
        <v>4</v>
      </c>
      <c r="E123" s="34">
        <v>78</v>
      </c>
      <c r="F123" s="34" t="s">
        <v>36</v>
      </c>
      <c r="G123" s="34" t="s">
        <v>29</v>
      </c>
      <c r="H123" s="34">
        <v>2024</v>
      </c>
      <c r="I123" s="50">
        <v>45480</v>
      </c>
      <c r="J123" s="34" t="s">
        <v>37</v>
      </c>
      <c r="K123" s="34" t="s">
        <v>31</v>
      </c>
      <c r="L123" s="50">
        <v>45566</v>
      </c>
      <c r="M123" s="34" t="s">
        <v>31</v>
      </c>
      <c r="N123" s="45" t="s">
        <v>32</v>
      </c>
      <c r="O123" s="19" t="s">
        <v>33</v>
      </c>
      <c r="P123" s="34" t="s">
        <v>84</v>
      </c>
      <c r="Q123" s="88" t="s">
        <v>85</v>
      </c>
      <c r="R123" s="34" t="s">
        <v>86</v>
      </c>
      <c r="S123" s="34" t="s">
        <v>94</v>
      </c>
      <c r="T123" s="76">
        <v>45953</v>
      </c>
      <c r="U123" s="50">
        <v>46135</v>
      </c>
      <c r="V123" s="2">
        <f t="shared" ca="1" si="8"/>
        <v>50</v>
      </c>
      <c r="W123" s="116" t="str">
        <f t="shared" ca="1" si="9"/>
        <v>Vigente</v>
      </c>
      <c r="X123" s="34" t="s">
        <v>73</v>
      </c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  <c r="FN123" s="17"/>
      <c r="FO123" s="17"/>
      <c r="FP123" s="17"/>
      <c r="FQ123" s="17"/>
      <c r="FR123" s="17"/>
      <c r="FS123" s="17"/>
      <c r="FT123" s="17"/>
      <c r="FU123" s="17"/>
      <c r="FV123" s="17"/>
      <c r="FW123" s="17"/>
      <c r="FX123" s="17"/>
      <c r="FY123" s="17"/>
      <c r="FZ123" s="17"/>
      <c r="GA123" s="17"/>
      <c r="GB123" s="17"/>
      <c r="GC123" s="17"/>
      <c r="GD123" s="17"/>
      <c r="GE123" s="17"/>
      <c r="GF123" s="17"/>
      <c r="GG123" s="17"/>
      <c r="GH123" s="17"/>
      <c r="GI123" s="17"/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  <c r="GV123" s="17"/>
      <c r="GW123" s="17"/>
    </row>
    <row r="124" spans="1:205" s="12" customFormat="1" ht="41.25" customHeight="1">
      <c r="A124" s="143" t="s">
        <v>26</v>
      </c>
      <c r="B124" s="19" t="s">
        <v>309</v>
      </c>
      <c r="C124" s="73">
        <v>12316257</v>
      </c>
      <c r="D124" s="73">
        <v>9</v>
      </c>
      <c r="E124" s="73">
        <v>51</v>
      </c>
      <c r="F124" s="73" t="s">
        <v>28</v>
      </c>
      <c r="G124" s="73" t="s">
        <v>68</v>
      </c>
      <c r="H124" s="73"/>
      <c r="I124" s="73"/>
      <c r="J124" s="73" t="s">
        <v>83</v>
      </c>
      <c r="K124" s="73" t="s">
        <v>31</v>
      </c>
      <c r="L124" s="73" t="s">
        <v>310</v>
      </c>
      <c r="M124" s="73" t="s">
        <v>31</v>
      </c>
      <c r="N124" s="45" t="s">
        <v>32</v>
      </c>
      <c r="O124" s="19" t="s">
        <v>45</v>
      </c>
      <c r="P124" s="34"/>
      <c r="Q124" s="138" t="s">
        <v>311</v>
      </c>
      <c r="R124" s="63" t="s">
        <v>48</v>
      </c>
      <c r="S124" s="34" t="s">
        <v>49</v>
      </c>
      <c r="T124" s="76">
        <v>45931</v>
      </c>
      <c r="U124" s="50">
        <v>45962</v>
      </c>
      <c r="V124" s="2">
        <f t="shared" ca="1" si="8"/>
        <v>-123</v>
      </c>
      <c r="W124" s="116" t="str">
        <f t="shared" ca="1" si="9"/>
        <v>Vencido</v>
      </c>
      <c r="X124" s="34" t="s">
        <v>50</v>
      </c>
    </row>
    <row r="125" spans="1:205" s="12" customFormat="1">
      <c r="A125" s="143" t="s">
        <v>26</v>
      </c>
      <c r="B125" s="19" t="s">
        <v>312</v>
      </c>
      <c r="C125" s="35">
        <v>6685067</v>
      </c>
      <c r="D125" s="34">
        <v>6</v>
      </c>
      <c r="E125" s="36">
        <v>70</v>
      </c>
      <c r="F125" s="34" t="s">
        <v>132</v>
      </c>
      <c r="G125" s="34" t="s">
        <v>29</v>
      </c>
      <c r="H125" s="34">
        <v>2022</v>
      </c>
      <c r="I125" s="50">
        <v>44580</v>
      </c>
      <c r="J125" s="34" t="s">
        <v>30</v>
      </c>
      <c r="K125" s="34" t="s">
        <v>31</v>
      </c>
      <c r="L125" s="50">
        <v>44999</v>
      </c>
      <c r="M125" s="34" t="s">
        <v>31</v>
      </c>
      <c r="N125" s="45" t="s">
        <v>32</v>
      </c>
      <c r="O125" s="19" t="s">
        <v>33</v>
      </c>
      <c r="P125" s="34" t="s">
        <v>84</v>
      </c>
      <c r="Q125" s="51" t="s">
        <v>313</v>
      </c>
      <c r="R125" s="34" t="s">
        <v>301</v>
      </c>
      <c r="S125" s="8" t="s">
        <v>49</v>
      </c>
      <c r="T125" s="59">
        <v>45890</v>
      </c>
      <c r="U125" s="4">
        <v>45921</v>
      </c>
      <c r="V125" s="2">
        <f t="shared" ca="1" si="8"/>
        <v>-164</v>
      </c>
      <c r="W125" s="116" t="str">
        <f t="shared" ca="1" si="9"/>
        <v>Vencido</v>
      </c>
      <c r="X125" s="19" t="s">
        <v>50</v>
      </c>
    </row>
    <row r="126" spans="1:205" s="12" customFormat="1">
      <c r="A126" s="143" t="s">
        <v>26</v>
      </c>
      <c r="B126" s="19" t="s">
        <v>314</v>
      </c>
      <c r="C126" s="24">
        <v>12420252</v>
      </c>
      <c r="D126" s="19">
        <v>3</v>
      </c>
      <c r="E126" s="23">
        <v>52</v>
      </c>
      <c r="F126" s="19" t="s">
        <v>58</v>
      </c>
      <c r="G126" s="19" t="s">
        <v>29</v>
      </c>
      <c r="H126" s="19">
        <v>2021</v>
      </c>
      <c r="I126" s="46">
        <v>44516</v>
      </c>
      <c r="J126" s="19" t="s">
        <v>30</v>
      </c>
      <c r="K126" s="19" t="s">
        <v>31</v>
      </c>
      <c r="L126" s="46">
        <v>44887</v>
      </c>
      <c r="M126" s="19" t="s">
        <v>31</v>
      </c>
      <c r="N126" s="45" t="s">
        <v>32</v>
      </c>
      <c r="O126" s="19" t="s">
        <v>45</v>
      </c>
      <c r="P126" s="19" t="s">
        <v>84</v>
      </c>
      <c r="Q126" s="51" t="s">
        <v>103</v>
      </c>
      <c r="R126" s="2" t="s">
        <v>112</v>
      </c>
      <c r="S126" s="2" t="s">
        <v>49</v>
      </c>
      <c r="T126" s="59">
        <v>45911</v>
      </c>
      <c r="U126" s="4">
        <v>46002</v>
      </c>
      <c r="V126" s="2">
        <f t="shared" ca="1" si="8"/>
        <v>-83</v>
      </c>
      <c r="W126" s="116" t="str">
        <f t="shared" ca="1" si="9"/>
        <v>Vencido</v>
      </c>
      <c r="X126" s="19" t="s">
        <v>73</v>
      </c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</row>
    <row r="127" spans="1:205" s="12" customFormat="1">
      <c r="A127" s="143" t="s">
        <v>26</v>
      </c>
      <c r="B127" s="19" t="s">
        <v>315</v>
      </c>
      <c r="C127" s="19">
        <v>17112114</v>
      </c>
      <c r="D127" s="19">
        <v>0</v>
      </c>
      <c r="E127" s="19">
        <v>35</v>
      </c>
      <c r="F127" s="19" t="s">
        <v>28</v>
      </c>
      <c r="G127" s="19" t="s">
        <v>29</v>
      </c>
      <c r="H127" s="19" t="s">
        <v>96</v>
      </c>
      <c r="I127" s="19" t="s">
        <v>97</v>
      </c>
      <c r="J127" s="19" t="s">
        <v>105</v>
      </c>
      <c r="K127" s="19" t="s">
        <v>31</v>
      </c>
      <c r="L127" s="19" t="s">
        <v>96</v>
      </c>
      <c r="M127" s="19" t="s">
        <v>31</v>
      </c>
      <c r="N127" s="45" t="s">
        <v>32</v>
      </c>
      <c r="O127" s="19" t="s">
        <v>45</v>
      </c>
      <c r="P127" s="19" t="s">
        <v>147</v>
      </c>
      <c r="Q127" s="51" t="s">
        <v>316</v>
      </c>
      <c r="R127" s="19" t="s">
        <v>60</v>
      </c>
      <c r="S127" s="19" t="s">
        <v>49</v>
      </c>
      <c r="T127" s="59">
        <v>45603</v>
      </c>
      <c r="U127" s="4">
        <v>45784</v>
      </c>
      <c r="V127" s="2">
        <f t="shared" ca="1" si="8"/>
        <v>-301</v>
      </c>
      <c r="W127" s="116" t="str">
        <f t="shared" ca="1" si="9"/>
        <v>Vencido</v>
      </c>
      <c r="X127" s="19" t="s">
        <v>73</v>
      </c>
    </row>
    <row r="128" spans="1:205" s="12" customFormat="1">
      <c r="A128" s="143" t="s">
        <v>26</v>
      </c>
      <c r="B128" s="19" t="s">
        <v>317</v>
      </c>
      <c r="C128" s="35">
        <v>15802701</v>
      </c>
      <c r="D128" s="34">
        <v>1</v>
      </c>
      <c r="E128" s="36">
        <v>39</v>
      </c>
      <c r="F128" s="34" t="s">
        <v>28</v>
      </c>
      <c r="G128" s="34" t="s">
        <v>29</v>
      </c>
      <c r="H128" s="34" t="s">
        <v>96</v>
      </c>
      <c r="I128" s="50" t="s">
        <v>97</v>
      </c>
      <c r="J128" s="34" t="s">
        <v>83</v>
      </c>
      <c r="K128" s="34" t="s">
        <v>31</v>
      </c>
      <c r="L128" s="50" t="s">
        <v>96</v>
      </c>
      <c r="M128" s="34" t="s">
        <v>31</v>
      </c>
      <c r="N128" s="45" t="s">
        <v>32</v>
      </c>
      <c r="O128" s="19" t="s">
        <v>45</v>
      </c>
      <c r="P128" s="19" t="s">
        <v>147</v>
      </c>
      <c r="Q128" s="51" t="s">
        <v>313</v>
      </c>
      <c r="R128" s="34" t="s">
        <v>48</v>
      </c>
      <c r="S128" s="34" t="s">
        <v>49</v>
      </c>
      <c r="T128" s="59">
        <v>45526</v>
      </c>
      <c r="U128" s="4">
        <v>45557</v>
      </c>
      <c r="V128" s="2">
        <f t="shared" ca="1" si="8"/>
        <v>-528</v>
      </c>
      <c r="W128" s="116" t="str">
        <f t="shared" ca="1" si="9"/>
        <v>Vencido</v>
      </c>
      <c r="X128" s="19" t="s">
        <v>73</v>
      </c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</row>
    <row r="129" spans="1:205" s="12" customFormat="1">
      <c r="A129" s="143" t="s">
        <v>158</v>
      </c>
      <c r="B129" s="19" t="s">
        <v>318</v>
      </c>
      <c r="C129" s="35">
        <v>11727048</v>
      </c>
      <c r="D129" s="34">
        <v>3</v>
      </c>
      <c r="E129" s="36">
        <v>53</v>
      </c>
      <c r="F129" s="34" t="s">
        <v>28</v>
      </c>
      <c r="G129" s="34" t="s">
        <v>260</v>
      </c>
      <c r="H129" s="34"/>
      <c r="I129" s="50"/>
      <c r="J129" s="34"/>
      <c r="K129" s="34" t="s">
        <v>110</v>
      </c>
      <c r="L129" s="50"/>
      <c r="M129" s="34" t="s">
        <v>31</v>
      </c>
      <c r="N129" s="45" t="s">
        <v>32</v>
      </c>
      <c r="O129" s="19" t="s">
        <v>45</v>
      </c>
      <c r="P129" s="19" t="s">
        <v>84</v>
      </c>
      <c r="Q129" s="51" t="s">
        <v>88</v>
      </c>
      <c r="R129" s="34" t="s">
        <v>86</v>
      </c>
      <c r="S129" s="34" t="s">
        <v>94</v>
      </c>
      <c r="T129" s="59">
        <v>45911</v>
      </c>
      <c r="U129" s="4">
        <v>46092</v>
      </c>
      <c r="V129" s="2">
        <f t="shared" ca="1" si="8"/>
        <v>7</v>
      </c>
      <c r="W129" s="116" t="str">
        <f t="shared" ca="1" si="9"/>
        <v>Por Vencer</v>
      </c>
      <c r="X129" s="19" t="s">
        <v>50</v>
      </c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</row>
    <row r="130" spans="1:205" s="12" customFormat="1">
      <c r="A130" s="143" t="s">
        <v>26</v>
      </c>
      <c r="B130" s="19" t="s">
        <v>319</v>
      </c>
      <c r="C130" s="34">
        <v>11382033</v>
      </c>
      <c r="D130" s="34">
        <v>0</v>
      </c>
      <c r="E130" s="34">
        <v>56</v>
      </c>
      <c r="F130" s="34" t="s">
        <v>28</v>
      </c>
      <c r="G130" s="34" t="s">
        <v>68</v>
      </c>
      <c r="H130" s="34">
        <v>2025</v>
      </c>
      <c r="I130" s="50">
        <v>45694</v>
      </c>
      <c r="J130" s="34" t="s">
        <v>37</v>
      </c>
      <c r="K130" s="34" t="s">
        <v>230</v>
      </c>
      <c r="L130" s="50">
        <v>45743</v>
      </c>
      <c r="M130" s="34" t="s">
        <v>44</v>
      </c>
      <c r="N130" s="45" t="s">
        <v>32</v>
      </c>
      <c r="O130" s="19" t="s">
        <v>33</v>
      </c>
      <c r="P130" s="34"/>
      <c r="Q130" s="34" t="s">
        <v>320</v>
      </c>
      <c r="R130" s="34" t="s">
        <v>48</v>
      </c>
      <c r="S130" s="34" t="s">
        <v>49</v>
      </c>
      <c r="T130" s="76">
        <v>46058</v>
      </c>
      <c r="U130" s="50">
        <v>46086</v>
      </c>
      <c r="V130" s="116">
        <f t="shared" ca="1" si="8"/>
        <v>1</v>
      </c>
      <c r="W130" s="116" t="str">
        <f t="shared" ca="1" si="9"/>
        <v>Por Vencer</v>
      </c>
      <c r="X130" s="34"/>
    </row>
    <row r="131" spans="1:205" s="12" customFormat="1">
      <c r="A131" s="143" t="s">
        <v>26</v>
      </c>
      <c r="B131" s="19" t="s">
        <v>321</v>
      </c>
      <c r="C131" s="24">
        <v>12163015</v>
      </c>
      <c r="D131" s="33" t="s">
        <v>67</v>
      </c>
      <c r="E131" s="23">
        <v>52</v>
      </c>
      <c r="F131" s="19" t="s">
        <v>28</v>
      </c>
      <c r="G131" s="19" t="s">
        <v>29</v>
      </c>
      <c r="H131" s="19">
        <v>2023</v>
      </c>
      <c r="I131" s="46">
        <v>45162</v>
      </c>
      <c r="J131" s="19" t="s">
        <v>30</v>
      </c>
      <c r="K131" s="19" t="s">
        <v>31</v>
      </c>
      <c r="L131" s="46">
        <v>45230</v>
      </c>
      <c r="M131" s="19" t="s">
        <v>31</v>
      </c>
      <c r="N131" s="45" t="s">
        <v>32</v>
      </c>
      <c r="O131" s="19" t="s">
        <v>45</v>
      </c>
      <c r="P131" s="19" t="s">
        <v>147</v>
      </c>
      <c r="Q131" s="51" t="s">
        <v>85</v>
      </c>
      <c r="R131" s="19" t="s">
        <v>86</v>
      </c>
      <c r="S131" s="19" t="s">
        <v>94</v>
      </c>
      <c r="T131" s="59">
        <v>45967</v>
      </c>
      <c r="U131" s="4">
        <v>46148</v>
      </c>
      <c r="V131" s="2">
        <f t="shared" ca="1" si="8"/>
        <v>63</v>
      </c>
      <c r="W131" s="116" t="str">
        <f t="shared" ca="1" si="9"/>
        <v>Vigente</v>
      </c>
      <c r="X131" s="19" t="s">
        <v>73</v>
      </c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</row>
    <row r="132" spans="1:205" s="12" customFormat="1">
      <c r="A132" s="143" t="s">
        <v>26</v>
      </c>
      <c r="B132" s="19" t="s">
        <v>322</v>
      </c>
      <c r="C132" s="24">
        <v>12575051</v>
      </c>
      <c r="D132" s="19">
        <v>6</v>
      </c>
      <c r="E132" s="23">
        <v>50</v>
      </c>
      <c r="F132" s="19" t="s">
        <v>28</v>
      </c>
      <c r="G132" s="19" t="s">
        <v>29</v>
      </c>
      <c r="H132" s="19">
        <v>2019</v>
      </c>
      <c r="I132" s="46">
        <v>43732</v>
      </c>
      <c r="J132" s="19" t="s">
        <v>83</v>
      </c>
      <c r="K132" s="19" t="s">
        <v>31</v>
      </c>
      <c r="L132" s="46">
        <v>44385</v>
      </c>
      <c r="M132" s="19" t="s">
        <v>31</v>
      </c>
      <c r="N132" s="45" t="s">
        <v>32</v>
      </c>
      <c r="O132" s="19" t="s">
        <v>45</v>
      </c>
      <c r="P132" s="19" t="s">
        <v>84</v>
      </c>
      <c r="Q132" s="51" t="s">
        <v>103</v>
      </c>
      <c r="R132" s="19" t="s">
        <v>112</v>
      </c>
      <c r="S132" s="19" t="s">
        <v>49</v>
      </c>
      <c r="T132" s="59">
        <v>45911</v>
      </c>
      <c r="U132" s="4">
        <v>46002</v>
      </c>
      <c r="V132" s="2">
        <f t="shared" ca="1" si="8"/>
        <v>-83</v>
      </c>
      <c r="W132" s="116" t="str">
        <f t="shared" ca="1" si="9"/>
        <v>Vencido</v>
      </c>
      <c r="X132" s="19" t="s">
        <v>73</v>
      </c>
    </row>
    <row r="133" spans="1:205" s="12" customFormat="1">
      <c r="A133" s="143" t="s">
        <v>26</v>
      </c>
      <c r="B133" s="19" t="s">
        <v>323</v>
      </c>
      <c r="C133" s="34">
        <v>16847821</v>
      </c>
      <c r="D133" s="34">
        <v>6</v>
      </c>
      <c r="E133" s="34">
        <v>36</v>
      </c>
      <c r="F133" s="34" t="s">
        <v>224</v>
      </c>
      <c r="G133" s="34" t="s">
        <v>29</v>
      </c>
      <c r="H133" s="34">
        <v>2024</v>
      </c>
      <c r="I133" s="50">
        <v>45623</v>
      </c>
      <c r="J133" s="34" t="s">
        <v>37</v>
      </c>
      <c r="K133" s="34" t="s">
        <v>38</v>
      </c>
      <c r="L133" s="50">
        <v>45685</v>
      </c>
      <c r="M133" s="34" t="s">
        <v>44</v>
      </c>
      <c r="N133" s="45" t="s">
        <v>32</v>
      </c>
      <c r="O133" s="19" t="s">
        <v>33</v>
      </c>
      <c r="P133" s="34"/>
      <c r="Q133" s="34" t="s">
        <v>313</v>
      </c>
      <c r="R133" s="34" t="s">
        <v>48</v>
      </c>
      <c r="S133" s="34" t="s">
        <v>94</v>
      </c>
      <c r="T133" s="76">
        <v>45995</v>
      </c>
      <c r="U133" s="50">
        <v>46026</v>
      </c>
      <c r="V133" s="2">
        <f t="shared" ca="1" si="8"/>
        <v>-59</v>
      </c>
      <c r="W133" s="116" t="str">
        <f t="shared" ca="1" si="9"/>
        <v>Vencido</v>
      </c>
      <c r="X133" s="34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</row>
    <row r="134" spans="1:205" s="12" customFormat="1">
      <c r="A134" s="143" t="s">
        <v>26</v>
      </c>
      <c r="B134" s="19" t="s">
        <v>324</v>
      </c>
      <c r="C134" s="34">
        <v>13534106</v>
      </c>
      <c r="D134" s="34">
        <v>1</v>
      </c>
      <c r="E134" s="34">
        <v>46</v>
      </c>
      <c r="F134" s="34" t="s">
        <v>28</v>
      </c>
      <c r="G134" s="34" t="s">
        <v>68</v>
      </c>
      <c r="H134" s="34">
        <v>2025</v>
      </c>
      <c r="I134" s="34" t="s">
        <v>325</v>
      </c>
      <c r="J134" s="34" t="s">
        <v>258</v>
      </c>
      <c r="K134" s="34" t="s">
        <v>38</v>
      </c>
      <c r="L134" s="50">
        <v>45839</v>
      </c>
      <c r="M134" s="34" t="s">
        <v>44</v>
      </c>
      <c r="N134" s="83" t="s">
        <v>52</v>
      </c>
      <c r="O134" s="19" t="s">
        <v>45</v>
      </c>
      <c r="P134" s="34"/>
      <c r="Q134" s="34" t="s">
        <v>274</v>
      </c>
      <c r="R134" s="34" t="s">
        <v>48</v>
      </c>
      <c r="S134" s="34" t="s">
        <v>49</v>
      </c>
      <c r="T134" s="76">
        <v>45842</v>
      </c>
      <c r="U134" s="50">
        <v>45873</v>
      </c>
      <c r="V134" s="2">
        <f t="shared" ca="1" si="8"/>
        <v>-212</v>
      </c>
      <c r="W134" s="116" t="str">
        <f t="shared" ca="1" si="9"/>
        <v>Vencido</v>
      </c>
      <c r="X134" s="34"/>
    </row>
    <row r="135" spans="1:205" s="12" customFormat="1">
      <c r="A135" s="143" t="s">
        <v>26</v>
      </c>
      <c r="B135" s="19" t="s">
        <v>326</v>
      </c>
      <c r="C135" s="70">
        <v>16110568</v>
      </c>
      <c r="D135" s="26">
        <v>6</v>
      </c>
      <c r="E135" s="23">
        <v>38</v>
      </c>
      <c r="F135" s="26" t="s">
        <v>28</v>
      </c>
      <c r="G135" s="19" t="s">
        <v>29</v>
      </c>
      <c r="H135" s="19">
        <v>2023</v>
      </c>
      <c r="I135" s="47">
        <v>45127</v>
      </c>
      <c r="J135" s="26" t="s">
        <v>30</v>
      </c>
      <c r="K135" s="26" t="s">
        <v>38</v>
      </c>
      <c r="L135" s="47">
        <v>45442</v>
      </c>
      <c r="M135" s="19" t="s">
        <v>31</v>
      </c>
      <c r="N135" s="45" t="s">
        <v>32</v>
      </c>
      <c r="O135" s="19" t="s">
        <v>45</v>
      </c>
      <c r="P135" s="51" t="s">
        <v>121</v>
      </c>
      <c r="Q135" s="51" t="s">
        <v>327</v>
      </c>
      <c r="R135" s="19" t="s">
        <v>72</v>
      </c>
      <c r="S135" s="19" t="s">
        <v>94</v>
      </c>
      <c r="T135" s="59">
        <v>45967</v>
      </c>
      <c r="U135" s="4">
        <v>46028</v>
      </c>
      <c r="V135" s="2">
        <f t="shared" ca="1" si="8"/>
        <v>-57</v>
      </c>
      <c r="W135" s="116" t="str">
        <f t="shared" ca="1" si="9"/>
        <v>Vencido</v>
      </c>
      <c r="X135" s="51" t="s">
        <v>50</v>
      </c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  <c r="FN135" s="17"/>
      <c r="FO135" s="17"/>
      <c r="FP135" s="17"/>
      <c r="FQ135" s="17"/>
      <c r="FR135" s="17"/>
      <c r="FS135" s="17"/>
      <c r="FT135" s="17"/>
      <c r="FU135" s="17"/>
      <c r="FV135" s="17"/>
      <c r="FW135" s="17"/>
      <c r="FX135" s="17"/>
      <c r="FY135" s="17"/>
      <c r="FZ135" s="17"/>
      <c r="GA135" s="17"/>
      <c r="GB135" s="17"/>
      <c r="GC135" s="17"/>
      <c r="GD135" s="17"/>
      <c r="GE135" s="17"/>
      <c r="GF135" s="17"/>
      <c r="GG135" s="17"/>
      <c r="GH135" s="17"/>
      <c r="GI135" s="17"/>
      <c r="GJ135" s="17"/>
      <c r="GK135" s="17"/>
      <c r="GL135" s="17"/>
      <c r="GM135" s="17"/>
      <c r="GN135" s="17"/>
      <c r="GO135" s="17"/>
      <c r="GP135" s="17"/>
      <c r="GQ135" s="17"/>
      <c r="GR135" s="17"/>
      <c r="GS135" s="17"/>
      <c r="GT135" s="17"/>
      <c r="GU135" s="17"/>
      <c r="GV135" s="17"/>
      <c r="GW135" s="17"/>
    </row>
    <row r="136" spans="1:205" s="15" customFormat="1">
      <c r="A136" s="143" t="s">
        <v>26</v>
      </c>
      <c r="B136" s="19" t="s">
        <v>328</v>
      </c>
      <c r="C136" s="19">
        <v>13330529</v>
      </c>
      <c r="D136" s="19">
        <v>7</v>
      </c>
      <c r="E136" s="19">
        <v>48</v>
      </c>
      <c r="F136" s="19" t="s">
        <v>28</v>
      </c>
      <c r="G136" s="19" t="s">
        <v>29</v>
      </c>
      <c r="H136" s="19">
        <v>2024</v>
      </c>
      <c r="I136" s="46">
        <v>45393</v>
      </c>
      <c r="J136" s="19" t="s">
        <v>30</v>
      </c>
      <c r="K136" s="19" t="s">
        <v>38</v>
      </c>
      <c r="L136" s="46">
        <v>45454</v>
      </c>
      <c r="M136" s="19" t="s">
        <v>31</v>
      </c>
      <c r="N136" s="45" t="s">
        <v>32</v>
      </c>
      <c r="O136" s="19" t="s">
        <v>33</v>
      </c>
      <c r="P136" s="51"/>
      <c r="Q136" s="51" t="s">
        <v>157</v>
      </c>
      <c r="R136" s="19" t="s">
        <v>55</v>
      </c>
      <c r="S136" s="19" t="s">
        <v>49</v>
      </c>
      <c r="T136" s="59">
        <v>46057</v>
      </c>
      <c r="U136" s="151">
        <v>46146</v>
      </c>
      <c r="V136" s="2">
        <f t="shared" ca="1" si="8"/>
        <v>61</v>
      </c>
      <c r="W136" s="116" t="str">
        <f t="shared" ca="1" si="9"/>
        <v>Vigente</v>
      </c>
      <c r="X136" s="19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  <c r="FN136" s="17"/>
      <c r="FO136" s="17"/>
      <c r="FP136" s="17"/>
      <c r="FQ136" s="17"/>
      <c r="FR136" s="17"/>
      <c r="FS136" s="17"/>
      <c r="FT136" s="17"/>
      <c r="FU136" s="17"/>
      <c r="FV136" s="17"/>
      <c r="FW136" s="17"/>
      <c r="FX136" s="17"/>
      <c r="FY136" s="17"/>
      <c r="FZ136" s="17"/>
      <c r="GA136" s="17"/>
      <c r="GB136" s="17"/>
      <c r="GC136" s="17"/>
      <c r="GD136" s="17"/>
      <c r="GE136" s="17"/>
      <c r="GF136" s="17"/>
      <c r="GG136" s="17"/>
      <c r="GH136" s="17"/>
      <c r="GI136" s="17"/>
      <c r="GJ136" s="17"/>
      <c r="GK136" s="17"/>
      <c r="GL136" s="17"/>
      <c r="GM136" s="17"/>
      <c r="GN136" s="17"/>
      <c r="GO136" s="17"/>
      <c r="GP136" s="17"/>
      <c r="GQ136" s="17"/>
      <c r="GR136" s="17"/>
      <c r="GS136" s="17"/>
      <c r="GT136" s="17"/>
      <c r="GU136" s="17"/>
      <c r="GV136" s="17"/>
      <c r="GW136" s="17"/>
    </row>
    <row r="137" spans="1:205" s="12" customFormat="1">
      <c r="A137" s="142" t="s">
        <v>26</v>
      </c>
      <c r="B137" s="19" t="s">
        <v>329</v>
      </c>
      <c r="C137" s="73">
        <v>10815571</v>
      </c>
      <c r="D137" s="131" t="s">
        <v>67</v>
      </c>
      <c r="E137" s="73">
        <v>57</v>
      </c>
      <c r="F137" s="73" t="s">
        <v>58</v>
      </c>
      <c r="G137" s="73" t="s">
        <v>68</v>
      </c>
      <c r="H137" s="73"/>
      <c r="I137" s="73"/>
      <c r="J137" s="73" t="s">
        <v>83</v>
      </c>
      <c r="K137" s="73" t="s">
        <v>31</v>
      </c>
      <c r="L137" s="73"/>
      <c r="M137" s="73"/>
      <c r="N137" s="45" t="s">
        <v>32</v>
      </c>
      <c r="O137" s="19" t="s">
        <v>33</v>
      </c>
      <c r="P137" s="34" t="s">
        <v>84</v>
      </c>
      <c r="Q137" s="88" t="s">
        <v>148</v>
      </c>
      <c r="R137" s="34" t="s">
        <v>330</v>
      </c>
      <c r="S137" s="34" t="s">
        <v>49</v>
      </c>
      <c r="T137" s="76">
        <v>45883</v>
      </c>
      <c r="U137" s="50">
        <v>46248</v>
      </c>
      <c r="V137" s="116">
        <f t="shared" ca="1" si="8"/>
        <v>163</v>
      </c>
      <c r="W137" s="116" t="str">
        <f t="shared" ca="1" si="9"/>
        <v>Vigente</v>
      </c>
      <c r="X137" s="34" t="s">
        <v>73</v>
      </c>
    </row>
    <row r="138" spans="1:205" s="12" customFormat="1" ht="37.5">
      <c r="A138" s="144" t="s">
        <v>26</v>
      </c>
      <c r="B138" s="19" t="s">
        <v>331</v>
      </c>
      <c r="C138" s="24">
        <v>11328277</v>
      </c>
      <c r="D138" s="19">
        <v>0</v>
      </c>
      <c r="E138" s="23">
        <v>56</v>
      </c>
      <c r="F138" s="19" t="s">
        <v>58</v>
      </c>
      <c r="G138" s="19" t="s">
        <v>29</v>
      </c>
      <c r="H138" s="19" t="s">
        <v>96</v>
      </c>
      <c r="I138" s="19" t="s">
        <v>97</v>
      </c>
      <c r="J138" s="19" t="s">
        <v>83</v>
      </c>
      <c r="K138" s="19" t="s">
        <v>31</v>
      </c>
      <c r="L138" s="19" t="s">
        <v>96</v>
      </c>
      <c r="M138" s="19" t="s">
        <v>31</v>
      </c>
      <c r="N138" s="45" t="s">
        <v>32</v>
      </c>
      <c r="O138" s="19" t="s">
        <v>33</v>
      </c>
      <c r="P138" s="19" t="s">
        <v>84</v>
      </c>
      <c r="Q138" s="51" t="s">
        <v>292</v>
      </c>
      <c r="R138" s="19" t="s">
        <v>60</v>
      </c>
      <c r="S138" s="19" t="s">
        <v>49</v>
      </c>
      <c r="T138" s="59">
        <v>45904</v>
      </c>
      <c r="U138" s="4">
        <v>46085</v>
      </c>
      <c r="V138" s="2">
        <f t="shared" ca="1" si="8"/>
        <v>0</v>
      </c>
      <c r="W138" s="116" t="str">
        <f t="shared" ca="1" si="9"/>
        <v>Vencido</v>
      </c>
      <c r="X138" s="19" t="s">
        <v>73</v>
      </c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  <c r="FN138" s="17"/>
      <c r="FO138" s="17"/>
      <c r="FP138" s="17"/>
      <c r="FQ138" s="17"/>
      <c r="FR138" s="17"/>
      <c r="FS138" s="17"/>
      <c r="FT138" s="17"/>
      <c r="FU138" s="17"/>
      <c r="FV138" s="17"/>
      <c r="FW138" s="17"/>
      <c r="FX138" s="17"/>
      <c r="FY138" s="17"/>
      <c r="FZ138" s="17"/>
      <c r="GA138" s="17"/>
      <c r="GB138" s="17"/>
      <c r="GC138" s="17"/>
      <c r="GD138" s="17"/>
      <c r="GE138" s="17"/>
      <c r="GF138" s="17"/>
      <c r="GG138" s="17"/>
      <c r="GH138" s="17"/>
      <c r="GI138" s="17"/>
      <c r="GJ138" s="17"/>
      <c r="GK138" s="17"/>
      <c r="GL138" s="17"/>
      <c r="GM138" s="17"/>
      <c r="GN138" s="17"/>
      <c r="GO138" s="17"/>
      <c r="GP138" s="17"/>
      <c r="GQ138" s="17"/>
      <c r="GR138" s="17"/>
      <c r="GS138" s="17"/>
      <c r="GT138" s="17"/>
      <c r="GU138" s="17"/>
      <c r="GV138" s="17"/>
      <c r="GW138" s="17"/>
    </row>
    <row r="139" spans="1:205" s="12" customFormat="1">
      <c r="A139" s="142" t="s">
        <v>26</v>
      </c>
      <c r="B139" s="19" t="s">
        <v>332</v>
      </c>
      <c r="C139" s="34">
        <v>14462149</v>
      </c>
      <c r="D139" s="34">
        <v>2</v>
      </c>
      <c r="E139" s="34">
        <v>53</v>
      </c>
      <c r="F139" s="34" t="s">
        <v>28</v>
      </c>
      <c r="G139" s="34" t="s">
        <v>68</v>
      </c>
      <c r="H139" s="34">
        <v>2025</v>
      </c>
      <c r="I139" s="50">
        <v>45720</v>
      </c>
      <c r="J139" s="34" t="s">
        <v>37</v>
      </c>
      <c r="K139" s="34" t="s">
        <v>38</v>
      </c>
      <c r="L139" s="50">
        <v>45769</v>
      </c>
      <c r="M139" s="34" t="s">
        <v>44</v>
      </c>
      <c r="N139" s="45" t="s">
        <v>32</v>
      </c>
      <c r="O139" s="19"/>
      <c r="P139" s="34"/>
      <c r="Q139" s="34" t="s">
        <v>333</v>
      </c>
      <c r="R139" s="34" t="s">
        <v>48</v>
      </c>
      <c r="S139" s="34" t="s">
        <v>271</v>
      </c>
      <c r="T139" s="76">
        <v>45995</v>
      </c>
      <c r="U139" s="50">
        <v>46026</v>
      </c>
      <c r="V139" s="116">
        <f t="shared" ca="1" si="8"/>
        <v>-59</v>
      </c>
      <c r="W139" s="116" t="str">
        <f t="shared" ca="1" si="9"/>
        <v>Vencido</v>
      </c>
      <c r="X139" s="34"/>
    </row>
    <row r="140" spans="1:205" s="12" customFormat="1">
      <c r="A140" s="142" t="s">
        <v>26</v>
      </c>
      <c r="B140" s="140" t="s">
        <v>334</v>
      </c>
      <c r="C140" s="34">
        <v>11473562</v>
      </c>
      <c r="D140" s="34">
        <v>0</v>
      </c>
      <c r="E140" s="34">
        <v>56</v>
      </c>
      <c r="F140" s="34" t="s">
        <v>28</v>
      </c>
      <c r="G140" s="34" t="s">
        <v>29</v>
      </c>
      <c r="H140" s="34"/>
      <c r="I140" s="50"/>
      <c r="J140" s="34"/>
      <c r="K140" s="34" t="s">
        <v>31</v>
      </c>
      <c r="L140" s="50"/>
      <c r="M140" s="34" t="s">
        <v>31</v>
      </c>
      <c r="N140" s="45" t="s">
        <v>32</v>
      </c>
      <c r="O140" s="19" t="s">
        <v>33</v>
      </c>
      <c r="P140" s="34" t="s">
        <v>84</v>
      </c>
      <c r="Q140" s="88" t="s">
        <v>335</v>
      </c>
      <c r="R140" s="34" t="s">
        <v>173</v>
      </c>
      <c r="S140" s="34" t="s">
        <v>94</v>
      </c>
      <c r="T140" s="59">
        <v>45953</v>
      </c>
      <c r="U140" s="4">
        <v>46085</v>
      </c>
      <c r="V140" s="2">
        <f t="shared" ca="1" si="8"/>
        <v>0</v>
      </c>
      <c r="W140" s="116" t="str">
        <f t="shared" ca="1" si="9"/>
        <v>Vencido</v>
      </c>
      <c r="X140" s="19" t="s">
        <v>73</v>
      </c>
    </row>
    <row r="141" spans="1:205" s="12" customFormat="1">
      <c r="A141" s="142" t="s">
        <v>26</v>
      </c>
      <c r="B141" s="19" t="s">
        <v>336</v>
      </c>
      <c r="C141" s="19">
        <v>10168576</v>
      </c>
      <c r="D141" s="19">
        <v>4</v>
      </c>
      <c r="E141" s="19">
        <v>59</v>
      </c>
      <c r="F141" s="19" t="s">
        <v>28</v>
      </c>
      <c r="G141" s="19" t="s">
        <v>29</v>
      </c>
      <c r="H141" s="19">
        <v>2024</v>
      </c>
      <c r="I141" s="46">
        <v>45365</v>
      </c>
      <c r="J141" s="19" t="s">
        <v>30</v>
      </c>
      <c r="K141" s="19" t="s">
        <v>31</v>
      </c>
      <c r="L141" s="46">
        <v>45622</v>
      </c>
      <c r="M141" s="19" t="s">
        <v>31</v>
      </c>
      <c r="N141" s="45" t="s">
        <v>32</v>
      </c>
      <c r="O141" s="19" t="s">
        <v>33</v>
      </c>
      <c r="P141" s="34" t="s">
        <v>84</v>
      </c>
      <c r="Q141" s="51" t="s">
        <v>88</v>
      </c>
      <c r="R141" s="19" t="s">
        <v>301</v>
      </c>
      <c r="S141" s="2" t="s">
        <v>49</v>
      </c>
      <c r="T141" s="59">
        <v>45904</v>
      </c>
      <c r="U141" s="4">
        <v>46085</v>
      </c>
      <c r="V141" s="2">
        <f t="shared" ca="1" si="8"/>
        <v>0</v>
      </c>
      <c r="W141" s="116" t="str">
        <f t="shared" ca="1" si="9"/>
        <v>Vencido</v>
      </c>
      <c r="X141" s="19" t="s">
        <v>50</v>
      </c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</row>
    <row r="142" spans="1:205" s="12" customFormat="1">
      <c r="A142" s="142" t="s">
        <v>26</v>
      </c>
      <c r="B142" s="19" t="s">
        <v>337</v>
      </c>
      <c r="C142" s="24">
        <v>4428461</v>
      </c>
      <c r="D142" s="19">
        <v>8</v>
      </c>
      <c r="E142" s="23">
        <v>80</v>
      </c>
      <c r="F142" s="19" t="s">
        <v>28</v>
      </c>
      <c r="G142" s="19" t="s">
        <v>29</v>
      </c>
      <c r="H142" s="19" t="s">
        <v>96</v>
      </c>
      <c r="I142" s="19" t="s">
        <v>97</v>
      </c>
      <c r="J142" s="19" t="s">
        <v>83</v>
      </c>
      <c r="K142" s="19" t="s">
        <v>31</v>
      </c>
      <c r="L142" s="46">
        <v>44365</v>
      </c>
      <c r="M142" s="19" t="s">
        <v>31</v>
      </c>
      <c r="N142" s="45" t="s">
        <v>32</v>
      </c>
      <c r="O142" s="19" t="s">
        <v>33</v>
      </c>
      <c r="P142" s="19" t="s">
        <v>147</v>
      </c>
      <c r="Q142" s="51" t="s">
        <v>88</v>
      </c>
      <c r="R142" s="2" t="s">
        <v>86</v>
      </c>
      <c r="S142" s="2" t="s">
        <v>49</v>
      </c>
      <c r="T142" s="59">
        <v>45833</v>
      </c>
      <c r="U142" s="4">
        <v>46016</v>
      </c>
      <c r="V142" s="2">
        <f t="shared" ca="1" si="8"/>
        <v>-69</v>
      </c>
      <c r="W142" s="116" t="str">
        <f t="shared" ca="1" si="9"/>
        <v>Vencido</v>
      </c>
      <c r="X142" s="2" t="s">
        <v>73</v>
      </c>
    </row>
    <row r="143" spans="1:205" s="16" customFormat="1">
      <c r="A143" s="142" t="s">
        <v>26</v>
      </c>
      <c r="B143" s="19" t="s">
        <v>338</v>
      </c>
      <c r="C143" s="24">
        <v>12397964</v>
      </c>
      <c r="D143" s="19">
        <v>8</v>
      </c>
      <c r="E143" s="23">
        <v>55</v>
      </c>
      <c r="F143" s="19" t="s">
        <v>109</v>
      </c>
      <c r="G143" s="19" t="s">
        <v>29</v>
      </c>
      <c r="H143" s="19">
        <v>2020</v>
      </c>
      <c r="I143" s="46">
        <v>44168</v>
      </c>
      <c r="J143" s="19" t="s">
        <v>37</v>
      </c>
      <c r="K143" s="19" t="s">
        <v>38</v>
      </c>
      <c r="L143" s="46">
        <v>45328</v>
      </c>
      <c r="M143" s="19" t="s">
        <v>31</v>
      </c>
      <c r="N143" s="45" t="s">
        <v>32</v>
      </c>
      <c r="O143" s="19" t="s">
        <v>33</v>
      </c>
      <c r="P143" s="19" t="s">
        <v>147</v>
      </c>
      <c r="Q143" s="51" t="s">
        <v>88</v>
      </c>
      <c r="R143" s="19" t="s">
        <v>60</v>
      </c>
      <c r="S143" s="19" t="s">
        <v>49</v>
      </c>
      <c r="T143" s="119">
        <v>45890</v>
      </c>
      <c r="U143" s="10">
        <v>46074</v>
      </c>
      <c r="V143" s="116">
        <f t="shared" ca="1" si="8"/>
        <v>-11</v>
      </c>
      <c r="W143" s="116" t="str">
        <f t="shared" ca="1" si="9"/>
        <v>Vencido</v>
      </c>
      <c r="X143" s="19" t="s">
        <v>73</v>
      </c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  <c r="FN143" s="17"/>
      <c r="FO143" s="17"/>
      <c r="FP143" s="17"/>
      <c r="FQ143" s="17"/>
      <c r="FR143" s="17"/>
      <c r="FS143" s="17"/>
      <c r="FT143" s="17"/>
      <c r="FU143" s="17"/>
      <c r="FV143" s="17"/>
      <c r="FW143" s="17"/>
      <c r="FX143" s="17"/>
      <c r="FY143" s="17"/>
      <c r="FZ143" s="17"/>
      <c r="GA143" s="17"/>
      <c r="GB143" s="17"/>
      <c r="GC143" s="17"/>
      <c r="GD143" s="17"/>
      <c r="GE143" s="17"/>
      <c r="GF143" s="17"/>
      <c r="GG143" s="17"/>
      <c r="GH143" s="17"/>
      <c r="GI143" s="17"/>
      <c r="GJ143" s="17"/>
      <c r="GK143" s="17"/>
      <c r="GL143" s="17"/>
      <c r="GM143" s="17"/>
      <c r="GN143" s="17"/>
      <c r="GO143" s="17"/>
      <c r="GP143" s="17"/>
      <c r="GQ143" s="17"/>
      <c r="GR143" s="17"/>
      <c r="GS143" s="17"/>
      <c r="GT143" s="17"/>
      <c r="GU143" s="17"/>
      <c r="GV143" s="17"/>
      <c r="GW143" s="17"/>
    </row>
    <row r="144" spans="1:205">
      <c r="A144" s="142" t="s">
        <v>26</v>
      </c>
      <c r="B144" s="19" t="s">
        <v>339</v>
      </c>
      <c r="C144" s="24">
        <v>6455987</v>
      </c>
      <c r="D144" s="19">
        <v>7</v>
      </c>
      <c r="E144" s="23">
        <v>75</v>
      </c>
      <c r="F144" s="19" t="s">
        <v>28</v>
      </c>
      <c r="G144" s="19" t="s">
        <v>29</v>
      </c>
      <c r="H144" s="19">
        <v>2024</v>
      </c>
      <c r="I144" s="46">
        <v>45335</v>
      </c>
      <c r="J144" s="19" t="s">
        <v>37</v>
      </c>
      <c r="K144" s="19" t="s">
        <v>38</v>
      </c>
      <c r="L144" s="46">
        <v>45636</v>
      </c>
      <c r="M144" s="19" t="s">
        <v>31</v>
      </c>
      <c r="N144" s="45" t="s">
        <v>32</v>
      </c>
      <c r="O144" s="19" t="s">
        <v>45</v>
      </c>
      <c r="P144" s="19" t="s">
        <v>84</v>
      </c>
      <c r="Q144" s="51" t="s">
        <v>103</v>
      </c>
      <c r="R144" s="19" t="s">
        <v>112</v>
      </c>
      <c r="S144" s="19" t="s">
        <v>49</v>
      </c>
      <c r="T144" s="59">
        <v>45973</v>
      </c>
      <c r="U144" s="152">
        <v>46065</v>
      </c>
      <c r="V144" s="116">
        <f t="shared" ca="1" si="8"/>
        <v>-20</v>
      </c>
      <c r="W144" s="116" t="str">
        <f t="shared" ca="1" si="9"/>
        <v>Vencido</v>
      </c>
      <c r="X144" s="19" t="s">
        <v>73</v>
      </c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</row>
    <row r="145" spans="1:205" s="12" customFormat="1">
      <c r="A145" s="142" t="s">
        <v>26</v>
      </c>
      <c r="B145" s="19" t="s">
        <v>340</v>
      </c>
      <c r="C145" s="34">
        <v>12572070</v>
      </c>
      <c r="D145" s="34">
        <v>6</v>
      </c>
      <c r="E145" s="34">
        <v>50</v>
      </c>
      <c r="F145" s="34" t="s">
        <v>28</v>
      </c>
      <c r="G145" s="34" t="s">
        <v>29</v>
      </c>
      <c r="H145" s="34"/>
      <c r="I145" s="34"/>
      <c r="J145" s="34" t="s">
        <v>37</v>
      </c>
      <c r="K145" s="34" t="s">
        <v>110</v>
      </c>
      <c r="L145" s="34" t="s">
        <v>310</v>
      </c>
      <c r="M145" s="34" t="s">
        <v>31</v>
      </c>
      <c r="N145" s="45" t="s">
        <v>32</v>
      </c>
      <c r="O145" s="19" t="s">
        <v>33</v>
      </c>
      <c r="P145" s="34"/>
      <c r="Q145" s="34" t="s">
        <v>218</v>
      </c>
      <c r="R145" s="34" t="s">
        <v>86</v>
      </c>
      <c r="S145" s="34" t="s">
        <v>49</v>
      </c>
      <c r="T145" s="76">
        <v>46065</v>
      </c>
      <c r="U145" s="50">
        <v>46246</v>
      </c>
      <c r="V145" s="2">
        <f t="shared" ca="1" si="8"/>
        <v>161</v>
      </c>
      <c r="W145" s="116" t="str">
        <f t="shared" ca="1" si="9"/>
        <v>Vigente</v>
      </c>
      <c r="X145" s="34"/>
    </row>
    <row r="146" spans="1:205" s="12" customFormat="1">
      <c r="A146" s="142" t="s">
        <v>26</v>
      </c>
      <c r="B146" s="19" t="s">
        <v>341</v>
      </c>
      <c r="C146" s="24">
        <v>13748451</v>
      </c>
      <c r="D146" s="33" t="s">
        <v>67</v>
      </c>
      <c r="E146" s="23">
        <v>48</v>
      </c>
      <c r="F146" s="19" t="s">
        <v>28</v>
      </c>
      <c r="G146" s="19" t="s">
        <v>29</v>
      </c>
      <c r="H146" s="19" t="s">
        <v>96</v>
      </c>
      <c r="I146" s="19" t="s">
        <v>97</v>
      </c>
      <c r="J146" s="19" t="s">
        <v>83</v>
      </c>
      <c r="K146" s="19" t="s">
        <v>31</v>
      </c>
      <c r="L146" s="19" t="s">
        <v>96</v>
      </c>
      <c r="M146" s="19" t="s">
        <v>31</v>
      </c>
      <c r="N146" s="45" t="s">
        <v>32</v>
      </c>
      <c r="O146" s="19" t="s">
        <v>45</v>
      </c>
      <c r="P146" s="19" t="s">
        <v>147</v>
      </c>
      <c r="Q146" s="51" t="s">
        <v>342</v>
      </c>
      <c r="R146" s="19" t="s">
        <v>86</v>
      </c>
      <c r="S146" s="19" t="s">
        <v>49</v>
      </c>
      <c r="T146" s="59">
        <v>45932</v>
      </c>
      <c r="U146" s="4">
        <v>46114</v>
      </c>
      <c r="V146" s="2">
        <f t="shared" ca="1" si="8"/>
        <v>29</v>
      </c>
      <c r="W146" s="116" t="str">
        <f t="shared" ca="1" si="9"/>
        <v>Vigente</v>
      </c>
      <c r="X146" s="19" t="s">
        <v>73</v>
      </c>
    </row>
    <row r="147" spans="1:205" s="12" customFormat="1">
      <c r="A147" s="142" t="s">
        <v>26</v>
      </c>
      <c r="B147" s="19" t="s">
        <v>343</v>
      </c>
      <c r="C147" s="35">
        <v>12347518</v>
      </c>
      <c r="D147" s="34">
        <v>6</v>
      </c>
      <c r="E147" s="36">
        <v>52</v>
      </c>
      <c r="F147" s="34" t="s">
        <v>58</v>
      </c>
      <c r="G147" s="34" t="s">
        <v>29</v>
      </c>
      <c r="H147" s="34">
        <v>2021</v>
      </c>
      <c r="I147" s="50">
        <v>44417</v>
      </c>
      <c r="J147" s="34" t="s">
        <v>83</v>
      </c>
      <c r="K147" s="34" t="s">
        <v>31</v>
      </c>
      <c r="L147" s="50">
        <v>44663</v>
      </c>
      <c r="M147" s="34" t="s">
        <v>31</v>
      </c>
      <c r="N147" s="45" t="s">
        <v>32</v>
      </c>
      <c r="O147" s="19" t="s">
        <v>45</v>
      </c>
      <c r="P147" s="34" t="s">
        <v>147</v>
      </c>
      <c r="Q147" s="51" t="s">
        <v>88</v>
      </c>
      <c r="R147" s="34" t="s">
        <v>60</v>
      </c>
      <c r="S147" s="34" t="s">
        <v>49</v>
      </c>
      <c r="T147" s="59">
        <v>45911</v>
      </c>
      <c r="U147" s="4">
        <v>46092</v>
      </c>
      <c r="V147" s="2">
        <f t="shared" ca="1" si="8"/>
        <v>7</v>
      </c>
      <c r="W147" s="116" t="str">
        <f t="shared" ca="1" si="9"/>
        <v>Por Vencer</v>
      </c>
      <c r="X147" s="19" t="s">
        <v>73</v>
      </c>
    </row>
    <row r="148" spans="1:205">
      <c r="A148" s="142" t="s">
        <v>26</v>
      </c>
      <c r="B148" s="19" t="s">
        <v>344</v>
      </c>
      <c r="C148" s="24">
        <v>17246140</v>
      </c>
      <c r="D148" s="19">
        <v>9</v>
      </c>
      <c r="E148" s="23">
        <v>34</v>
      </c>
      <c r="F148" s="19" t="s">
        <v>28</v>
      </c>
      <c r="G148" s="19" t="s">
        <v>29</v>
      </c>
      <c r="H148" s="19" t="s">
        <v>96</v>
      </c>
      <c r="I148" s="19" t="s">
        <v>97</v>
      </c>
      <c r="J148" s="19" t="s">
        <v>83</v>
      </c>
      <c r="K148" s="19" t="s">
        <v>31</v>
      </c>
      <c r="L148" s="46">
        <v>45853</v>
      </c>
      <c r="M148" s="19" t="s">
        <v>31</v>
      </c>
      <c r="N148" s="45" t="s">
        <v>32</v>
      </c>
      <c r="O148" s="19" t="s">
        <v>45</v>
      </c>
      <c r="P148" s="19" t="s">
        <v>345</v>
      </c>
      <c r="Q148" s="51" t="s">
        <v>346</v>
      </c>
      <c r="R148" s="19" t="s">
        <v>48</v>
      </c>
      <c r="S148" s="19" t="s">
        <v>49</v>
      </c>
      <c r="T148" s="59">
        <v>45853</v>
      </c>
      <c r="U148" s="4">
        <v>45884</v>
      </c>
      <c r="V148" s="2">
        <f t="shared" ca="1" si="8"/>
        <v>-201</v>
      </c>
      <c r="W148" s="116" t="str">
        <f t="shared" ca="1" si="9"/>
        <v>Vencido</v>
      </c>
      <c r="X148" s="19" t="s">
        <v>50</v>
      </c>
    </row>
    <row r="149" spans="1:205">
      <c r="A149" s="142" t="s">
        <v>26</v>
      </c>
      <c r="B149" s="19" t="s">
        <v>347</v>
      </c>
      <c r="C149" s="24">
        <v>4089774</v>
      </c>
      <c r="D149" s="19">
        <v>7</v>
      </c>
      <c r="E149" s="23">
        <v>84</v>
      </c>
      <c r="F149" s="19" t="s">
        <v>28</v>
      </c>
      <c r="G149" s="19" t="s">
        <v>348</v>
      </c>
      <c r="H149" s="19"/>
      <c r="I149" s="19"/>
      <c r="J149" s="19"/>
      <c r="K149" s="19" t="s">
        <v>110</v>
      </c>
      <c r="L149" s="46"/>
      <c r="M149" s="19" t="s">
        <v>31</v>
      </c>
      <c r="N149" s="45" t="s">
        <v>32</v>
      </c>
      <c r="O149" s="19" t="s">
        <v>33</v>
      </c>
      <c r="P149" s="19" t="s">
        <v>147</v>
      </c>
      <c r="Q149" s="51" t="s">
        <v>88</v>
      </c>
      <c r="R149" s="19" t="s">
        <v>86</v>
      </c>
      <c r="S149" s="19" t="s">
        <v>94</v>
      </c>
      <c r="T149" s="59">
        <v>45888</v>
      </c>
      <c r="U149" s="4">
        <v>46072</v>
      </c>
      <c r="V149" s="2">
        <f t="shared" ca="1" si="8"/>
        <v>-13</v>
      </c>
      <c r="W149" s="116" t="str">
        <f t="shared" ca="1" si="9"/>
        <v>Vencido</v>
      </c>
      <c r="X149" s="19" t="s">
        <v>73</v>
      </c>
    </row>
    <row r="150" spans="1:205">
      <c r="A150" s="142" t="s">
        <v>26</v>
      </c>
      <c r="B150" s="19" t="s">
        <v>349</v>
      </c>
      <c r="C150" s="34">
        <v>5457954</v>
      </c>
      <c r="D150" s="34">
        <v>3</v>
      </c>
      <c r="E150" s="34">
        <v>79</v>
      </c>
      <c r="F150" s="34" t="s">
        <v>28</v>
      </c>
      <c r="G150" s="34" t="s">
        <v>68</v>
      </c>
      <c r="H150" s="34">
        <v>2025</v>
      </c>
      <c r="I150" s="50">
        <v>45680</v>
      </c>
      <c r="J150" s="34" t="s">
        <v>37</v>
      </c>
      <c r="K150" s="34" t="s">
        <v>230</v>
      </c>
      <c r="L150" s="50">
        <v>45661</v>
      </c>
      <c r="M150" s="34" t="s">
        <v>44</v>
      </c>
      <c r="N150" s="45" t="s">
        <v>32</v>
      </c>
      <c r="O150" s="19" t="s">
        <v>33</v>
      </c>
      <c r="P150" s="34" t="s">
        <v>350</v>
      </c>
      <c r="Q150" s="88" t="s">
        <v>274</v>
      </c>
      <c r="R150" s="34" t="s">
        <v>48</v>
      </c>
      <c r="S150" s="34" t="s">
        <v>56</v>
      </c>
      <c r="T150" s="76">
        <v>45934</v>
      </c>
      <c r="U150" s="50">
        <v>45935</v>
      </c>
      <c r="V150" s="116">
        <f t="shared" ca="1" si="8"/>
        <v>-150</v>
      </c>
      <c r="W150" s="116" t="str">
        <f t="shared" ca="1" si="9"/>
        <v>Vencido</v>
      </c>
      <c r="X150" s="34"/>
    </row>
    <row r="151" spans="1:205">
      <c r="A151" s="142" t="s">
        <v>26</v>
      </c>
      <c r="B151" s="19" t="s">
        <v>351</v>
      </c>
      <c r="C151" s="29">
        <v>16187720</v>
      </c>
      <c r="D151" s="28">
        <v>4</v>
      </c>
      <c r="E151" s="23">
        <v>38</v>
      </c>
      <c r="F151" s="28" t="s">
        <v>58</v>
      </c>
      <c r="G151" s="19" t="s">
        <v>29</v>
      </c>
      <c r="H151" s="19">
        <v>2021</v>
      </c>
      <c r="I151" s="48">
        <v>44331</v>
      </c>
      <c r="J151" s="28" t="s">
        <v>83</v>
      </c>
      <c r="K151" s="28" t="s">
        <v>31</v>
      </c>
      <c r="L151" s="28" t="s">
        <v>96</v>
      </c>
      <c r="M151" s="19" t="s">
        <v>31</v>
      </c>
      <c r="N151" s="45" t="s">
        <v>32</v>
      </c>
      <c r="O151" s="19" t="s">
        <v>33</v>
      </c>
      <c r="P151" s="19" t="s">
        <v>147</v>
      </c>
      <c r="Q151" s="51" t="s">
        <v>352</v>
      </c>
      <c r="R151" s="19" t="s">
        <v>55</v>
      </c>
      <c r="S151" s="19" t="s">
        <v>49</v>
      </c>
      <c r="T151" s="59">
        <v>45876</v>
      </c>
      <c r="U151" s="4">
        <v>45968</v>
      </c>
      <c r="V151" s="2">
        <f t="shared" ca="1" si="8"/>
        <v>-117</v>
      </c>
      <c r="W151" s="116" t="str">
        <f t="shared" ca="1" si="9"/>
        <v>Vencido</v>
      </c>
      <c r="X151" s="19" t="s">
        <v>73</v>
      </c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</row>
    <row r="152" spans="1:205">
      <c r="A152" s="142" t="s">
        <v>26</v>
      </c>
      <c r="B152" s="19" t="s">
        <v>353</v>
      </c>
      <c r="C152" s="24">
        <v>11939771</v>
      </c>
      <c r="D152" s="19">
        <v>5</v>
      </c>
      <c r="E152" s="23">
        <v>52</v>
      </c>
      <c r="F152" s="19" t="s">
        <v>109</v>
      </c>
      <c r="G152" s="19" t="s">
        <v>29</v>
      </c>
      <c r="H152" s="19" t="s">
        <v>96</v>
      </c>
      <c r="I152" s="19" t="s">
        <v>97</v>
      </c>
      <c r="J152" s="19" t="s">
        <v>83</v>
      </c>
      <c r="K152" s="19" t="s">
        <v>31</v>
      </c>
      <c r="L152" s="19" t="s">
        <v>96</v>
      </c>
      <c r="M152" s="19" t="s">
        <v>31</v>
      </c>
      <c r="N152" s="45" t="s">
        <v>32</v>
      </c>
      <c r="O152" s="19" t="s">
        <v>33</v>
      </c>
      <c r="P152" s="19"/>
      <c r="Q152" s="51" t="s">
        <v>354</v>
      </c>
      <c r="R152" s="19" t="s">
        <v>48</v>
      </c>
      <c r="S152" s="19" t="s">
        <v>49</v>
      </c>
      <c r="T152" s="118">
        <v>45995</v>
      </c>
      <c r="U152" s="4">
        <v>46026</v>
      </c>
      <c r="V152" s="116">
        <f t="shared" ca="1" si="8"/>
        <v>-59</v>
      </c>
      <c r="W152" s="116" t="str">
        <f t="shared" ca="1" si="9"/>
        <v>Vencido</v>
      </c>
      <c r="X152" s="19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</row>
    <row r="153" spans="1:205" ht="45" customHeight="1">
      <c r="A153" s="142" t="s">
        <v>26</v>
      </c>
      <c r="B153" s="19" t="s">
        <v>355</v>
      </c>
      <c r="C153" s="24">
        <v>7222128</v>
      </c>
      <c r="D153" s="19">
        <v>1</v>
      </c>
      <c r="E153" s="23">
        <v>70</v>
      </c>
      <c r="F153" s="19" t="s">
        <v>28</v>
      </c>
      <c r="G153" s="19" t="s">
        <v>29</v>
      </c>
      <c r="H153" s="19">
        <v>2022</v>
      </c>
      <c r="I153" s="46">
        <v>44735</v>
      </c>
      <c r="J153" s="19" t="s">
        <v>83</v>
      </c>
      <c r="K153" s="19" t="s">
        <v>31</v>
      </c>
      <c r="L153" s="19" t="s">
        <v>96</v>
      </c>
      <c r="M153" s="19" t="s">
        <v>31</v>
      </c>
      <c r="N153" s="45" t="s">
        <v>32</v>
      </c>
      <c r="O153" s="19" t="s">
        <v>33</v>
      </c>
      <c r="P153" s="19"/>
      <c r="Q153" s="51" t="s">
        <v>356</v>
      </c>
      <c r="R153" s="149" t="s">
        <v>48</v>
      </c>
      <c r="S153" s="2" t="s">
        <v>49</v>
      </c>
      <c r="T153" s="118">
        <v>46057</v>
      </c>
      <c r="U153" s="4">
        <v>46085</v>
      </c>
      <c r="V153" s="2">
        <f t="shared" ref="V153:V161" ca="1" si="10">U153-TODAY()</f>
        <v>0</v>
      </c>
      <c r="W153" s="116" t="str">
        <f t="shared" ref="W153:W161" ca="1" si="11">IF(V153&gt;=20,"Vigente",IF(AND(V153&gt;=1,V153&lt;=20),"Por Vencer","Vencido"))</f>
        <v>Vencido</v>
      </c>
      <c r="X153" s="2"/>
    </row>
    <row r="154" spans="1:205" ht="37.5">
      <c r="A154" s="142" t="s">
        <v>26</v>
      </c>
      <c r="B154" s="19" t="s">
        <v>357</v>
      </c>
      <c r="C154" s="24">
        <v>8996706</v>
      </c>
      <c r="D154" s="19">
        <v>6</v>
      </c>
      <c r="E154" s="23">
        <v>65</v>
      </c>
      <c r="F154" s="19" t="s">
        <v>58</v>
      </c>
      <c r="G154" s="19" t="s">
        <v>29</v>
      </c>
      <c r="H154" s="19">
        <v>2023</v>
      </c>
      <c r="I154" s="46">
        <v>45028</v>
      </c>
      <c r="J154" s="19" t="s">
        <v>30</v>
      </c>
      <c r="K154" s="19" t="s">
        <v>31</v>
      </c>
      <c r="L154" s="46">
        <v>45076</v>
      </c>
      <c r="M154" s="19" t="s">
        <v>31</v>
      </c>
      <c r="N154" s="45" t="s">
        <v>32</v>
      </c>
      <c r="O154" s="19" t="s">
        <v>33</v>
      </c>
      <c r="P154" s="19" t="s">
        <v>147</v>
      </c>
      <c r="Q154" s="51" t="s">
        <v>123</v>
      </c>
      <c r="R154" s="19" t="s">
        <v>60</v>
      </c>
      <c r="S154" s="19" t="s">
        <v>49</v>
      </c>
      <c r="T154" s="118">
        <v>45834</v>
      </c>
      <c r="U154" s="4">
        <v>46017</v>
      </c>
      <c r="V154" s="2">
        <f t="shared" ca="1" si="10"/>
        <v>-68</v>
      </c>
      <c r="W154" s="116" t="str">
        <f t="shared" ca="1" si="11"/>
        <v>Vencido</v>
      </c>
      <c r="X154" s="19" t="s">
        <v>73</v>
      </c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</row>
    <row r="155" spans="1:205">
      <c r="A155" s="142" t="s">
        <v>26</v>
      </c>
      <c r="B155" s="19" t="s">
        <v>358</v>
      </c>
      <c r="C155" s="24">
        <v>9516836</v>
      </c>
      <c r="D155" s="19">
        <v>1</v>
      </c>
      <c r="E155" s="23">
        <v>60</v>
      </c>
      <c r="F155" s="19" t="s">
        <v>28</v>
      </c>
      <c r="G155" s="19" t="s">
        <v>29</v>
      </c>
      <c r="H155" s="19">
        <v>2020</v>
      </c>
      <c r="I155" s="46">
        <v>44102</v>
      </c>
      <c r="J155" s="19" t="s">
        <v>83</v>
      </c>
      <c r="K155" s="19" t="s">
        <v>31</v>
      </c>
      <c r="L155" s="46">
        <v>44509</v>
      </c>
      <c r="M155" s="19" t="s">
        <v>31</v>
      </c>
      <c r="N155" s="45" t="s">
        <v>32</v>
      </c>
      <c r="O155" s="19" t="s">
        <v>33</v>
      </c>
      <c r="P155" s="19" t="s">
        <v>84</v>
      </c>
      <c r="Q155" s="51" t="s">
        <v>103</v>
      </c>
      <c r="R155" s="19" t="s">
        <v>55</v>
      </c>
      <c r="S155" s="19" t="s">
        <v>49</v>
      </c>
      <c r="T155" s="118">
        <v>45862</v>
      </c>
      <c r="U155" s="4">
        <v>45954</v>
      </c>
      <c r="V155" s="2">
        <f t="shared" ca="1" si="10"/>
        <v>-131</v>
      </c>
      <c r="W155" s="116" t="str">
        <f t="shared" ca="1" si="11"/>
        <v>Vencido</v>
      </c>
      <c r="X155" s="19" t="s">
        <v>73</v>
      </c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</row>
    <row r="156" spans="1:205">
      <c r="A156" s="142" t="s">
        <v>26</v>
      </c>
      <c r="B156" s="19" t="s">
        <v>359</v>
      </c>
      <c r="C156" s="72">
        <v>13329348</v>
      </c>
      <c r="D156" s="71">
        <v>5</v>
      </c>
      <c r="E156" s="23">
        <v>46</v>
      </c>
      <c r="F156" s="71" t="s">
        <v>28</v>
      </c>
      <c r="G156" s="19" t="s">
        <v>29</v>
      </c>
      <c r="H156" s="19">
        <v>2023</v>
      </c>
      <c r="I156" s="74">
        <v>45148</v>
      </c>
      <c r="J156" s="71" t="s">
        <v>30</v>
      </c>
      <c r="K156" s="71" t="s">
        <v>38</v>
      </c>
      <c r="L156" s="74">
        <v>45442</v>
      </c>
      <c r="M156" s="19" t="s">
        <v>90</v>
      </c>
      <c r="N156" s="45" t="s">
        <v>32</v>
      </c>
      <c r="O156" s="19" t="s">
        <v>45</v>
      </c>
      <c r="P156" s="51" t="s">
        <v>147</v>
      </c>
      <c r="Q156" s="51" t="s">
        <v>360</v>
      </c>
      <c r="R156" s="19" t="s">
        <v>301</v>
      </c>
      <c r="S156" s="19" t="s">
        <v>49</v>
      </c>
      <c r="T156" s="118">
        <v>45524</v>
      </c>
      <c r="U156" s="4">
        <v>45555</v>
      </c>
      <c r="V156" s="2">
        <f t="shared" ca="1" si="10"/>
        <v>-530</v>
      </c>
      <c r="W156" s="116" t="str">
        <f t="shared" ca="1" si="11"/>
        <v>Vencido</v>
      </c>
      <c r="X156" s="51" t="s">
        <v>73</v>
      </c>
    </row>
    <row r="157" spans="1:205">
      <c r="A157" s="142" t="s">
        <v>361</v>
      </c>
      <c r="B157" s="19" t="s">
        <v>362</v>
      </c>
      <c r="C157" s="34">
        <v>20601262</v>
      </c>
      <c r="D157" s="34">
        <v>5</v>
      </c>
      <c r="E157" s="34">
        <v>23</v>
      </c>
      <c r="F157" s="34" t="s">
        <v>28</v>
      </c>
      <c r="G157" s="34" t="s">
        <v>68</v>
      </c>
      <c r="H157" s="34">
        <v>2025</v>
      </c>
      <c r="I157" s="50">
        <v>45692</v>
      </c>
      <c r="J157" s="34" t="s">
        <v>37</v>
      </c>
      <c r="K157" s="34" t="s">
        <v>38</v>
      </c>
      <c r="L157" s="50">
        <v>45846</v>
      </c>
      <c r="M157" s="34" t="s">
        <v>44</v>
      </c>
      <c r="N157" s="83" t="s">
        <v>52</v>
      </c>
      <c r="O157" s="19" t="s">
        <v>33</v>
      </c>
      <c r="P157" s="34"/>
      <c r="Q157" s="34" t="s">
        <v>363</v>
      </c>
      <c r="R157" s="34" t="s">
        <v>48</v>
      </c>
      <c r="S157" s="34" t="s">
        <v>56</v>
      </c>
      <c r="T157" s="50">
        <v>45849</v>
      </c>
      <c r="U157" s="50">
        <v>45880</v>
      </c>
      <c r="V157" s="116">
        <f t="shared" ca="1" si="10"/>
        <v>-205</v>
      </c>
      <c r="W157" s="116" t="str">
        <f t="shared" ca="1" si="11"/>
        <v>Vencido</v>
      </c>
      <c r="X157" s="34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</row>
    <row r="158" spans="1:205" s="14" customFormat="1">
      <c r="A158" s="142" t="s">
        <v>26</v>
      </c>
      <c r="B158" s="19" t="s">
        <v>364</v>
      </c>
      <c r="C158" s="24">
        <v>17363912</v>
      </c>
      <c r="D158" s="19">
        <v>0</v>
      </c>
      <c r="E158" s="23">
        <v>34</v>
      </c>
      <c r="F158" s="19" t="s">
        <v>28</v>
      </c>
      <c r="G158" s="19" t="s">
        <v>29</v>
      </c>
      <c r="H158" s="19">
        <v>2021</v>
      </c>
      <c r="I158" s="46">
        <v>44278</v>
      </c>
      <c r="J158" s="19" t="s">
        <v>83</v>
      </c>
      <c r="K158" s="19" t="s">
        <v>31</v>
      </c>
      <c r="L158" s="46">
        <v>44355</v>
      </c>
      <c r="M158" s="34" t="s">
        <v>31</v>
      </c>
      <c r="N158" s="45" t="s">
        <v>32</v>
      </c>
      <c r="O158" s="19" t="s">
        <v>33</v>
      </c>
      <c r="P158" s="19"/>
      <c r="Q158" s="51" t="s">
        <v>365</v>
      </c>
      <c r="R158" s="34" t="s">
        <v>60</v>
      </c>
      <c r="S158" s="34" t="s">
        <v>49</v>
      </c>
      <c r="T158" s="118">
        <v>45995</v>
      </c>
      <c r="U158" s="4">
        <v>46177</v>
      </c>
      <c r="V158" s="116">
        <f t="shared" ca="1" si="10"/>
        <v>92</v>
      </c>
      <c r="W158" s="116" t="str">
        <f t="shared" ca="1" si="11"/>
        <v>Vigente</v>
      </c>
      <c r="X158" s="19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</row>
    <row r="159" spans="1:205" ht="37.5">
      <c r="A159" s="142" t="s">
        <v>26</v>
      </c>
      <c r="B159" s="19" t="s">
        <v>366</v>
      </c>
      <c r="C159" s="34">
        <v>12426195</v>
      </c>
      <c r="D159" s="34">
        <v>3</v>
      </c>
      <c r="E159" s="34">
        <v>52</v>
      </c>
      <c r="F159" s="34" t="s">
        <v>28</v>
      </c>
      <c r="G159" s="34" t="s">
        <v>68</v>
      </c>
      <c r="H159" s="34">
        <v>2024</v>
      </c>
      <c r="I159" s="50">
        <v>45616</v>
      </c>
      <c r="J159" s="34" t="s">
        <v>37</v>
      </c>
      <c r="K159" s="34" t="s">
        <v>110</v>
      </c>
      <c r="L159" s="50">
        <v>45678</v>
      </c>
      <c r="M159" s="34" t="s">
        <v>31</v>
      </c>
      <c r="N159" s="45" t="s">
        <v>32</v>
      </c>
      <c r="O159" s="19" t="s">
        <v>33</v>
      </c>
      <c r="P159" s="34" t="s">
        <v>84</v>
      </c>
      <c r="Q159" s="88" t="s">
        <v>367</v>
      </c>
      <c r="R159" s="34" t="s">
        <v>48</v>
      </c>
      <c r="S159" s="34">
        <f>+O433</f>
        <v>0</v>
      </c>
      <c r="T159" s="50">
        <v>45939</v>
      </c>
      <c r="U159" s="50">
        <v>45970</v>
      </c>
      <c r="V159" s="116">
        <f ca="1">U159-TODAY()</f>
        <v>-115</v>
      </c>
      <c r="W159" s="116" t="str">
        <f ca="1">IF(V159&gt;=20,"Vigente",IF(AND(V159&gt;=1,V159&lt;=20),"Por Vencer","Vencido"))</f>
        <v>Vencido</v>
      </c>
      <c r="X159" s="34" t="s">
        <v>73</v>
      </c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</row>
    <row r="160" spans="1:205">
      <c r="A160" s="142" t="s">
        <v>26</v>
      </c>
      <c r="B160" s="19" t="s">
        <v>368</v>
      </c>
      <c r="C160" s="34">
        <v>18009747</v>
      </c>
      <c r="D160" s="34">
        <v>3</v>
      </c>
      <c r="E160" s="34">
        <v>33</v>
      </c>
      <c r="F160" s="34" t="s">
        <v>58</v>
      </c>
      <c r="G160" s="34" t="s">
        <v>68</v>
      </c>
      <c r="H160" s="34">
        <v>2025</v>
      </c>
      <c r="I160" s="50">
        <v>45839</v>
      </c>
      <c r="J160" s="34" t="s">
        <v>105</v>
      </c>
      <c r="K160" s="34" t="s">
        <v>175</v>
      </c>
      <c r="L160" s="34"/>
      <c r="M160" s="34"/>
      <c r="N160" s="45" t="s">
        <v>32</v>
      </c>
      <c r="O160" s="19" t="s">
        <v>33</v>
      </c>
      <c r="P160" s="34" t="s">
        <v>345</v>
      </c>
      <c r="Q160" s="34" t="s">
        <v>369</v>
      </c>
      <c r="R160" s="34" t="s">
        <v>48</v>
      </c>
      <c r="S160" s="34" t="s">
        <v>94</v>
      </c>
      <c r="T160" s="118">
        <v>45904</v>
      </c>
      <c r="U160" s="4">
        <v>45965</v>
      </c>
      <c r="V160" s="116">
        <f t="shared" ca="1" si="10"/>
        <v>-120</v>
      </c>
      <c r="W160" s="116" t="str">
        <f t="shared" ca="1" si="11"/>
        <v>Vencido</v>
      </c>
      <c r="X160" s="19" t="s">
        <v>73</v>
      </c>
    </row>
    <row r="161" spans="1:205">
      <c r="A161" s="142" t="s">
        <v>26</v>
      </c>
      <c r="B161" s="19" t="s">
        <v>370</v>
      </c>
      <c r="C161" s="24">
        <v>13637406</v>
      </c>
      <c r="D161" s="19">
        <v>0</v>
      </c>
      <c r="E161" s="23">
        <v>46</v>
      </c>
      <c r="F161" s="19" t="s">
        <v>28</v>
      </c>
      <c r="G161" s="19" t="s">
        <v>29</v>
      </c>
      <c r="H161" s="19">
        <v>2022</v>
      </c>
      <c r="I161" s="46">
        <v>44568</v>
      </c>
      <c r="J161" s="19" t="s">
        <v>30</v>
      </c>
      <c r="K161" s="19" t="s">
        <v>31</v>
      </c>
      <c r="L161" s="46">
        <v>44905</v>
      </c>
      <c r="M161" s="19" t="s">
        <v>31</v>
      </c>
      <c r="N161" s="45" t="s">
        <v>32</v>
      </c>
      <c r="O161" s="19" t="s">
        <v>45</v>
      </c>
      <c r="P161" s="19" t="s">
        <v>147</v>
      </c>
      <c r="Q161" s="51" t="s">
        <v>88</v>
      </c>
      <c r="R161" s="19" t="s">
        <v>86</v>
      </c>
      <c r="S161" s="19" t="s">
        <v>49</v>
      </c>
      <c r="T161" s="118">
        <v>45911</v>
      </c>
      <c r="U161" s="4">
        <v>46092</v>
      </c>
      <c r="V161" s="116">
        <f t="shared" ca="1" si="10"/>
        <v>7</v>
      </c>
      <c r="W161" s="116" t="str">
        <f t="shared" ca="1" si="11"/>
        <v>Por Vencer</v>
      </c>
      <c r="X161" s="19" t="s">
        <v>73</v>
      </c>
    </row>
    <row r="162" spans="1:205" ht="37.5">
      <c r="A162" s="142" t="s">
        <v>158</v>
      </c>
      <c r="B162" s="135" t="s">
        <v>371</v>
      </c>
      <c r="C162" s="24">
        <v>15574700</v>
      </c>
      <c r="D162" s="19">
        <v>5</v>
      </c>
      <c r="E162" s="23">
        <v>34</v>
      </c>
      <c r="F162" s="19" t="s">
        <v>28</v>
      </c>
      <c r="G162" s="19" t="s">
        <v>372</v>
      </c>
      <c r="H162" s="19">
        <v>2025</v>
      </c>
      <c r="I162" s="46" t="s">
        <v>97</v>
      </c>
      <c r="J162" s="19" t="s">
        <v>37</v>
      </c>
      <c r="K162" s="19" t="s">
        <v>110</v>
      </c>
      <c r="L162" s="46" t="s">
        <v>96</v>
      </c>
      <c r="M162" s="19" t="s">
        <v>31</v>
      </c>
      <c r="N162" s="45" t="s">
        <v>32</v>
      </c>
      <c r="O162" s="19" t="s">
        <v>33</v>
      </c>
      <c r="P162" s="19" t="s">
        <v>84</v>
      </c>
      <c r="Q162" s="51" t="s">
        <v>373</v>
      </c>
      <c r="R162" s="19"/>
      <c r="S162" s="19"/>
      <c r="T162" s="118"/>
      <c r="U162" s="4"/>
      <c r="V162" s="116"/>
      <c r="W162" s="116"/>
      <c r="X162" s="19"/>
    </row>
    <row r="163" spans="1:205">
      <c r="A163" s="142" t="s">
        <v>158</v>
      </c>
      <c r="B163" s="19" t="s">
        <v>374</v>
      </c>
      <c r="C163" s="24">
        <v>6011965</v>
      </c>
      <c r="D163" s="19">
        <v>1</v>
      </c>
      <c r="E163" s="23">
        <v>76</v>
      </c>
      <c r="F163" s="19" t="s">
        <v>58</v>
      </c>
      <c r="G163" s="19" t="s">
        <v>68</v>
      </c>
      <c r="H163" s="19"/>
      <c r="I163" s="46"/>
      <c r="J163" s="19"/>
      <c r="K163" s="19" t="s">
        <v>110</v>
      </c>
      <c r="L163" s="46" t="s">
        <v>141</v>
      </c>
      <c r="M163" s="19" t="s">
        <v>31</v>
      </c>
      <c r="N163" s="45" t="s">
        <v>32</v>
      </c>
      <c r="O163" s="19" t="s">
        <v>203</v>
      </c>
      <c r="P163" s="19" t="s">
        <v>345</v>
      </c>
      <c r="Q163" s="51" t="s">
        <v>369</v>
      </c>
      <c r="R163" s="19" t="s">
        <v>301</v>
      </c>
      <c r="S163" s="19" t="s">
        <v>49</v>
      </c>
      <c r="T163" s="118">
        <v>45960</v>
      </c>
      <c r="U163" s="4">
        <v>45991</v>
      </c>
      <c r="V163" s="116">
        <f t="shared" ref="V163:V195" ca="1" si="12">U163-TODAY()</f>
        <v>-94</v>
      </c>
      <c r="W163" s="116" t="str">
        <f t="shared" ref="W163:W195" ca="1" si="13">IF(V163&gt;=20,"Vigente",IF(AND(V163&gt;=1,V163&lt;=20),"Por Vencer","Vencido"))</f>
        <v>Vencido</v>
      </c>
      <c r="X163" s="19" t="s">
        <v>73</v>
      </c>
    </row>
    <row r="164" spans="1:205">
      <c r="A164" s="142" t="s">
        <v>26</v>
      </c>
      <c r="B164" s="19" t="s">
        <v>375</v>
      </c>
      <c r="C164" s="35">
        <v>10833201</v>
      </c>
      <c r="D164" s="34">
        <v>8</v>
      </c>
      <c r="E164" s="36">
        <v>56</v>
      </c>
      <c r="F164" s="34" t="s">
        <v>28</v>
      </c>
      <c r="G164" s="34" t="s">
        <v>29</v>
      </c>
      <c r="H164" s="34" t="s">
        <v>96</v>
      </c>
      <c r="I164" s="34" t="s">
        <v>97</v>
      </c>
      <c r="J164" s="34" t="s">
        <v>83</v>
      </c>
      <c r="K164" s="34" t="s">
        <v>31</v>
      </c>
      <c r="L164" s="50">
        <v>43439</v>
      </c>
      <c r="M164" s="34" t="s">
        <v>31</v>
      </c>
      <c r="N164" s="45" t="s">
        <v>32</v>
      </c>
      <c r="O164" s="19" t="s">
        <v>45</v>
      </c>
      <c r="P164" s="34" t="s">
        <v>84</v>
      </c>
      <c r="Q164" s="51" t="s">
        <v>103</v>
      </c>
      <c r="R164" s="34" t="s">
        <v>112</v>
      </c>
      <c r="S164" s="34" t="s">
        <v>49</v>
      </c>
      <c r="T164" s="118">
        <v>45932</v>
      </c>
      <c r="U164" s="4">
        <v>46024</v>
      </c>
      <c r="V164" s="2">
        <f t="shared" ca="1" si="12"/>
        <v>-61</v>
      </c>
      <c r="W164" s="116" t="str">
        <f t="shared" ca="1" si="13"/>
        <v>Vencido</v>
      </c>
      <c r="X164" s="19" t="s">
        <v>73</v>
      </c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</row>
    <row r="165" spans="1:205" ht="37.5">
      <c r="A165" s="142" t="s">
        <v>158</v>
      </c>
      <c r="B165" s="19" t="s">
        <v>376</v>
      </c>
      <c r="C165" s="24">
        <v>20600390</v>
      </c>
      <c r="D165" s="19">
        <v>1</v>
      </c>
      <c r="E165" s="23">
        <v>24</v>
      </c>
      <c r="F165" s="19" t="s">
        <v>28</v>
      </c>
      <c r="G165" s="19" t="s">
        <v>260</v>
      </c>
      <c r="H165" s="19">
        <v>2025</v>
      </c>
      <c r="I165" s="46">
        <v>45869</v>
      </c>
      <c r="J165" s="19"/>
      <c r="K165" s="19" t="s">
        <v>38</v>
      </c>
      <c r="L165" s="46">
        <v>45930</v>
      </c>
      <c r="M165" s="19" t="s">
        <v>44</v>
      </c>
      <c r="N165" s="83" t="s">
        <v>52</v>
      </c>
      <c r="O165" s="19" t="s">
        <v>33</v>
      </c>
      <c r="P165" s="51" t="s">
        <v>377</v>
      </c>
      <c r="Q165" s="51" t="s">
        <v>176</v>
      </c>
      <c r="R165" s="19" t="s">
        <v>48</v>
      </c>
      <c r="S165" s="19" t="s">
        <v>49</v>
      </c>
      <c r="T165" s="118">
        <v>45904</v>
      </c>
      <c r="U165" s="4">
        <v>45934</v>
      </c>
      <c r="V165" s="2">
        <f t="shared" ca="1" si="12"/>
        <v>-151</v>
      </c>
      <c r="W165" s="116" t="str">
        <f t="shared" ca="1" si="13"/>
        <v>Vencido</v>
      </c>
      <c r="X165" s="19" t="s">
        <v>50</v>
      </c>
    </row>
    <row r="166" spans="1:205">
      <c r="A166" s="142" t="s">
        <v>26</v>
      </c>
      <c r="B166" s="19" t="s">
        <v>378</v>
      </c>
      <c r="C166" s="34">
        <v>9813646</v>
      </c>
      <c r="D166" s="34">
        <v>0</v>
      </c>
      <c r="E166" s="34">
        <v>61</v>
      </c>
      <c r="F166" s="34" t="s">
        <v>28</v>
      </c>
      <c r="G166" s="34" t="s">
        <v>68</v>
      </c>
      <c r="H166" s="34"/>
      <c r="I166" s="34"/>
      <c r="J166" s="34"/>
      <c r="K166" s="34" t="s">
        <v>31</v>
      </c>
      <c r="L166" s="34" t="s">
        <v>141</v>
      </c>
      <c r="M166" s="34"/>
      <c r="N166" s="45" t="s">
        <v>32</v>
      </c>
      <c r="O166" s="19" t="s">
        <v>45</v>
      </c>
      <c r="P166" s="34" t="s">
        <v>147</v>
      </c>
      <c r="Q166" s="88" t="s">
        <v>162</v>
      </c>
      <c r="R166" s="34" t="s">
        <v>72</v>
      </c>
      <c r="S166" s="34" t="s">
        <v>49</v>
      </c>
      <c r="T166" s="50">
        <v>45792</v>
      </c>
      <c r="U166" s="50">
        <v>45853</v>
      </c>
      <c r="V166" s="116">
        <f t="shared" ca="1" si="12"/>
        <v>-232</v>
      </c>
      <c r="W166" s="116" t="str">
        <f t="shared" ca="1" si="13"/>
        <v>Vencido</v>
      </c>
      <c r="X166" s="34" t="s">
        <v>73</v>
      </c>
    </row>
    <row r="167" spans="1:205">
      <c r="A167" s="142" t="s">
        <v>26</v>
      </c>
      <c r="B167" s="19" t="s">
        <v>379</v>
      </c>
      <c r="C167" s="24">
        <v>11181743</v>
      </c>
      <c r="D167" s="33" t="s">
        <v>144</v>
      </c>
      <c r="E167" s="23">
        <v>58</v>
      </c>
      <c r="F167" s="19" t="s">
        <v>58</v>
      </c>
      <c r="G167" s="19" t="s">
        <v>29</v>
      </c>
      <c r="H167" s="19" t="s">
        <v>96</v>
      </c>
      <c r="I167" s="46" t="s">
        <v>97</v>
      </c>
      <c r="J167" s="19" t="s">
        <v>30</v>
      </c>
      <c r="K167" s="19" t="s">
        <v>31</v>
      </c>
      <c r="L167" s="46" t="s">
        <v>96</v>
      </c>
      <c r="M167" s="34" t="s">
        <v>31</v>
      </c>
      <c r="N167" s="45" t="s">
        <v>32</v>
      </c>
      <c r="O167" s="19" t="s">
        <v>33</v>
      </c>
      <c r="P167" s="19"/>
      <c r="Q167" s="51" t="s">
        <v>135</v>
      </c>
      <c r="R167" s="34" t="s">
        <v>55</v>
      </c>
      <c r="S167" s="34" t="s">
        <v>49</v>
      </c>
      <c r="T167" s="118">
        <v>45981</v>
      </c>
      <c r="U167" s="4">
        <v>46073</v>
      </c>
      <c r="V167" s="2">
        <f t="shared" ca="1" si="12"/>
        <v>-12</v>
      </c>
      <c r="W167" s="116" t="str">
        <f t="shared" ca="1" si="13"/>
        <v>Vencido</v>
      </c>
      <c r="X167" s="19"/>
    </row>
    <row r="168" spans="1:205">
      <c r="A168" s="142" t="s">
        <v>26</v>
      </c>
      <c r="B168" s="19" t="s">
        <v>380</v>
      </c>
      <c r="C168" s="24">
        <v>14314235</v>
      </c>
      <c r="D168" s="19">
        <v>3</v>
      </c>
      <c r="E168" s="19">
        <v>47</v>
      </c>
      <c r="F168" s="19" t="s">
        <v>28</v>
      </c>
      <c r="G168" s="19" t="s">
        <v>29</v>
      </c>
      <c r="H168" s="19">
        <v>2023</v>
      </c>
      <c r="I168" s="46">
        <v>45250</v>
      </c>
      <c r="J168" s="19" t="s">
        <v>381</v>
      </c>
      <c r="K168" s="19" t="s">
        <v>38</v>
      </c>
      <c r="L168" s="46">
        <v>45615</v>
      </c>
      <c r="M168" s="19" t="s">
        <v>31</v>
      </c>
      <c r="N168" s="45" t="s">
        <v>32</v>
      </c>
      <c r="O168" s="19" t="s">
        <v>33</v>
      </c>
      <c r="P168" s="19"/>
      <c r="Q168" s="51" t="s">
        <v>135</v>
      </c>
      <c r="R168" s="19" t="s">
        <v>55</v>
      </c>
      <c r="S168" s="19" t="s">
        <v>49</v>
      </c>
      <c r="T168" s="118">
        <v>45981</v>
      </c>
      <c r="U168" s="4">
        <v>46073</v>
      </c>
      <c r="V168" s="116">
        <f t="shared" ca="1" si="12"/>
        <v>-12</v>
      </c>
      <c r="W168" s="116" t="str">
        <f t="shared" ca="1" si="13"/>
        <v>Vencido</v>
      </c>
      <c r="X168" s="19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</row>
    <row r="169" spans="1:205">
      <c r="A169" s="142" t="s">
        <v>26</v>
      </c>
      <c r="B169" s="19" t="s">
        <v>382</v>
      </c>
      <c r="C169" s="24">
        <v>3913360</v>
      </c>
      <c r="D169" s="19">
        <v>1</v>
      </c>
      <c r="E169" s="23">
        <v>85</v>
      </c>
      <c r="F169" s="19" t="s">
        <v>28</v>
      </c>
      <c r="G169" s="19" t="s">
        <v>29</v>
      </c>
      <c r="H169" s="19">
        <v>2019</v>
      </c>
      <c r="I169" s="46">
        <v>43684</v>
      </c>
      <c r="J169" s="19" t="s">
        <v>83</v>
      </c>
      <c r="K169" s="19" t="s">
        <v>31</v>
      </c>
      <c r="L169" s="46">
        <v>44381</v>
      </c>
      <c r="M169" s="19" t="s">
        <v>31</v>
      </c>
      <c r="N169" s="45" t="s">
        <v>32</v>
      </c>
      <c r="O169" s="19" t="s">
        <v>45</v>
      </c>
      <c r="P169" s="34" t="s">
        <v>84</v>
      </c>
      <c r="Q169" s="51" t="s">
        <v>107</v>
      </c>
      <c r="R169" s="19" t="s">
        <v>55</v>
      </c>
      <c r="S169" s="19" t="s">
        <v>49</v>
      </c>
      <c r="T169" s="118">
        <v>45943</v>
      </c>
      <c r="U169" s="4">
        <v>46035</v>
      </c>
      <c r="V169" s="116">
        <f ca="1">U169-TODAY()</f>
        <v>-50</v>
      </c>
      <c r="W169" s="116" t="str">
        <f ca="1">IF(V169&gt;=20,"Vigente",IF(AND(V169&gt;=1,V169&lt;=20),"Por Vencer","Vencido"))</f>
        <v>Vencido</v>
      </c>
      <c r="X169" s="19" t="s">
        <v>73</v>
      </c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</row>
    <row r="170" spans="1:205">
      <c r="A170" s="142" t="s">
        <v>26</v>
      </c>
      <c r="B170" s="19" t="s">
        <v>383</v>
      </c>
      <c r="C170" s="34">
        <v>6583545</v>
      </c>
      <c r="D170" s="34">
        <v>2</v>
      </c>
      <c r="E170" s="34">
        <v>73</v>
      </c>
      <c r="F170" s="34" t="s">
        <v>224</v>
      </c>
      <c r="G170" s="34" t="s">
        <v>68</v>
      </c>
      <c r="H170" s="34">
        <v>2024</v>
      </c>
      <c r="I170" s="34" t="s">
        <v>384</v>
      </c>
      <c r="J170" s="34" t="s">
        <v>258</v>
      </c>
      <c r="K170" s="34" t="s">
        <v>38</v>
      </c>
      <c r="L170" s="50">
        <v>45873</v>
      </c>
      <c r="M170" s="34" t="s">
        <v>90</v>
      </c>
      <c r="N170" s="45" t="s">
        <v>32</v>
      </c>
      <c r="O170" s="19" t="s">
        <v>33</v>
      </c>
      <c r="P170" s="88"/>
      <c r="Q170" s="34" t="s">
        <v>385</v>
      </c>
      <c r="R170" s="34" t="s">
        <v>60</v>
      </c>
      <c r="S170" s="34" t="s">
        <v>49</v>
      </c>
      <c r="T170" s="50">
        <v>46055</v>
      </c>
      <c r="U170" s="50">
        <v>46236</v>
      </c>
      <c r="V170" s="116">
        <f t="shared" ca="1" si="12"/>
        <v>151</v>
      </c>
      <c r="W170" s="116" t="str">
        <f t="shared" ca="1" si="13"/>
        <v>Vigente</v>
      </c>
      <c r="X170" s="34"/>
    </row>
    <row r="171" spans="1:205">
      <c r="A171" s="142" t="s">
        <v>26</v>
      </c>
      <c r="B171" s="19" t="s">
        <v>386</v>
      </c>
      <c r="C171" s="24">
        <v>10693901</v>
      </c>
      <c r="D171" s="33">
        <v>2</v>
      </c>
      <c r="E171" s="23">
        <v>74</v>
      </c>
      <c r="F171" s="19" t="s">
        <v>58</v>
      </c>
      <c r="G171" s="19" t="s">
        <v>29</v>
      </c>
      <c r="H171" s="19">
        <v>2020</v>
      </c>
      <c r="I171" s="46">
        <v>43899</v>
      </c>
      <c r="J171" s="19" t="s">
        <v>83</v>
      </c>
      <c r="K171" s="19" t="s">
        <v>31</v>
      </c>
      <c r="L171" s="46" t="s">
        <v>96</v>
      </c>
      <c r="M171" s="34" t="s">
        <v>31</v>
      </c>
      <c r="N171" s="45" t="s">
        <v>32</v>
      </c>
      <c r="O171" s="19" t="s">
        <v>33</v>
      </c>
      <c r="P171" s="19" t="s">
        <v>147</v>
      </c>
      <c r="Q171" s="51" t="s">
        <v>88</v>
      </c>
      <c r="R171" s="34" t="s">
        <v>60</v>
      </c>
      <c r="S171" s="34" t="s">
        <v>49</v>
      </c>
      <c r="T171" s="118">
        <v>45862</v>
      </c>
      <c r="U171" s="4">
        <v>46046</v>
      </c>
      <c r="V171" s="2">
        <f t="shared" ca="1" si="12"/>
        <v>-39</v>
      </c>
      <c r="W171" s="116" t="str">
        <f t="shared" ca="1" si="13"/>
        <v>Vencido</v>
      </c>
      <c r="X171" s="19" t="s">
        <v>73</v>
      </c>
    </row>
    <row r="172" spans="1:205" s="12" customFormat="1">
      <c r="A172" s="19" t="s">
        <v>26</v>
      </c>
      <c r="B172" s="19" t="s">
        <v>387</v>
      </c>
      <c r="C172" s="24">
        <v>5690820</v>
      </c>
      <c r="D172" s="33" t="s">
        <v>67</v>
      </c>
      <c r="E172" s="23">
        <v>80</v>
      </c>
      <c r="F172" s="19" t="s">
        <v>28</v>
      </c>
      <c r="G172" s="19" t="s">
        <v>29</v>
      </c>
      <c r="H172" s="19">
        <v>2020</v>
      </c>
      <c r="I172" s="46">
        <v>45001</v>
      </c>
      <c r="J172" s="19" t="s">
        <v>83</v>
      </c>
      <c r="K172" s="19" t="s">
        <v>31</v>
      </c>
      <c r="L172" s="46" t="s">
        <v>96</v>
      </c>
      <c r="M172" s="19" t="s">
        <v>31</v>
      </c>
      <c r="N172" s="146" t="s">
        <v>32</v>
      </c>
      <c r="O172" s="19" t="s">
        <v>33</v>
      </c>
      <c r="P172" s="19"/>
      <c r="Q172" s="51" t="s">
        <v>250</v>
      </c>
      <c r="R172" s="19" t="s">
        <v>60</v>
      </c>
      <c r="S172" s="19" t="s">
        <v>49</v>
      </c>
      <c r="T172" s="118">
        <v>45981</v>
      </c>
      <c r="U172" s="4">
        <v>46162</v>
      </c>
      <c r="V172" s="2">
        <f t="shared" ca="1" si="12"/>
        <v>77</v>
      </c>
      <c r="W172" s="145" t="str">
        <f t="shared" ca="1" si="13"/>
        <v>Vigente</v>
      </c>
      <c r="X172" s="19"/>
    </row>
    <row r="173" spans="1:205">
      <c r="A173" s="142" t="s">
        <v>26</v>
      </c>
      <c r="B173" s="19" t="s">
        <v>388</v>
      </c>
      <c r="C173" s="24">
        <v>15574068</v>
      </c>
      <c r="D173" s="33" t="s">
        <v>67</v>
      </c>
      <c r="E173" s="23">
        <v>38</v>
      </c>
      <c r="F173" s="19" t="s">
        <v>58</v>
      </c>
      <c r="G173" s="19" t="s">
        <v>29</v>
      </c>
      <c r="H173" s="19" t="s">
        <v>96</v>
      </c>
      <c r="I173" s="19" t="s">
        <v>97</v>
      </c>
      <c r="J173" s="19" t="s">
        <v>83</v>
      </c>
      <c r="K173" s="19" t="s">
        <v>31</v>
      </c>
      <c r="L173" s="19" t="s">
        <v>96</v>
      </c>
      <c r="M173" s="19" t="s">
        <v>31</v>
      </c>
      <c r="N173" s="45" t="s">
        <v>32</v>
      </c>
      <c r="O173" s="19" t="s">
        <v>45</v>
      </c>
      <c r="P173" s="19" t="s">
        <v>147</v>
      </c>
      <c r="Q173" s="51" t="s">
        <v>209</v>
      </c>
      <c r="R173" s="2" t="s">
        <v>60</v>
      </c>
      <c r="S173" s="2" t="s">
        <v>49</v>
      </c>
      <c r="T173" s="118">
        <v>45386</v>
      </c>
      <c r="U173" s="4">
        <v>45569</v>
      </c>
      <c r="V173" s="2">
        <f t="shared" ca="1" si="12"/>
        <v>-516</v>
      </c>
      <c r="W173" s="116" t="str">
        <f t="shared" ca="1" si="13"/>
        <v>Vencido</v>
      </c>
      <c r="X173" s="19" t="s">
        <v>73</v>
      </c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</row>
    <row r="174" spans="1:205">
      <c r="A174" s="142" t="s">
        <v>26</v>
      </c>
      <c r="B174" s="19" t="s">
        <v>389</v>
      </c>
      <c r="C174" s="34">
        <v>10637983</v>
      </c>
      <c r="D174" s="34">
        <v>1</v>
      </c>
      <c r="E174" s="34">
        <v>59</v>
      </c>
      <c r="F174" s="34" t="s">
        <v>28</v>
      </c>
      <c r="G174" s="34" t="s">
        <v>68</v>
      </c>
      <c r="H174" s="34"/>
      <c r="I174" s="34"/>
      <c r="J174" s="34" t="s">
        <v>37</v>
      </c>
      <c r="K174" s="34" t="s">
        <v>31</v>
      </c>
      <c r="L174" s="34"/>
      <c r="M174" s="34"/>
      <c r="N174" s="45" t="s">
        <v>32</v>
      </c>
      <c r="O174" s="19" t="s">
        <v>33</v>
      </c>
      <c r="P174" s="19"/>
      <c r="Q174" s="88" t="s">
        <v>88</v>
      </c>
      <c r="R174" s="34" t="s">
        <v>60</v>
      </c>
      <c r="S174" s="34" t="s">
        <v>49</v>
      </c>
      <c r="T174" s="50">
        <v>46030</v>
      </c>
      <c r="U174" s="50">
        <v>46211</v>
      </c>
      <c r="V174" s="116">
        <f t="shared" ca="1" si="12"/>
        <v>126</v>
      </c>
      <c r="W174" s="116" t="str">
        <f t="shared" ca="1" si="13"/>
        <v>Vigente</v>
      </c>
      <c r="X174" s="34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</row>
    <row r="175" spans="1:205">
      <c r="A175" s="142" t="s">
        <v>26</v>
      </c>
      <c r="B175" s="19" t="s">
        <v>390</v>
      </c>
      <c r="C175" s="34">
        <v>19667238</v>
      </c>
      <c r="D175" s="34">
        <v>9</v>
      </c>
      <c r="E175" s="34">
        <v>27</v>
      </c>
      <c r="F175" s="34" t="s">
        <v>58</v>
      </c>
      <c r="G175" s="34" t="s">
        <v>68</v>
      </c>
      <c r="H175" s="34">
        <v>2021</v>
      </c>
      <c r="I175" s="50">
        <v>44511</v>
      </c>
      <c r="J175" s="34" t="s">
        <v>105</v>
      </c>
      <c r="K175" s="34" t="s">
        <v>110</v>
      </c>
      <c r="L175" s="34" t="s">
        <v>310</v>
      </c>
      <c r="M175" s="34" t="s">
        <v>31</v>
      </c>
      <c r="N175" s="45" t="s">
        <v>32</v>
      </c>
      <c r="O175" s="19" t="s">
        <v>33</v>
      </c>
      <c r="P175" s="34"/>
      <c r="Q175" s="88" t="s">
        <v>103</v>
      </c>
      <c r="R175" s="34" t="s">
        <v>112</v>
      </c>
      <c r="S175" s="34" t="s">
        <v>49</v>
      </c>
      <c r="T175" s="50">
        <v>46065</v>
      </c>
      <c r="U175" s="50">
        <v>46154</v>
      </c>
      <c r="V175" s="2">
        <f t="shared" ca="1" si="12"/>
        <v>69</v>
      </c>
      <c r="W175" s="116" t="str">
        <f t="shared" ca="1" si="13"/>
        <v>Vigente</v>
      </c>
      <c r="X175" s="34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</row>
    <row r="176" spans="1:205" ht="37.5">
      <c r="A176" s="142" t="s">
        <v>26</v>
      </c>
      <c r="B176" s="19" t="s">
        <v>391</v>
      </c>
      <c r="C176" s="127">
        <v>19271272</v>
      </c>
      <c r="D176" s="19">
        <v>6</v>
      </c>
      <c r="E176" s="23">
        <v>29</v>
      </c>
      <c r="F176" s="19" t="s">
        <v>28</v>
      </c>
      <c r="G176" s="19" t="s">
        <v>29</v>
      </c>
      <c r="H176" s="19"/>
      <c r="I176" s="46">
        <v>45860</v>
      </c>
      <c r="J176" s="19"/>
      <c r="K176" s="19" t="s">
        <v>38</v>
      </c>
      <c r="L176" s="46" t="s">
        <v>310</v>
      </c>
      <c r="M176" s="34" t="s">
        <v>31</v>
      </c>
      <c r="N176" s="45" t="s">
        <v>32</v>
      </c>
      <c r="O176" s="19" t="s">
        <v>33</v>
      </c>
      <c r="P176" s="88"/>
      <c r="Q176" s="51" t="s">
        <v>392</v>
      </c>
      <c r="R176" s="34" t="s">
        <v>55</v>
      </c>
      <c r="S176" s="34" t="s">
        <v>94</v>
      </c>
      <c r="T176" s="50">
        <v>45988</v>
      </c>
      <c r="U176" s="50">
        <v>46080</v>
      </c>
      <c r="V176" s="2">
        <f t="shared" ca="1" si="12"/>
        <v>-5</v>
      </c>
      <c r="W176" s="116" t="str">
        <f t="shared" ca="1" si="13"/>
        <v>Vencido</v>
      </c>
      <c r="X176" s="34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</row>
    <row r="177" spans="1:205">
      <c r="A177" s="142" t="s">
        <v>26</v>
      </c>
      <c r="B177" s="19" t="s">
        <v>393</v>
      </c>
      <c r="C177" s="24">
        <v>12597377</v>
      </c>
      <c r="D177" s="19">
        <v>9</v>
      </c>
      <c r="E177" s="23">
        <v>50</v>
      </c>
      <c r="F177" s="19" t="s">
        <v>109</v>
      </c>
      <c r="G177" s="19" t="s">
        <v>29</v>
      </c>
      <c r="H177" s="19">
        <v>2022</v>
      </c>
      <c r="I177" s="46">
        <v>44572</v>
      </c>
      <c r="J177" s="19" t="s">
        <v>30</v>
      </c>
      <c r="K177" s="19" t="s">
        <v>31</v>
      </c>
      <c r="L177" s="46">
        <v>44957</v>
      </c>
      <c r="M177" s="34" t="s">
        <v>31</v>
      </c>
      <c r="N177" s="45" t="s">
        <v>32</v>
      </c>
      <c r="O177" s="19" t="s">
        <v>33</v>
      </c>
      <c r="P177" s="34"/>
      <c r="Q177" s="51" t="s">
        <v>394</v>
      </c>
      <c r="R177" s="34" t="s">
        <v>60</v>
      </c>
      <c r="S177" s="34" t="s">
        <v>49</v>
      </c>
      <c r="T177" s="118">
        <v>46030</v>
      </c>
      <c r="U177" s="4">
        <v>46061</v>
      </c>
      <c r="V177" s="2">
        <f ca="1">U177-TODAY()</f>
        <v>-24</v>
      </c>
      <c r="W177" s="116" t="str">
        <f ca="1">IF(V177&gt;=20,"Vigente",IF(AND(V177&gt;=1,V177&lt;=20),"Por Vencer","Vencido"))</f>
        <v>Vencido</v>
      </c>
      <c r="X177" s="34"/>
    </row>
    <row r="178" spans="1:205">
      <c r="A178" s="142" t="s">
        <v>26</v>
      </c>
      <c r="B178" s="19" t="s">
        <v>395</v>
      </c>
      <c r="C178" s="34">
        <v>17025704</v>
      </c>
      <c r="D178" s="34">
        <v>9</v>
      </c>
      <c r="E178" s="34">
        <v>36</v>
      </c>
      <c r="F178" s="34" t="s">
        <v>28</v>
      </c>
      <c r="G178" s="34" t="s">
        <v>68</v>
      </c>
      <c r="H178" s="34"/>
      <c r="I178" s="34"/>
      <c r="J178" s="34" t="s">
        <v>83</v>
      </c>
      <c r="K178" s="34" t="s">
        <v>31</v>
      </c>
      <c r="L178" s="34" t="s">
        <v>310</v>
      </c>
      <c r="M178" s="34" t="s">
        <v>31</v>
      </c>
      <c r="N178" s="45" t="s">
        <v>32</v>
      </c>
      <c r="O178" s="19" t="s">
        <v>45</v>
      </c>
      <c r="P178" s="34" t="s">
        <v>84</v>
      </c>
      <c r="Q178" s="34" t="s">
        <v>396</v>
      </c>
      <c r="R178" s="34" t="s">
        <v>48</v>
      </c>
      <c r="S178" s="34" t="s">
        <v>49</v>
      </c>
      <c r="T178" s="50">
        <v>45666</v>
      </c>
      <c r="U178" s="50">
        <v>45697</v>
      </c>
      <c r="V178" s="2">
        <f t="shared" ca="1" si="12"/>
        <v>-388</v>
      </c>
      <c r="W178" s="116" t="str">
        <f t="shared" ca="1" si="13"/>
        <v>Vencido</v>
      </c>
      <c r="X178" s="34" t="s">
        <v>73</v>
      </c>
    </row>
    <row r="179" spans="1:205">
      <c r="A179" s="142" t="s">
        <v>26</v>
      </c>
      <c r="B179" s="19" t="s">
        <v>397</v>
      </c>
      <c r="C179" s="24">
        <v>8034267</v>
      </c>
      <c r="D179" s="19">
        <v>5</v>
      </c>
      <c r="E179" s="23">
        <v>67</v>
      </c>
      <c r="F179" s="19" t="s">
        <v>58</v>
      </c>
      <c r="G179" s="19" t="s">
        <v>29</v>
      </c>
      <c r="H179" s="19">
        <v>2022</v>
      </c>
      <c r="I179" s="46">
        <v>44637</v>
      </c>
      <c r="J179" s="19" t="s">
        <v>30</v>
      </c>
      <c r="K179" s="19" t="s">
        <v>31</v>
      </c>
      <c r="L179" s="46">
        <v>45049</v>
      </c>
      <c r="M179" s="19" t="s">
        <v>31</v>
      </c>
      <c r="N179" s="45" t="s">
        <v>32</v>
      </c>
      <c r="O179" s="19" t="s">
        <v>45</v>
      </c>
      <c r="P179" s="19" t="s">
        <v>84</v>
      </c>
      <c r="Q179" s="51" t="s">
        <v>88</v>
      </c>
      <c r="R179" s="19" t="s">
        <v>60</v>
      </c>
      <c r="S179" s="19" t="s">
        <v>49</v>
      </c>
      <c r="T179" s="118">
        <v>45967</v>
      </c>
      <c r="U179" s="4">
        <v>46148</v>
      </c>
      <c r="V179" s="2">
        <f t="shared" ca="1" si="12"/>
        <v>63</v>
      </c>
      <c r="W179" s="116" t="str">
        <f t="shared" ca="1" si="13"/>
        <v>Vigente</v>
      </c>
      <c r="X179" s="19" t="s">
        <v>50</v>
      </c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</row>
    <row r="180" spans="1:205">
      <c r="A180" s="142" t="s">
        <v>26</v>
      </c>
      <c r="B180" s="19" t="s">
        <v>398</v>
      </c>
      <c r="C180" s="24">
        <v>16324421</v>
      </c>
      <c r="D180" s="19">
        <v>7</v>
      </c>
      <c r="E180" s="23">
        <v>38</v>
      </c>
      <c r="F180" s="19" t="s">
        <v>28</v>
      </c>
      <c r="G180" s="19" t="s">
        <v>29</v>
      </c>
      <c r="H180" s="19">
        <v>2023</v>
      </c>
      <c r="I180" s="46">
        <v>44991</v>
      </c>
      <c r="J180" s="19" t="s">
        <v>30</v>
      </c>
      <c r="K180" s="19" t="s">
        <v>38</v>
      </c>
      <c r="L180" s="46">
        <v>45034</v>
      </c>
      <c r="M180" s="19" t="s">
        <v>31</v>
      </c>
      <c r="N180" s="45" t="s">
        <v>32</v>
      </c>
      <c r="O180" s="19" t="s">
        <v>33</v>
      </c>
      <c r="P180" s="34"/>
      <c r="Q180" s="51" t="s">
        <v>88</v>
      </c>
      <c r="R180" s="19" t="s">
        <v>60</v>
      </c>
      <c r="S180" s="19" t="s">
        <v>49</v>
      </c>
      <c r="T180" s="118">
        <v>46030</v>
      </c>
      <c r="U180" s="4">
        <v>46211</v>
      </c>
      <c r="V180" s="116">
        <f t="shared" ca="1" si="12"/>
        <v>126</v>
      </c>
      <c r="W180" s="116" t="str">
        <f t="shared" ca="1" si="13"/>
        <v>Vigente</v>
      </c>
      <c r="X180" s="19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</row>
    <row r="181" spans="1:205" ht="37.5">
      <c r="A181" s="142" t="s">
        <v>26</v>
      </c>
      <c r="B181" s="19" t="s">
        <v>399</v>
      </c>
      <c r="C181" s="24">
        <v>18687710</v>
      </c>
      <c r="D181" s="19">
        <v>1</v>
      </c>
      <c r="E181" s="23">
        <v>30</v>
      </c>
      <c r="F181" s="19" t="s">
        <v>28</v>
      </c>
      <c r="G181" s="19" t="s">
        <v>29</v>
      </c>
      <c r="H181" s="19">
        <v>2022</v>
      </c>
      <c r="I181" s="46">
        <v>44830</v>
      </c>
      <c r="J181" s="19" t="s">
        <v>83</v>
      </c>
      <c r="K181" s="19" t="s">
        <v>31</v>
      </c>
      <c r="L181" s="46">
        <v>45160</v>
      </c>
      <c r="M181" s="34" t="s">
        <v>31</v>
      </c>
      <c r="N181" s="45" t="s">
        <v>32</v>
      </c>
      <c r="O181" s="19" t="s">
        <v>33</v>
      </c>
      <c r="P181" s="34"/>
      <c r="Q181" s="128" t="s">
        <v>400</v>
      </c>
      <c r="R181" s="34" t="s">
        <v>60</v>
      </c>
      <c r="S181" s="34" t="s">
        <v>49</v>
      </c>
      <c r="T181" s="118">
        <v>46058</v>
      </c>
      <c r="U181" s="4">
        <v>46239</v>
      </c>
      <c r="V181" s="2">
        <f t="shared" ca="1" si="12"/>
        <v>154</v>
      </c>
      <c r="W181" s="116" t="str">
        <f t="shared" ca="1" si="13"/>
        <v>Vigente</v>
      </c>
      <c r="X181" s="19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</row>
    <row r="182" spans="1:205">
      <c r="A182" s="142" t="s">
        <v>26</v>
      </c>
      <c r="B182" s="19" t="s">
        <v>401</v>
      </c>
      <c r="C182" s="34">
        <v>16850003</v>
      </c>
      <c r="D182" s="34">
        <v>3</v>
      </c>
      <c r="E182" s="34">
        <v>36</v>
      </c>
      <c r="F182" s="34" t="s">
        <v>28</v>
      </c>
      <c r="G182" s="34" t="s">
        <v>68</v>
      </c>
      <c r="H182" s="34">
        <v>2024</v>
      </c>
      <c r="I182" s="50">
        <v>45664</v>
      </c>
      <c r="J182" s="34" t="s">
        <v>37</v>
      </c>
      <c r="K182" s="34" t="s">
        <v>38</v>
      </c>
      <c r="L182" s="50">
        <v>45713</v>
      </c>
      <c r="M182" s="34" t="s">
        <v>44</v>
      </c>
      <c r="N182" s="83" t="s">
        <v>52</v>
      </c>
      <c r="O182" s="19" t="s">
        <v>45</v>
      </c>
      <c r="P182" s="34"/>
      <c r="Q182" s="34" t="s">
        <v>274</v>
      </c>
      <c r="R182" s="34" t="s">
        <v>48</v>
      </c>
      <c r="S182" s="34" t="s">
        <v>271</v>
      </c>
      <c r="T182" s="50">
        <v>45729</v>
      </c>
      <c r="U182" s="50">
        <v>45760</v>
      </c>
      <c r="V182" s="2">
        <f t="shared" ca="1" si="12"/>
        <v>-325</v>
      </c>
      <c r="W182" s="116" t="str">
        <f t="shared" ca="1" si="13"/>
        <v>Vencido</v>
      </c>
      <c r="X182" s="34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</row>
    <row r="183" spans="1:205">
      <c r="A183" s="142" t="s">
        <v>26</v>
      </c>
      <c r="B183" s="19" t="s">
        <v>402</v>
      </c>
      <c r="C183" s="34">
        <v>12770872</v>
      </c>
      <c r="D183" s="41" t="s">
        <v>67</v>
      </c>
      <c r="E183" s="34">
        <v>49</v>
      </c>
      <c r="F183" s="34" t="s">
        <v>28</v>
      </c>
      <c r="G183" s="34" t="s">
        <v>68</v>
      </c>
      <c r="H183" s="34">
        <v>2025</v>
      </c>
      <c r="I183" s="50">
        <v>45692</v>
      </c>
      <c r="J183" s="34" t="s">
        <v>37</v>
      </c>
      <c r="K183" s="34" t="s">
        <v>230</v>
      </c>
      <c r="L183" s="50">
        <v>45720</v>
      </c>
      <c r="M183" s="34" t="s">
        <v>44</v>
      </c>
      <c r="N183" s="153" t="s">
        <v>91</v>
      </c>
      <c r="O183" s="19" t="s">
        <v>33</v>
      </c>
      <c r="P183" s="34"/>
      <c r="Q183" s="88" t="s">
        <v>403</v>
      </c>
      <c r="R183" s="34" t="s">
        <v>48</v>
      </c>
      <c r="S183" s="34" t="s">
        <v>49</v>
      </c>
      <c r="T183" s="50">
        <v>45960</v>
      </c>
      <c r="U183" s="50">
        <v>46052</v>
      </c>
      <c r="V183" s="116">
        <f t="shared" ca="1" si="12"/>
        <v>-33</v>
      </c>
      <c r="W183" s="116" t="str">
        <f t="shared" ca="1" si="13"/>
        <v>Vencido</v>
      </c>
      <c r="X183" s="34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</row>
    <row r="184" spans="1:205">
      <c r="A184" s="142" t="s">
        <v>26</v>
      </c>
      <c r="B184" s="19" t="s">
        <v>404</v>
      </c>
      <c r="C184" s="34">
        <v>14352034</v>
      </c>
      <c r="D184" s="41" t="s">
        <v>67</v>
      </c>
      <c r="E184" s="34">
        <v>48</v>
      </c>
      <c r="F184" s="34" t="s">
        <v>36</v>
      </c>
      <c r="G184" s="34" t="s">
        <v>29</v>
      </c>
      <c r="H184" s="34">
        <v>2024</v>
      </c>
      <c r="I184" s="50">
        <v>45533</v>
      </c>
      <c r="J184" s="34" t="s">
        <v>37</v>
      </c>
      <c r="K184" s="34" t="s">
        <v>38</v>
      </c>
      <c r="L184" s="50">
        <v>45580</v>
      </c>
      <c r="M184" s="34" t="s">
        <v>31</v>
      </c>
      <c r="N184" s="45" t="s">
        <v>32</v>
      </c>
      <c r="O184" s="19" t="s">
        <v>33</v>
      </c>
      <c r="P184" s="34" t="s">
        <v>405</v>
      </c>
      <c r="Q184" s="88" t="s">
        <v>172</v>
      </c>
      <c r="R184" s="34" t="s">
        <v>173</v>
      </c>
      <c r="S184" s="34" t="s">
        <v>49</v>
      </c>
      <c r="T184" s="50">
        <v>45973</v>
      </c>
      <c r="U184" s="50">
        <v>46034</v>
      </c>
      <c r="V184" s="34">
        <f t="shared" ca="1" si="12"/>
        <v>-51</v>
      </c>
      <c r="W184" s="116" t="str">
        <f t="shared" ca="1" si="13"/>
        <v>Vencido</v>
      </c>
      <c r="X184" s="115" t="s">
        <v>73</v>
      </c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</row>
    <row r="185" spans="1:205">
      <c r="A185" s="142" t="s">
        <v>158</v>
      </c>
      <c r="B185" s="19" t="s">
        <v>406</v>
      </c>
      <c r="C185" s="127">
        <v>12610488</v>
      </c>
      <c r="D185" s="41" t="s">
        <v>67</v>
      </c>
      <c r="E185" s="34">
        <v>51</v>
      </c>
      <c r="F185" s="34" t="s">
        <v>28</v>
      </c>
      <c r="G185" s="34" t="s">
        <v>68</v>
      </c>
      <c r="H185" s="34"/>
      <c r="I185" s="50"/>
      <c r="J185" s="34"/>
      <c r="K185" s="34" t="s">
        <v>110</v>
      </c>
      <c r="L185" s="50"/>
      <c r="M185" s="34" t="s">
        <v>31</v>
      </c>
      <c r="N185" s="45" t="s">
        <v>32</v>
      </c>
      <c r="O185" s="19" t="s">
        <v>33</v>
      </c>
      <c r="P185" s="34"/>
      <c r="Q185" s="88" t="s">
        <v>172</v>
      </c>
      <c r="R185" s="34" t="s">
        <v>72</v>
      </c>
      <c r="S185" s="34" t="s">
        <v>94</v>
      </c>
      <c r="T185" s="50">
        <v>45981</v>
      </c>
      <c r="U185" s="50">
        <v>46042</v>
      </c>
      <c r="V185" s="34">
        <f t="shared" ca="1" si="12"/>
        <v>-43</v>
      </c>
      <c r="W185" s="116" t="str">
        <f t="shared" ca="1" si="13"/>
        <v>Vencido</v>
      </c>
      <c r="X185" s="34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</row>
    <row r="186" spans="1:205">
      <c r="A186" s="142" t="s">
        <v>26</v>
      </c>
      <c r="B186" s="19" t="s">
        <v>407</v>
      </c>
      <c r="C186" s="34">
        <v>15043750</v>
      </c>
      <c r="D186" s="34">
        <v>4</v>
      </c>
      <c r="E186" s="34">
        <v>41</v>
      </c>
      <c r="F186" s="34" t="s">
        <v>28</v>
      </c>
      <c r="G186" s="19" t="s">
        <v>29</v>
      </c>
      <c r="H186" s="34">
        <v>2023</v>
      </c>
      <c r="I186" s="50">
        <v>45009</v>
      </c>
      <c r="J186" s="34" t="s">
        <v>83</v>
      </c>
      <c r="K186" s="19" t="s">
        <v>31</v>
      </c>
      <c r="L186" s="34" t="s">
        <v>96</v>
      </c>
      <c r="M186" s="34" t="s">
        <v>31</v>
      </c>
      <c r="N186" s="45" t="s">
        <v>32</v>
      </c>
      <c r="O186" s="19" t="s">
        <v>45</v>
      </c>
      <c r="P186" s="19" t="s">
        <v>147</v>
      </c>
      <c r="Q186" s="51" t="s">
        <v>107</v>
      </c>
      <c r="R186" s="34" t="s">
        <v>112</v>
      </c>
      <c r="S186" s="34" t="s">
        <v>94</v>
      </c>
      <c r="T186" s="118">
        <v>45967</v>
      </c>
      <c r="U186" s="4">
        <v>46059</v>
      </c>
      <c r="V186" s="2">
        <f t="shared" ca="1" si="12"/>
        <v>-26</v>
      </c>
      <c r="W186" s="116" t="str">
        <f t="shared" ca="1" si="13"/>
        <v>Vencido</v>
      </c>
      <c r="X186" s="19" t="s">
        <v>73</v>
      </c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</row>
    <row r="187" spans="1:205">
      <c r="A187" s="142" t="s">
        <v>26</v>
      </c>
      <c r="B187" s="19" t="s">
        <v>408</v>
      </c>
      <c r="C187" s="19">
        <v>12292089</v>
      </c>
      <c r="D187" s="19">
        <v>5</v>
      </c>
      <c r="E187" s="19">
        <v>51</v>
      </c>
      <c r="F187" s="19" t="s">
        <v>28</v>
      </c>
      <c r="G187" s="19" t="s">
        <v>29</v>
      </c>
      <c r="H187" s="19">
        <v>2020</v>
      </c>
      <c r="I187" s="46">
        <v>43871</v>
      </c>
      <c r="J187" s="19" t="s">
        <v>105</v>
      </c>
      <c r="K187" s="19" t="s">
        <v>31</v>
      </c>
      <c r="L187" s="19" t="s">
        <v>179</v>
      </c>
      <c r="M187" s="19" t="s">
        <v>31</v>
      </c>
      <c r="N187" s="45" t="s">
        <v>32</v>
      </c>
      <c r="O187" s="19" t="s">
        <v>45</v>
      </c>
      <c r="P187" s="19" t="s">
        <v>84</v>
      </c>
      <c r="Q187" s="51" t="s">
        <v>209</v>
      </c>
      <c r="R187" s="19" t="s">
        <v>86</v>
      </c>
      <c r="S187" s="19" t="s">
        <v>49</v>
      </c>
      <c r="T187" s="118">
        <v>45967</v>
      </c>
      <c r="U187" s="4">
        <v>46148</v>
      </c>
      <c r="V187" s="2">
        <f t="shared" ca="1" si="12"/>
        <v>63</v>
      </c>
      <c r="W187" s="116" t="str">
        <f t="shared" ca="1" si="13"/>
        <v>Vigente</v>
      </c>
      <c r="X187" s="19" t="s">
        <v>50</v>
      </c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</row>
    <row r="188" spans="1:205">
      <c r="A188" s="142" t="s">
        <v>26</v>
      </c>
      <c r="B188" s="19" t="s">
        <v>409</v>
      </c>
      <c r="C188" s="24">
        <v>17536331</v>
      </c>
      <c r="D188" s="19">
        <v>9</v>
      </c>
      <c r="E188" s="23">
        <v>50</v>
      </c>
      <c r="F188" s="19" t="s">
        <v>28</v>
      </c>
      <c r="G188" s="19" t="s">
        <v>29</v>
      </c>
      <c r="H188" s="19">
        <v>2023</v>
      </c>
      <c r="I188" s="46">
        <v>45034</v>
      </c>
      <c r="J188" s="19" t="s">
        <v>30</v>
      </c>
      <c r="K188" s="19" t="s">
        <v>38</v>
      </c>
      <c r="L188" s="46">
        <v>45545</v>
      </c>
      <c r="M188" s="19" t="s">
        <v>90</v>
      </c>
      <c r="N188" s="45" t="s">
        <v>32</v>
      </c>
      <c r="O188" s="19" t="s">
        <v>33</v>
      </c>
      <c r="P188" s="19" t="s">
        <v>84</v>
      </c>
      <c r="Q188" s="51" t="s">
        <v>88</v>
      </c>
      <c r="R188" s="19" t="s">
        <v>86</v>
      </c>
      <c r="S188" s="19" t="s">
        <v>49</v>
      </c>
      <c r="T188" s="118">
        <v>45877</v>
      </c>
      <c r="U188" s="4">
        <v>46061</v>
      </c>
      <c r="V188" s="2">
        <f t="shared" ca="1" si="12"/>
        <v>-24</v>
      </c>
      <c r="W188" s="116" t="str">
        <f t="shared" ca="1" si="13"/>
        <v>Vencido</v>
      </c>
      <c r="X188" s="19" t="s">
        <v>73</v>
      </c>
    </row>
    <row r="189" spans="1:205">
      <c r="A189" s="142" t="s">
        <v>26</v>
      </c>
      <c r="B189" s="19" t="s">
        <v>410</v>
      </c>
      <c r="C189" s="24">
        <v>15575266</v>
      </c>
      <c r="D189" s="19">
        <v>1</v>
      </c>
      <c r="E189" s="23">
        <v>30</v>
      </c>
      <c r="F189" s="19" t="s">
        <v>58</v>
      </c>
      <c r="G189" s="19" t="s">
        <v>29</v>
      </c>
      <c r="H189" s="19" t="s">
        <v>96</v>
      </c>
      <c r="I189" s="19" t="s">
        <v>97</v>
      </c>
      <c r="J189" s="19" t="s">
        <v>83</v>
      </c>
      <c r="K189" s="19" t="s">
        <v>31</v>
      </c>
      <c r="L189" s="19" t="s">
        <v>96</v>
      </c>
      <c r="M189" s="34" t="s">
        <v>31</v>
      </c>
      <c r="N189" s="45" t="s">
        <v>32</v>
      </c>
      <c r="O189" s="19" t="s">
        <v>45</v>
      </c>
      <c r="P189" s="19" t="s">
        <v>84</v>
      </c>
      <c r="Q189" s="51" t="s">
        <v>103</v>
      </c>
      <c r="R189" s="34" t="s">
        <v>55</v>
      </c>
      <c r="S189" s="34" t="s">
        <v>49</v>
      </c>
      <c r="T189" s="118">
        <v>45526</v>
      </c>
      <c r="U189" s="4">
        <v>45618</v>
      </c>
      <c r="V189" s="2">
        <f t="shared" ca="1" si="12"/>
        <v>-467</v>
      </c>
      <c r="W189" s="116" t="str">
        <f t="shared" ca="1" si="13"/>
        <v>Vencido</v>
      </c>
      <c r="X189" s="19" t="s">
        <v>73</v>
      </c>
    </row>
    <row r="190" spans="1:205">
      <c r="A190" s="142" t="s">
        <v>26</v>
      </c>
      <c r="B190" s="19" t="s">
        <v>411</v>
      </c>
      <c r="C190" s="24">
        <v>15044461</v>
      </c>
      <c r="D190" s="19">
        <v>6</v>
      </c>
      <c r="E190" s="23">
        <v>41</v>
      </c>
      <c r="F190" s="19" t="s">
        <v>58</v>
      </c>
      <c r="G190" s="19" t="s">
        <v>29</v>
      </c>
      <c r="H190" s="19">
        <v>2021</v>
      </c>
      <c r="I190" s="46">
        <v>44435</v>
      </c>
      <c r="J190" s="19" t="s">
        <v>83</v>
      </c>
      <c r="K190" s="19" t="s">
        <v>31</v>
      </c>
      <c r="L190" s="46">
        <v>44389</v>
      </c>
      <c r="M190" s="34" t="s">
        <v>31</v>
      </c>
      <c r="N190" s="45" t="s">
        <v>32</v>
      </c>
      <c r="O190" s="19" t="s">
        <v>45</v>
      </c>
      <c r="P190" s="34" t="s">
        <v>147</v>
      </c>
      <c r="Q190" s="51" t="s">
        <v>313</v>
      </c>
      <c r="R190" s="34" t="s">
        <v>301</v>
      </c>
      <c r="S190" s="34" t="s">
        <v>49</v>
      </c>
      <c r="T190" s="118">
        <v>45799</v>
      </c>
      <c r="U190" s="4">
        <v>45830</v>
      </c>
      <c r="V190" s="2">
        <f t="shared" ca="1" si="12"/>
        <v>-255</v>
      </c>
      <c r="W190" s="116" t="str">
        <f t="shared" ca="1" si="13"/>
        <v>Vencido</v>
      </c>
      <c r="X190" s="19" t="s">
        <v>73</v>
      </c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</row>
    <row r="191" spans="1:205">
      <c r="A191" s="142" t="s">
        <v>26</v>
      </c>
      <c r="B191" s="19" t="s">
        <v>412</v>
      </c>
      <c r="C191" s="19">
        <v>15041032</v>
      </c>
      <c r="D191" s="19">
        <v>0</v>
      </c>
      <c r="E191" s="19">
        <v>41</v>
      </c>
      <c r="F191" s="19" t="s">
        <v>28</v>
      </c>
      <c r="G191" s="19" t="s">
        <v>29</v>
      </c>
      <c r="H191" s="34" t="s">
        <v>96</v>
      </c>
      <c r="I191" s="19" t="s">
        <v>97</v>
      </c>
      <c r="J191" s="19" t="s">
        <v>83</v>
      </c>
      <c r="K191" s="19" t="s">
        <v>31</v>
      </c>
      <c r="L191" s="19" t="s">
        <v>96</v>
      </c>
      <c r="M191" s="19" t="s">
        <v>31</v>
      </c>
      <c r="N191" s="45" t="s">
        <v>32</v>
      </c>
      <c r="O191" s="19" t="s">
        <v>45</v>
      </c>
      <c r="P191" s="19" t="s">
        <v>84</v>
      </c>
      <c r="Q191" s="78" t="s">
        <v>103</v>
      </c>
      <c r="R191" s="19" t="s">
        <v>55</v>
      </c>
      <c r="S191" s="19" t="s">
        <v>49</v>
      </c>
      <c r="T191" s="118">
        <v>45617</v>
      </c>
      <c r="U191" s="4">
        <v>45709</v>
      </c>
      <c r="V191" s="2">
        <f t="shared" ca="1" si="12"/>
        <v>-376</v>
      </c>
      <c r="W191" s="116" t="str">
        <f t="shared" ca="1" si="13"/>
        <v>Vencido</v>
      </c>
      <c r="X191" s="19" t="s">
        <v>73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</row>
    <row r="192" spans="1:205">
      <c r="A192" s="142" t="s">
        <v>26</v>
      </c>
      <c r="B192" s="19" t="s">
        <v>413</v>
      </c>
      <c r="C192" s="34">
        <v>18011465</v>
      </c>
      <c r="D192" s="34">
        <v>3</v>
      </c>
      <c r="E192" s="34">
        <v>32</v>
      </c>
      <c r="F192" s="34" t="s">
        <v>28</v>
      </c>
      <c r="G192" s="34" t="s">
        <v>68</v>
      </c>
      <c r="H192" s="34">
        <v>2024</v>
      </c>
      <c r="I192" s="50">
        <v>45474</v>
      </c>
      <c r="J192" s="34" t="s">
        <v>37</v>
      </c>
      <c r="K192" s="34" t="s">
        <v>38</v>
      </c>
      <c r="L192" s="50">
        <v>45664</v>
      </c>
      <c r="M192" s="34" t="s">
        <v>44</v>
      </c>
      <c r="N192" s="83" t="s">
        <v>52</v>
      </c>
      <c r="O192" s="19" t="s">
        <v>33</v>
      </c>
      <c r="P192" s="34"/>
      <c r="Q192" s="88" t="s">
        <v>414</v>
      </c>
      <c r="R192" s="34" t="s">
        <v>48</v>
      </c>
      <c r="S192" s="34" t="s">
        <v>49</v>
      </c>
      <c r="T192" s="50">
        <v>45862</v>
      </c>
      <c r="U192" s="50">
        <v>45924</v>
      </c>
      <c r="V192" s="2">
        <f t="shared" ca="1" si="12"/>
        <v>-161</v>
      </c>
      <c r="W192" s="116" t="str">
        <f t="shared" ca="1" si="13"/>
        <v>Vencido</v>
      </c>
      <c r="X192" s="34" t="s">
        <v>50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</row>
    <row r="193" spans="1:205">
      <c r="A193" s="142" t="s">
        <v>26</v>
      </c>
      <c r="B193" s="19" t="s">
        <v>415</v>
      </c>
      <c r="C193" s="35">
        <v>11194146</v>
      </c>
      <c r="D193" s="19">
        <v>7</v>
      </c>
      <c r="E193" s="36">
        <v>56</v>
      </c>
      <c r="F193" s="34" t="s">
        <v>28</v>
      </c>
      <c r="G193" s="34" t="s">
        <v>29</v>
      </c>
      <c r="H193" s="34">
        <v>2022</v>
      </c>
      <c r="I193" s="50">
        <v>44837</v>
      </c>
      <c r="J193" s="34" t="s">
        <v>83</v>
      </c>
      <c r="K193" s="34" t="s">
        <v>31</v>
      </c>
      <c r="L193" s="50">
        <v>44950</v>
      </c>
      <c r="M193" s="34" t="s">
        <v>31</v>
      </c>
      <c r="N193" s="45" t="s">
        <v>32</v>
      </c>
      <c r="O193" s="19" t="s">
        <v>45</v>
      </c>
      <c r="P193" s="19" t="s">
        <v>84</v>
      </c>
      <c r="Q193" s="51" t="s">
        <v>103</v>
      </c>
      <c r="R193" s="34" t="s">
        <v>55</v>
      </c>
      <c r="S193" s="34" t="s">
        <v>49</v>
      </c>
      <c r="T193" s="118">
        <v>45960</v>
      </c>
      <c r="U193" s="4">
        <v>46052</v>
      </c>
      <c r="V193" s="2">
        <f t="shared" ca="1" si="12"/>
        <v>-33</v>
      </c>
      <c r="W193" s="116" t="str">
        <f t="shared" ca="1" si="13"/>
        <v>Vencido</v>
      </c>
      <c r="X193" s="120" t="s">
        <v>73</v>
      </c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</row>
    <row r="194" spans="1:205">
      <c r="A194" s="142" t="s">
        <v>26</v>
      </c>
      <c r="B194" s="19" t="s">
        <v>416</v>
      </c>
      <c r="C194" s="24">
        <v>10457487</v>
      </c>
      <c r="D194" s="19">
        <v>4</v>
      </c>
      <c r="E194" s="23">
        <v>59</v>
      </c>
      <c r="F194" s="19" t="s">
        <v>28</v>
      </c>
      <c r="G194" s="19" t="s">
        <v>29</v>
      </c>
      <c r="H194" s="19">
        <v>2015</v>
      </c>
      <c r="I194" s="46">
        <v>42200</v>
      </c>
      <c r="J194" s="19" t="s">
        <v>30</v>
      </c>
      <c r="K194" s="19" t="s">
        <v>31</v>
      </c>
      <c r="L194" s="46">
        <v>45034</v>
      </c>
      <c r="M194" s="19" t="s">
        <v>31</v>
      </c>
      <c r="N194" s="45" t="s">
        <v>32</v>
      </c>
      <c r="O194" s="19" t="s">
        <v>33</v>
      </c>
      <c r="P194" s="19"/>
      <c r="Q194" s="51" t="s">
        <v>417</v>
      </c>
      <c r="R194" s="19" t="s">
        <v>60</v>
      </c>
      <c r="S194" s="19" t="s">
        <v>49</v>
      </c>
      <c r="T194" s="118">
        <v>45981</v>
      </c>
      <c r="U194" s="4">
        <v>46162</v>
      </c>
      <c r="V194" s="116">
        <f t="shared" ca="1" si="12"/>
        <v>77</v>
      </c>
      <c r="W194" s="116" t="str">
        <f t="shared" ca="1" si="13"/>
        <v>Vigente</v>
      </c>
      <c r="X194" s="19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</row>
    <row r="195" spans="1:205" ht="37.5">
      <c r="A195" s="142" t="s">
        <v>26</v>
      </c>
      <c r="B195" s="19" t="s">
        <v>418</v>
      </c>
      <c r="C195" s="24">
        <v>10786907</v>
      </c>
      <c r="D195" s="19">
        <v>7</v>
      </c>
      <c r="E195" s="23">
        <v>57</v>
      </c>
      <c r="F195" s="19" t="s">
        <v>224</v>
      </c>
      <c r="G195" s="19" t="s">
        <v>29</v>
      </c>
      <c r="H195" s="19">
        <v>2023</v>
      </c>
      <c r="I195" s="46">
        <v>45178</v>
      </c>
      <c r="J195" s="19" t="s">
        <v>30</v>
      </c>
      <c r="K195" s="19" t="s">
        <v>31</v>
      </c>
      <c r="L195" s="46">
        <v>45174</v>
      </c>
      <c r="M195" s="19" t="s">
        <v>31</v>
      </c>
      <c r="N195" s="45" t="s">
        <v>32</v>
      </c>
      <c r="O195" s="19" t="s">
        <v>33</v>
      </c>
      <c r="P195" s="19" t="s">
        <v>147</v>
      </c>
      <c r="Q195" s="51" t="s">
        <v>292</v>
      </c>
      <c r="R195" s="149" t="s">
        <v>60</v>
      </c>
      <c r="S195" s="2" t="s">
        <v>49</v>
      </c>
      <c r="T195" s="118">
        <v>45838</v>
      </c>
      <c r="U195" s="4">
        <v>46021</v>
      </c>
      <c r="V195" s="2">
        <f t="shared" ca="1" si="12"/>
        <v>-64</v>
      </c>
      <c r="W195" s="116" t="str">
        <f t="shared" ca="1" si="13"/>
        <v>Vencido</v>
      </c>
      <c r="X195" s="38" t="s">
        <v>73</v>
      </c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</row>
    <row r="196" spans="1:205">
      <c r="A196" s="142" t="s">
        <v>26</v>
      </c>
      <c r="B196" s="19" t="s">
        <v>419</v>
      </c>
      <c r="C196" s="24">
        <v>8964736</v>
      </c>
      <c r="D196" s="19">
        <v>3</v>
      </c>
      <c r="E196" s="23">
        <v>64</v>
      </c>
      <c r="F196" s="19" t="s">
        <v>28</v>
      </c>
      <c r="G196" s="19" t="s">
        <v>29</v>
      </c>
      <c r="H196" s="19">
        <v>2023</v>
      </c>
      <c r="I196" s="46">
        <v>45161</v>
      </c>
      <c r="J196" s="19" t="s">
        <v>30</v>
      </c>
      <c r="K196" s="19" t="s">
        <v>38</v>
      </c>
      <c r="L196" s="46">
        <v>45461</v>
      </c>
      <c r="M196" s="34" t="s">
        <v>31</v>
      </c>
      <c r="N196" s="45" t="s">
        <v>32</v>
      </c>
      <c r="O196" s="19" t="s">
        <v>45</v>
      </c>
      <c r="P196" s="34" t="s">
        <v>84</v>
      </c>
      <c r="Q196" s="51" t="s">
        <v>85</v>
      </c>
      <c r="R196" s="34" t="s">
        <v>86</v>
      </c>
      <c r="S196" s="34" t="s">
        <v>49</v>
      </c>
      <c r="T196" s="118">
        <v>45925</v>
      </c>
      <c r="U196" s="151">
        <v>46106</v>
      </c>
      <c r="V196" s="116"/>
      <c r="W196" s="116" t="str">
        <f t="shared" ref="W196" si="14">IF(V196&gt;=20,"Vigente",IF(AND(V196&gt;=1,V196&lt;=20),"Por Vencer","Vencido"))</f>
        <v>Vencido</v>
      </c>
      <c r="X196" s="19" t="s">
        <v>73</v>
      </c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</row>
    <row r="197" spans="1:205">
      <c r="A197" s="142" t="s">
        <v>26</v>
      </c>
      <c r="B197" s="19" t="s">
        <v>420</v>
      </c>
      <c r="C197" s="34">
        <v>10594551</v>
      </c>
      <c r="D197" s="34">
        <v>5</v>
      </c>
      <c r="E197" s="34">
        <v>69</v>
      </c>
      <c r="F197" s="34" t="s">
        <v>58</v>
      </c>
      <c r="G197" s="34" t="s">
        <v>29</v>
      </c>
      <c r="H197" s="34">
        <v>2024</v>
      </c>
      <c r="I197" s="50">
        <v>45623</v>
      </c>
      <c r="J197" s="34" t="s">
        <v>258</v>
      </c>
      <c r="K197" s="34" t="s">
        <v>38</v>
      </c>
      <c r="L197" s="50">
        <v>45839</v>
      </c>
      <c r="M197" s="34" t="s">
        <v>90</v>
      </c>
      <c r="N197" s="153" t="s">
        <v>91</v>
      </c>
      <c r="O197" s="19" t="s">
        <v>33</v>
      </c>
      <c r="P197" s="34"/>
      <c r="Q197" s="88" t="s">
        <v>421</v>
      </c>
      <c r="R197" s="34" t="s">
        <v>72</v>
      </c>
      <c r="S197" s="34" t="s">
        <v>49</v>
      </c>
      <c r="T197" s="50" t="s">
        <v>422</v>
      </c>
      <c r="U197" s="50">
        <v>46002</v>
      </c>
      <c r="V197" s="2">
        <f t="shared" ref="V197:V230" ca="1" si="15">U197-TODAY()</f>
        <v>-83</v>
      </c>
      <c r="W197" s="116" t="str">
        <f t="shared" ref="W197:W230" ca="1" si="16">IF(V197&gt;=20,"Vigente",IF(AND(V197&gt;=1,V197&lt;=20),"Por Vencer","Vencido"))</f>
        <v>Vencido</v>
      </c>
      <c r="X197" s="115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</row>
    <row r="198" spans="1:205">
      <c r="A198" s="142" t="s">
        <v>26</v>
      </c>
      <c r="B198" s="19" t="s">
        <v>423</v>
      </c>
      <c r="C198" s="34">
        <v>16052917</v>
      </c>
      <c r="D198" s="34">
        <v>2</v>
      </c>
      <c r="E198" s="34">
        <v>39</v>
      </c>
      <c r="F198" s="34" t="s">
        <v>28</v>
      </c>
      <c r="G198" s="34" t="s">
        <v>68</v>
      </c>
      <c r="H198" s="34">
        <v>2024</v>
      </c>
      <c r="I198" s="50">
        <v>45601</v>
      </c>
      <c r="J198" s="34" t="s">
        <v>37</v>
      </c>
      <c r="K198" s="34" t="s">
        <v>230</v>
      </c>
      <c r="L198" s="50">
        <v>45818</v>
      </c>
      <c r="M198" s="34" t="s">
        <v>31</v>
      </c>
      <c r="N198" s="45" t="s">
        <v>32</v>
      </c>
      <c r="O198" s="19" t="s">
        <v>33</v>
      </c>
      <c r="P198" s="88"/>
      <c r="Q198" s="88" t="s">
        <v>88</v>
      </c>
      <c r="R198" s="34" t="s">
        <v>86</v>
      </c>
      <c r="S198" s="34" t="s">
        <v>49</v>
      </c>
      <c r="T198" s="50">
        <v>46030</v>
      </c>
      <c r="U198" s="50">
        <v>46211</v>
      </c>
      <c r="V198" s="2">
        <f t="shared" ca="1" si="15"/>
        <v>126</v>
      </c>
      <c r="W198" s="116" t="str">
        <f t="shared" ca="1" si="16"/>
        <v>Vigente</v>
      </c>
      <c r="X198" s="34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</row>
    <row r="199" spans="1:205">
      <c r="A199" s="142" t="s">
        <v>26</v>
      </c>
      <c r="B199" s="19" t="s">
        <v>424</v>
      </c>
      <c r="C199" s="34">
        <v>18986534</v>
      </c>
      <c r="D199" s="34">
        <v>1</v>
      </c>
      <c r="E199" s="34">
        <v>29</v>
      </c>
      <c r="F199" s="34" t="s">
        <v>168</v>
      </c>
      <c r="G199" s="34" t="s">
        <v>260</v>
      </c>
      <c r="H199" s="34">
        <v>2025</v>
      </c>
      <c r="I199" s="50">
        <v>45902</v>
      </c>
      <c r="J199" s="34" t="s">
        <v>37</v>
      </c>
      <c r="K199" s="34" t="s">
        <v>230</v>
      </c>
      <c r="L199" s="50">
        <v>45979</v>
      </c>
      <c r="M199" s="34" t="s">
        <v>90</v>
      </c>
      <c r="N199" s="45" t="s">
        <v>32</v>
      </c>
      <c r="O199" s="19" t="s">
        <v>203</v>
      </c>
      <c r="P199" s="88"/>
      <c r="Q199" s="88" t="s">
        <v>425</v>
      </c>
      <c r="R199" s="34" t="s">
        <v>72</v>
      </c>
      <c r="S199" s="34" t="s">
        <v>271</v>
      </c>
      <c r="T199" s="50">
        <v>45979</v>
      </c>
      <c r="U199" s="50">
        <v>46009</v>
      </c>
      <c r="V199" s="2">
        <f t="shared" ca="1" si="15"/>
        <v>-76</v>
      </c>
      <c r="W199" s="116" t="str">
        <f t="shared" ca="1" si="16"/>
        <v>Vencido</v>
      </c>
      <c r="X199" s="129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</row>
    <row r="200" spans="1:205" ht="37.5">
      <c r="A200" s="142" t="s">
        <v>26</v>
      </c>
      <c r="B200" s="19" t="s">
        <v>426</v>
      </c>
      <c r="C200" s="34">
        <v>18299534</v>
      </c>
      <c r="D200" s="34">
        <v>7</v>
      </c>
      <c r="E200" s="34">
        <v>32</v>
      </c>
      <c r="F200" s="34" t="s">
        <v>28</v>
      </c>
      <c r="G200" s="34" t="s">
        <v>68</v>
      </c>
      <c r="H200" s="34">
        <v>2025</v>
      </c>
      <c r="I200" s="50">
        <v>45820</v>
      </c>
      <c r="J200" s="34" t="s">
        <v>37</v>
      </c>
      <c r="K200" s="34" t="s">
        <v>175</v>
      </c>
      <c r="L200" s="50">
        <v>45860</v>
      </c>
      <c r="M200" s="34" t="s">
        <v>31</v>
      </c>
      <c r="N200" s="45" t="s">
        <v>32</v>
      </c>
      <c r="O200" s="19" t="s">
        <v>45</v>
      </c>
      <c r="P200" s="34" t="s">
        <v>345</v>
      </c>
      <c r="Q200" s="88" t="s">
        <v>427</v>
      </c>
      <c r="R200" s="34" t="s">
        <v>48</v>
      </c>
      <c r="S200" s="34" t="s">
        <v>49</v>
      </c>
      <c r="T200" s="50">
        <v>45876</v>
      </c>
      <c r="U200" s="50">
        <v>45937</v>
      </c>
      <c r="V200" s="2">
        <f t="shared" ca="1" si="15"/>
        <v>-148</v>
      </c>
      <c r="W200" s="116" t="str">
        <f t="shared" ca="1" si="16"/>
        <v>Vencido</v>
      </c>
      <c r="X200" s="129" t="s">
        <v>50</v>
      </c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</row>
    <row r="201" spans="1:205">
      <c r="A201" s="142" t="s">
        <v>26</v>
      </c>
      <c r="B201" s="19" t="s">
        <v>428</v>
      </c>
      <c r="C201" s="24">
        <v>9266628</v>
      </c>
      <c r="D201" s="33" t="s">
        <v>67</v>
      </c>
      <c r="E201" s="23">
        <v>64</v>
      </c>
      <c r="F201" s="19" t="s">
        <v>58</v>
      </c>
      <c r="G201" s="19" t="s">
        <v>29</v>
      </c>
      <c r="H201" s="19">
        <v>2017</v>
      </c>
      <c r="I201" s="19" t="s">
        <v>97</v>
      </c>
      <c r="J201" s="19" t="s">
        <v>83</v>
      </c>
      <c r="K201" s="19" t="s">
        <v>31</v>
      </c>
      <c r="L201" s="19" t="s">
        <v>96</v>
      </c>
      <c r="M201" s="34" t="s">
        <v>31</v>
      </c>
      <c r="N201" s="45" t="s">
        <v>32</v>
      </c>
      <c r="O201" s="19" t="s">
        <v>33</v>
      </c>
      <c r="P201" s="19" t="s">
        <v>84</v>
      </c>
      <c r="Q201" s="51" t="s">
        <v>429</v>
      </c>
      <c r="R201" s="34" t="s">
        <v>86</v>
      </c>
      <c r="S201" s="34" t="s">
        <v>49</v>
      </c>
      <c r="T201" s="118">
        <v>45897</v>
      </c>
      <c r="U201" s="4">
        <v>46081</v>
      </c>
      <c r="V201" s="2">
        <f t="shared" ca="1" si="15"/>
        <v>-4</v>
      </c>
      <c r="W201" s="116" t="str">
        <f t="shared" ca="1" si="16"/>
        <v>Vencido</v>
      </c>
      <c r="X201" s="19" t="s">
        <v>50</v>
      </c>
    </row>
    <row r="202" spans="1:205">
      <c r="A202" s="142" t="s">
        <v>26</v>
      </c>
      <c r="B202" s="19" t="s">
        <v>430</v>
      </c>
      <c r="C202" s="24">
        <v>8926331</v>
      </c>
      <c r="D202" s="19" t="s">
        <v>67</v>
      </c>
      <c r="E202" s="19">
        <v>62</v>
      </c>
      <c r="F202" s="19" t="s">
        <v>58</v>
      </c>
      <c r="G202" s="19" t="s">
        <v>29</v>
      </c>
      <c r="H202" s="19">
        <v>2024</v>
      </c>
      <c r="I202" s="46">
        <v>45386</v>
      </c>
      <c r="J202" s="19" t="s">
        <v>37</v>
      </c>
      <c r="K202" s="19" t="s">
        <v>38</v>
      </c>
      <c r="L202" s="46">
        <v>45846</v>
      </c>
      <c r="M202" s="19" t="s">
        <v>90</v>
      </c>
      <c r="N202" s="45" t="s">
        <v>32</v>
      </c>
      <c r="O202" s="19" t="s">
        <v>33</v>
      </c>
      <c r="P202" s="19"/>
      <c r="Q202" s="51" t="s">
        <v>431</v>
      </c>
      <c r="R202" s="19" t="s">
        <v>48</v>
      </c>
      <c r="S202" s="19" t="s">
        <v>49</v>
      </c>
      <c r="T202" s="118">
        <v>45995</v>
      </c>
      <c r="U202" s="4">
        <v>46057</v>
      </c>
      <c r="V202" s="2">
        <f t="shared" ca="1" si="15"/>
        <v>-28</v>
      </c>
      <c r="W202" s="116" t="str">
        <f t="shared" ca="1" si="16"/>
        <v>Vencido</v>
      </c>
      <c r="X202" s="19"/>
    </row>
    <row r="203" spans="1:205">
      <c r="A203" s="142" t="s">
        <v>26</v>
      </c>
      <c r="B203" s="19" t="s">
        <v>432</v>
      </c>
      <c r="C203" s="35">
        <v>4183403</v>
      </c>
      <c r="D203" s="19" t="s">
        <v>67</v>
      </c>
      <c r="E203" s="36">
        <v>90</v>
      </c>
      <c r="F203" s="34" t="s">
        <v>58</v>
      </c>
      <c r="G203" s="34" t="s">
        <v>29</v>
      </c>
      <c r="H203" s="34">
        <v>2023</v>
      </c>
      <c r="I203" s="50">
        <v>45114</v>
      </c>
      <c r="J203" s="34" t="s">
        <v>30</v>
      </c>
      <c r="K203" s="34" t="s">
        <v>31</v>
      </c>
      <c r="L203" s="50">
        <v>45132</v>
      </c>
      <c r="M203" s="34" t="s">
        <v>31</v>
      </c>
      <c r="N203" s="45" t="s">
        <v>32</v>
      </c>
      <c r="O203" s="19" t="s">
        <v>33</v>
      </c>
      <c r="P203" s="19"/>
      <c r="Q203" s="51" t="s">
        <v>433</v>
      </c>
      <c r="R203" s="77" t="s">
        <v>72</v>
      </c>
      <c r="S203" s="34" t="s">
        <v>49</v>
      </c>
      <c r="T203" s="118">
        <v>45995</v>
      </c>
      <c r="U203" s="4">
        <v>46057</v>
      </c>
      <c r="V203" s="2">
        <f t="shared" ca="1" si="15"/>
        <v>-28</v>
      </c>
      <c r="W203" s="116" t="str">
        <f t="shared" ca="1" si="16"/>
        <v>Vencido</v>
      </c>
      <c r="X203" s="19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</row>
    <row r="204" spans="1:205" ht="42.75" customHeight="1">
      <c r="A204" s="142" t="s">
        <v>26</v>
      </c>
      <c r="B204" s="19" t="s">
        <v>434</v>
      </c>
      <c r="C204" s="34">
        <v>6631744</v>
      </c>
      <c r="D204" s="34">
        <v>7</v>
      </c>
      <c r="E204" s="34">
        <v>76</v>
      </c>
      <c r="F204" s="34" t="s">
        <v>224</v>
      </c>
      <c r="G204" s="34" t="s">
        <v>29</v>
      </c>
      <c r="H204" s="34">
        <v>2024</v>
      </c>
      <c r="I204" s="50">
        <v>45484</v>
      </c>
      <c r="J204" s="34" t="s">
        <v>37</v>
      </c>
      <c r="K204" s="34" t="s">
        <v>38</v>
      </c>
      <c r="L204" s="50">
        <v>45694</v>
      </c>
      <c r="M204" s="34" t="s">
        <v>90</v>
      </c>
      <c r="N204" s="45" t="s">
        <v>32</v>
      </c>
      <c r="O204" s="19" t="s">
        <v>33</v>
      </c>
      <c r="P204" s="34"/>
      <c r="Q204" s="88" t="s">
        <v>172</v>
      </c>
      <c r="R204" s="34" t="s">
        <v>72</v>
      </c>
      <c r="S204" s="34" t="s">
        <v>49</v>
      </c>
      <c r="T204" s="50">
        <v>45995</v>
      </c>
      <c r="U204" s="50">
        <v>46057</v>
      </c>
      <c r="V204" s="2">
        <f t="shared" ca="1" si="15"/>
        <v>-28</v>
      </c>
      <c r="W204" s="116" t="str">
        <f t="shared" ca="1" si="16"/>
        <v>Vencido</v>
      </c>
      <c r="X204" s="34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</row>
    <row r="205" spans="1:205">
      <c r="A205" s="142" t="s">
        <v>26</v>
      </c>
      <c r="B205" s="19" t="s">
        <v>435</v>
      </c>
      <c r="C205" s="35">
        <v>9852928</v>
      </c>
      <c r="D205" s="19">
        <v>4</v>
      </c>
      <c r="E205" s="36">
        <v>61</v>
      </c>
      <c r="F205" s="34" t="s">
        <v>28</v>
      </c>
      <c r="G205" s="34" t="s">
        <v>29</v>
      </c>
      <c r="H205" s="34">
        <v>2018</v>
      </c>
      <c r="I205" s="34" t="s">
        <v>97</v>
      </c>
      <c r="J205" s="34" t="s">
        <v>83</v>
      </c>
      <c r="K205" s="34" t="s">
        <v>31</v>
      </c>
      <c r="L205" s="34" t="s">
        <v>96</v>
      </c>
      <c r="M205" s="34" t="s">
        <v>31</v>
      </c>
      <c r="N205" s="45" t="s">
        <v>32</v>
      </c>
      <c r="O205" s="19" t="s">
        <v>33</v>
      </c>
      <c r="P205" s="34"/>
      <c r="Q205" s="51" t="s">
        <v>436</v>
      </c>
      <c r="R205" s="34" t="s">
        <v>437</v>
      </c>
      <c r="S205" s="34" t="s">
        <v>49</v>
      </c>
      <c r="T205" s="118">
        <v>46070</v>
      </c>
      <c r="U205" s="4">
        <v>46435</v>
      </c>
      <c r="V205" s="2">
        <f t="shared" ca="1" si="15"/>
        <v>350</v>
      </c>
      <c r="W205" s="116" t="str">
        <f t="shared" ca="1" si="16"/>
        <v>Vigente</v>
      </c>
      <c r="X205" s="38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</row>
    <row r="206" spans="1:205">
      <c r="A206" s="142" t="s">
        <v>158</v>
      </c>
      <c r="B206" s="19" t="s">
        <v>438</v>
      </c>
      <c r="C206" s="35">
        <v>18860898</v>
      </c>
      <c r="D206" s="19">
        <v>1</v>
      </c>
      <c r="E206" s="36">
        <v>31</v>
      </c>
      <c r="F206" s="34" t="s">
        <v>28</v>
      </c>
      <c r="G206" s="34" t="s">
        <v>260</v>
      </c>
      <c r="H206" s="34"/>
      <c r="I206" s="50">
        <v>45910</v>
      </c>
      <c r="J206" s="34" t="s">
        <v>105</v>
      </c>
      <c r="K206" s="34" t="s">
        <v>110</v>
      </c>
      <c r="L206" s="34" t="s">
        <v>96</v>
      </c>
      <c r="M206" s="34" t="s">
        <v>31</v>
      </c>
      <c r="N206" s="45" t="s">
        <v>32</v>
      </c>
      <c r="O206" s="19" t="s">
        <v>203</v>
      </c>
      <c r="P206" s="34" t="s">
        <v>439</v>
      </c>
      <c r="Q206" s="51" t="s">
        <v>440</v>
      </c>
      <c r="R206" s="34" t="s">
        <v>301</v>
      </c>
      <c r="S206" s="34" t="s">
        <v>56</v>
      </c>
      <c r="T206" s="118">
        <v>45845</v>
      </c>
      <c r="U206" s="4">
        <v>46029</v>
      </c>
      <c r="V206" s="2">
        <f t="shared" ca="1" si="15"/>
        <v>-56</v>
      </c>
      <c r="W206" s="116" t="str">
        <f t="shared" ca="1" si="16"/>
        <v>Vencido</v>
      </c>
      <c r="X206" s="19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</row>
    <row r="207" spans="1:205">
      <c r="A207" s="142" t="s">
        <v>26</v>
      </c>
      <c r="B207" s="19" t="s">
        <v>441</v>
      </c>
      <c r="C207" s="34">
        <v>12426550</v>
      </c>
      <c r="D207" s="19">
        <v>9</v>
      </c>
      <c r="E207" s="34">
        <v>51</v>
      </c>
      <c r="F207" s="34" t="s">
        <v>28</v>
      </c>
      <c r="G207" s="34" t="s">
        <v>29</v>
      </c>
      <c r="H207" s="34">
        <v>2017</v>
      </c>
      <c r="I207" s="50">
        <v>42903</v>
      </c>
      <c r="J207" s="34" t="s">
        <v>30</v>
      </c>
      <c r="K207" s="34" t="s">
        <v>31</v>
      </c>
      <c r="L207" s="50">
        <v>44673</v>
      </c>
      <c r="M207" s="34" t="s">
        <v>31</v>
      </c>
      <c r="N207" s="45" t="s">
        <v>32</v>
      </c>
      <c r="O207" s="19" t="s">
        <v>33</v>
      </c>
      <c r="P207" s="34" t="s">
        <v>84</v>
      </c>
      <c r="Q207" s="88" t="s">
        <v>88</v>
      </c>
      <c r="R207" s="34" t="s">
        <v>60</v>
      </c>
      <c r="S207" s="34" t="s">
        <v>49</v>
      </c>
      <c r="T207" s="118">
        <v>45897</v>
      </c>
      <c r="U207" s="4">
        <v>46081</v>
      </c>
      <c r="V207" s="2">
        <f t="shared" ca="1" si="15"/>
        <v>-4</v>
      </c>
      <c r="W207" s="116" t="str">
        <f t="shared" ca="1" si="16"/>
        <v>Vencido</v>
      </c>
      <c r="X207" s="19" t="s">
        <v>73</v>
      </c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</row>
    <row r="208" spans="1:205">
      <c r="A208" s="142" t="s">
        <v>26</v>
      </c>
      <c r="B208" s="19" t="s">
        <v>442</v>
      </c>
      <c r="C208" s="34">
        <v>11376716</v>
      </c>
      <c r="D208" s="34">
        <v>2</v>
      </c>
      <c r="E208" s="34"/>
      <c r="F208" s="17" t="s">
        <v>222</v>
      </c>
      <c r="G208" s="34" t="s">
        <v>114</v>
      </c>
      <c r="H208" s="34"/>
      <c r="I208" s="50"/>
      <c r="J208" s="34"/>
      <c r="K208" s="34" t="s">
        <v>110</v>
      </c>
      <c r="L208" s="50"/>
      <c r="M208" s="34" t="s">
        <v>31</v>
      </c>
      <c r="N208" s="45" t="s">
        <v>32</v>
      </c>
      <c r="O208" s="19" t="s">
        <v>33</v>
      </c>
      <c r="P208" s="34" t="s">
        <v>147</v>
      </c>
      <c r="Q208" s="88" t="s">
        <v>85</v>
      </c>
      <c r="R208" s="34" t="s">
        <v>86</v>
      </c>
      <c r="S208" s="34" t="s">
        <v>49</v>
      </c>
      <c r="T208" s="50">
        <v>45944</v>
      </c>
      <c r="U208" s="50">
        <v>46126</v>
      </c>
      <c r="V208" s="34">
        <f t="shared" ca="1" si="15"/>
        <v>41</v>
      </c>
      <c r="W208" s="116" t="str">
        <f t="shared" ca="1" si="16"/>
        <v>Vigente</v>
      </c>
      <c r="X208" s="34" t="s">
        <v>73</v>
      </c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</row>
    <row r="209" spans="1:205">
      <c r="A209" s="142" t="s">
        <v>26</v>
      </c>
      <c r="B209" s="19" t="s">
        <v>443</v>
      </c>
      <c r="C209" s="24">
        <v>17940579</v>
      </c>
      <c r="D209" s="19">
        <v>2</v>
      </c>
      <c r="E209" s="19">
        <v>33</v>
      </c>
      <c r="F209" s="19" t="s">
        <v>28</v>
      </c>
      <c r="G209" s="19" t="s">
        <v>29</v>
      </c>
      <c r="H209" s="19">
        <v>2024</v>
      </c>
      <c r="I209" s="46">
        <v>45307</v>
      </c>
      <c r="J209" s="19" t="s">
        <v>37</v>
      </c>
      <c r="K209" s="19" t="s">
        <v>38</v>
      </c>
      <c r="L209" s="46">
        <v>45832</v>
      </c>
      <c r="M209" s="19" t="s">
        <v>31</v>
      </c>
      <c r="N209" s="45" t="s">
        <v>32</v>
      </c>
      <c r="O209" s="19" t="s">
        <v>45</v>
      </c>
      <c r="P209" s="19" t="s">
        <v>84</v>
      </c>
      <c r="Q209" s="51" t="s">
        <v>103</v>
      </c>
      <c r="R209" s="87" t="s">
        <v>55</v>
      </c>
      <c r="S209" s="19" t="s">
        <v>49</v>
      </c>
      <c r="T209" s="118">
        <v>45904</v>
      </c>
      <c r="U209" s="4">
        <v>45995</v>
      </c>
      <c r="V209" s="2">
        <f t="shared" ca="1" si="15"/>
        <v>-90</v>
      </c>
      <c r="W209" s="116" t="str">
        <f t="shared" ca="1" si="16"/>
        <v>Vencido</v>
      </c>
      <c r="X209" s="19" t="s">
        <v>50</v>
      </c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</row>
    <row r="210" spans="1:205">
      <c r="A210" s="142" t="s">
        <v>158</v>
      </c>
      <c r="B210" s="19" t="s">
        <v>444</v>
      </c>
      <c r="C210" s="24">
        <v>9690286</v>
      </c>
      <c r="D210" s="19">
        <v>7</v>
      </c>
      <c r="E210" s="19">
        <v>63</v>
      </c>
      <c r="F210" s="19" t="s">
        <v>36</v>
      </c>
      <c r="G210" s="19" t="s">
        <v>68</v>
      </c>
      <c r="H210" s="19">
        <v>2025</v>
      </c>
      <c r="I210" s="46"/>
      <c r="J210" s="19" t="s">
        <v>37</v>
      </c>
      <c r="K210" s="19" t="s">
        <v>445</v>
      </c>
      <c r="L210" s="46" t="s">
        <v>310</v>
      </c>
      <c r="M210" s="19" t="s">
        <v>31</v>
      </c>
      <c r="N210" s="45" t="s">
        <v>32</v>
      </c>
      <c r="O210" s="19" t="s">
        <v>203</v>
      </c>
      <c r="P210" s="19"/>
      <c r="Q210" s="51" t="s">
        <v>446</v>
      </c>
      <c r="R210" s="87" t="s">
        <v>301</v>
      </c>
      <c r="S210" s="19" t="s">
        <v>94</v>
      </c>
      <c r="T210" s="118">
        <v>46063</v>
      </c>
      <c r="U210" s="4">
        <v>46091</v>
      </c>
      <c r="V210" s="2">
        <f t="shared" ca="1" si="15"/>
        <v>6</v>
      </c>
      <c r="W210" s="116" t="str">
        <f t="shared" ca="1" si="16"/>
        <v>Por Vencer</v>
      </c>
      <c r="X210" s="19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</row>
    <row r="211" spans="1:205" ht="37.5">
      <c r="A211" s="142" t="s">
        <v>26</v>
      </c>
      <c r="B211" s="19" t="s">
        <v>447</v>
      </c>
      <c r="C211" s="80">
        <v>22995695</v>
      </c>
      <c r="D211" s="19">
        <v>7</v>
      </c>
      <c r="E211" s="80">
        <v>15</v>
      </c>
      <c r="F211" s="80" t="s">
        <v>36</v>
      </c>
      <c r="G211" s="80" t="s">
        <v>29</v>
      </c>
      <c r="H211" s="80">
        <v>2024</v>
      </c>
      <c r="I211" s="81">
        <v>45334</v>
      </c>
      <c r="J211" s="80"/>
      <c r="K211" s="80" t="s">
        <v>43</v>
      </c>
      <c r="L211" s="80" t="s">
        <v>141</v>
      </c>
      <c r="M211" s="80"/>
      <c r="N211" s="45" t="s">
        <v>32</v>
      </c>
      <c r="O211" s="19" t="s">
        <v>45</v>
      </c>
      <c r="P211" s="80" t="s">
        <v>448</v>
      </c>
      <c r="Q211" s="84" t="s">
        <v>449</v>
      </c>
      <c r="R211" s="80"/>
      <c r="S211" s="80" t="s">
        <v>56</v>
      </c>
      <c r="T211" s="125">
        <v>45442</v>
      </c>
      <c r="U211" s="85">
        <v>45534</v>
      </c>
      <c r="V211" s="86">
        <f t="shared" ca="1" si="15"/>
        <v>-551</v>
      </c>
      <c r="W211" s="116" t="str">
        <f t="shared" ca="1" si="16"/>
        <v>Vencido</v>
      </c>
      <c r="X211" s="80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</row>
    <row r="212" spans="1:205" ht="37.5">
      <c r="A212" s="142" t="s">
        <v>26</v>
      </c>
      <c r="B212" s="19" t="s">
        <v>450</v>
      </c>
      <c r="C212" s="34">
        <v>10972250</v>
      </c>
      <c r="D212" s="19">
        <v>2</v>
      </c>
      <c r="E212" s="34">
        <v>58</v>
      </c>
      <c r="F212" s="34" t="s">
        <v>58</v>
      </c>
      <c r="G212" s="34" t="s">
        <v>68</v>
      </c>
      <c r="H212" s="34"/>
      <c r="I212" s="34"/>
      <c r="J212" s="34" t="s">
        <v>105</v>
      </c>
      <c r="K212" s="34" t="s">
        <v>31</v>
      </c>
      <c r="L212" s="34"/>
      <c r="M212" s="34"/>
      <c r="N212" s="45" t="s">
        <v>32</v>
      </c>
      <c r="O212" s="19" t="s">
        <v>45</v>
      </c>
      <c r="P212" s="19" t="s">
        <v>84</v>
      </c>
      <c r="Q212" s="88" t="s">
        <v>451</v>
      </c>
      <c r="R212" s="34" t="s">
        <v>452</v>
      </c>
      <c r="S212" s="34" t="s">
        <v>49</v>
      </c>
      <c r="T212" s="50">
        <v>45848</v>
      </c>
      <c r="U212" s="50">
        <v>45879</v>
      </c>
      <c r="V212" s="2">
        <f t="shared" ca="1" si="15"/>
        <v>-206</v>
      </c>
      <c r="W212" s="116" t="str">
        <f t="shared" ca="1" si="16"/>
        <v>Vencido</v>
      </c>
      <c r="X212" s="34" t="s">
        <v>73</v>
      </c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</row>
    <row r="213" spans="1:205">
      <c r="A213" s="142" t="s">
        <v>26</v>
      </c>
      <c r="B213" s="19" t="s">
        <v>453</v>
      </c>
      <c r="C213" s="34">
        <v>7128893</v>
      </c>
      <c r="D213" s="19">
        <v>5</v>
      </c>
      <c r="E213" s="34">
        <v>70</v>
      </c>
      <c r="F213" s="34" t="s">
        <v>224</v>
      </c>
      <c r="G213" s="34" t="s">
        <v>68</v>
      </c>
      <c r="H213" s="34">
        <v>2025</v>
      </c>
      <c r="I213" s="50">
        <v>45722</v>
      </c>
      <c r="J213" s="34" t="s">
        <v>258</v>
      </c>
      <c r="K213" s="34" t="s">
        <v>38</v>
      </c>
      <c r="L213" s="34" t="s">
        <v>161</v>
      </c>
      <c r="M213" s="34" t="s">
        <v>44</v>
      </c>
      <c r="N213" s="83" t="s">
        <v>52</v>
      </c>
      <c r="O213" s="19" t="s">
        <v>45</v>
      </c>
      <c r="P213" s="34"/>
      <c r="Q213" s="88" t="s">
        <v>454</v>
      </c>
      <c r="R213" s="34" t="s">
        <v>48</v>
      </c>
      <c r="S213" s="34" t="s">
        <v>271</v>
      </c>
      <c r="T213" s="50">
        <v>45814</v>
      </c>
      <c r="U213" s="50">
        <v>45844</v>
      </c>
      <c r="V213" s="2">
        <f t="shared" ca="1" si="15"/>
        <v>-241</v>
      </c>
      <c r="W213" s="116" t="str">
        <f t="shared" ca="1" si="16"/>
        <v>Vencido</v>
      </c>
      <c r="X213" s="34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</row>
    <row r="214" spans="1:205">
      <c r="A214" s="142" t="s">
        <v>26</v>
      </c>
      <c r="B214" s="19" t="s">
        <v>455</v>
      </c>
      <c r="C214" s="24">
        <v>16059580</v>
      </c>
      <c r="D214" s="19">
        <v>9</v>
      </c>
      <c r="E214" s="23">
        <v>39</v>
      </c>
      <c r="F214" s="19" t="s">
        <v>28</v>
      </c>
      <c r="G214" s="19" t="s">
        <v>29</v>
      </c>
      <c r="H214" s="19">
        <v>2021</v>
      </c>
      <c r="I214" s="46">
        <v>44403</v>
      </c>
      <c r="J214" s="19" t="s">
        <v>83</v>
      </c>
      <c r="K214" s="19" t="s">
        <v>31</v>
      </c>
      <c r="L214" s="46">
        <v>44915</v>
      </c>
      <c r="M214" s="19" t="s">
        <v>31</v>
      </c>
      <c r="N214" s="45" t="s">
        <v>32</v>
      </c>
      <c r="O214" s="19" t="s">
        <v>33</v>
      </c>
      <c r="P214" s="19" t="s">
        <v>147</v>
      </c>
      <c r="Q214" s="51" t="s">
        <v>88</v>
      </c>
      <c r="R214" s="19" t="s">
        <v>60</v>
      </c>
      <c r="S214" s="19" t="s">
        <v>49</v>
      </c>
      <c r="T214" s="118">
        <v>45835</v>
      </c>
      <c r="U214" s="4">
        <v>46018</v>
      </c>
      <c r="V214" s="2">
        <f t="shared" ca="1" si="15"/>
        <v>-67</v>
      </c>
      <c r="W214" s="116" t="str">
        <f t="shared" ca="1" si="16"/>
        <v>Vencido</v>
      </c>
      <c r="X214" s="19" t="s">
        <v>73</v>
      </c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</row>
    <row r="215" spans="1:205">
      <c r="A215" s="142" t="s">
        <v>26</v>
      </c>
      <c r="B215" s="19" t="s">
        <v>456</v>
      </c>
      <c r="C215" s="24">
        <v>13179746</v>
      </c>
      <c r="D215" s="33" t="s">
        <v>67</v>
      </c>
      <c r="E215" s="23">
        <v>46</v>
      </c>
      <c r="F215" s="19" t="s">
        <v>28</v>
      </c>
      <c r="G215" s="19" t="s">
        <v>29</v>
      </c>
      <c r="H215" s="19">
        <v>2020</v>
      </c>
      <c r="I215" s="46">
        <v>44169</v>
      </c>
      <c r="J215" s="19" t="s">
        <v>30</v>
      </c>
      <c r="K215" s="19" t="s">
        <v>31</v>
      </c>
      <c r="L215" s="19"/>
      <c r="M215" s="19" t="s">
        <v>31</v>
      </c>
      <c r="N215" s="45" t="s">
        <v>32</v>
      </c>
      <c r="O215" s="19" t="s">
        <v>33</v>
      </c>
      <c r="P215" s="19" t="s">
        <v>147</v>
      </c>
      <c r="Q215" s="51" t="s">
        <v>316</v>
      </c>
      <c r="R215" s="19" t="s">
        <v>60</v>
      </c>
      <c r="S215" s="19" t="s">
        <v>49</v>
      </c>
      <c r="T215" s="118">
        <v>45820</v>
      </c>
      <c r="U215" s="4">
        <v>46003</v>
      </c>
      <c r="V215" s="2">
        <f t="shared" ca="1" si="15"/>
        <v>-82</v>
      </c>
      <c r="W215" s="116" t="str">
        <f t="shared" ca="1" si="16"/>
        <v>Vencido</v>
      </c>
      <c r="X215" s="38" t="s">
        <v>73</v>
      </c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</row>
    <row r="216" spans="1:205">
      <c r="A216" s="142" t="s">
        <v>26</v>
      </c>
      <c r="B216" s="19" t="s">
        <v>457</v>
      </c>
      <c r="C216" s="27">
        <v>14313599</v>
      </c>
      <c r="D216" s="19">
        <v>3</v>
      </c>
      <c r="E216" s="19">
        <v>48</v>
      </c>
      <c r="F216" s="19" t="s">
        <v>36</v>
      </c>
      <c r="G216" s="19" t="s">
        <v>29</v>
      </c>
      <c r="H216" s="19">
        <v>2021</v>
      </c>
      <c r="I216" s="47">
        <v>44266</v>
      </c>
      <c r="J216" s="19" t="s">
        <v>37</v>
      </c>
      <c r="K216" s="19" t="s">
        <v>31</v>
      </c>
      <c r="L216" s="47">
        <v>44328</v>
      </c>
      <c r="M216" s="34" t="s">
        <v>31</v>
      </c>
      <c r="N216" s="45" t="s">
        <v>32</v>
      </c>
      <c r="O216" s="19" t="s">
        <v>33</v>
      </c>
      <c r="P216" s="19" t="s">
        <v>147</v>
      </c>
      <c r="Q216" s="51" t="s">
        <v>103</v>
      </c>
      <c r="R216" s="34" t="s">
        <v>55</v>
      </c>
      <c r="S216" s="34" t="s">
        <v>49</v>
      </c>
      <c r="T216" s="118">
        <v>46030</v>
      </c>
      <c r="U216" s="4">
        <v>46120</v>
      </c>
      <c r="V216" s="116">
        <f t="shared" ca="1" si="15"/>
        <v>35</v>
      </c>
      <c r="W216" s="116" t="str">
        <f t="shared" ca="1" si="16"/>
        <v>Vigente</v>
      </c>
      <c r="X216" s="19"/>
    </row>
    <row r="217" spans="1:205">
      <c r="A217" s="142" t="s">
        <v>26</v>
      </c>
      <c r="B217" s="19" t="s">
        <v>458</v>
      </c>
      <c r="C217" s="34">
        <v>9238815</v>
      </c>
      <c r="D217" s="34">
        <v>8</v>
      </c>
      <c r="E217" s="34">
        <v>59</v>
      </c>
      <c r="F217" s="34" t="s">
        <v>132</v>
      </c>
      <c r="G217" s="34" t="s">
        <v>29</v>
      </c>
      <c r="H217" s="34">
        <v>2024</v>
      </c>
      <c r="I217" s="50">
        <v>45552</v>
      </c>
      <c r="J217" s="34" t="s">
        <v>37</v>
      </c>
      <c r="K217" s="34" t="s">
        <v>31</v>
      </c>
      <c r="L217" s="50">
        <v>45580</v>
      </c>
      <c r="M217" s="34" t="s">
        <v>90</v>
      </c>
      <c r="N217" s="45" t="s">
        <v>32</v>
      </c>
      <c r="O217" s="19" t="s">
        <v>33</v>
      </c>
      <c r="P217" s="34"/>
      <c r="Q217" s="88" t="s">
        <v>206</v>
      </c>
      <c r="R217" s="34" t="s">
        <v>55</v>
      </c>
      <c r="S217" s="34" t="s">
        <v>49</v>
      </c>
      <c r="T217" s="50">
        <v>46055</v>
      </c>
      <c r="U217" s="50">
        <v>46144</v>
      </c>
      <c r="V217" s="34">
        <f t="shared" ca="1" si="15"/>
        <v>59</v>
      </c>
      <c r="W217" s="116" t="str">
        <f t="shared" ca="1" si="16"/>
        <v>Vigente</v>
      </c>
      <c r="X217" s="34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</row>
    <row r="218" spans="1:205">
      <c r="A218" s="142" t="s">
        <v>26</v>
      </c>
      <c r="B218" s="19" t="s">
        <v>459</v>
      </c>
      <c r="C218" s="34">
        <v>8222426</v>
      </c>
      <c r="D218" s="34">
        <v>2</v>
      </c>
      <c r="E218" s="34">
        <v>68</v>
      </c>
      <c r="F218" s="34" t="s">
        <v>58</v>
      </c>
      <c r="G218" s="34" t="s">
        <v>68</v>
      </c>
      <c r="H218" s="34">
        <v>2024</v>
      </c>
      <c r="I218" s="50">
        <v>45655</v>
      </c>
      <c r="J218" s="34" t="s">
        <v>37</v>
      </c>
      <c r="K218" s="34" t="s">
        <v>230</v>
      </c>
      <c r="L218" s="50">
        <v>45661</v>
      </c>
      <c r="M218" s="34" t="s">
        <v>44</v>
      </c>
      <c r="N218" s="83" t="s">
        <v>52</v>
      </c>
      <c r="O218" s="19" t="s">
        <v>33</v>
      </c>
      <c r="P218" s="34"/>
      <c r="Q218" s="34" t="s">
        <v>274</v>
      </c>
      <c r="R218" s="34" t="s">
        <v>48</v>
      </c>
      <c r="S218" s="34" t="s">
        <v>49</v>
      </c>
      <c r="T218" s="50">
        <v>45934</v>
      </c>
      <c r="U218" s="50">
        <v>45935</v>
      </c>
      <c r="V218" s="116">
        <f t="shared" ca="1" si="15"/>
        <v>-150</v>
      </c>
      <c r="W218" s="116" t="str">
        <f t="shared" ca="1" si="16"/>
        <v>Vencido</v>
      </c>
      <c r="X218" s="34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</row>
    <row r="219" spans="1:205">
      <c r="A219" s="142" t="s">
        <v>26</v>
      </c>
      <c r="B219" s="19" t="s">
        <v>460</v>
      </c>
      <c r="C219" s="27">
        <v>10883666</v>
      </c>
      <c r="D219" s="26">
        <v>0</v>
      </c>
      <c r="E219" s="19">
        <v>54</v>
      </c>
      <c r="F219" s="19" t="s">
        <v>461</v>
      </c>
      <c r="G219" s="19" t="s">
        <v>29</v>
      </c>
      <c r="H219" s="19">
        <v>2022</v>
      </c>
      <c r="I219" s="47">
        <v>44680</v>
      </c>
      <c r="J219" s="19" t="s">
        <v>105</v>
      </c>
      <c r="K219" s="19" t="s">
        <v>38</v>
      </c>
      <c r="L219" s="46">
        <v>45118</v>
      </c>
      <c r="M219" s="19" t="s">
        <v>31</v>
      </c>
      <c r="N219" s="45" t="s">
        <v>32</v>
      </c>
      <c r="O219" s="19" t="s">
        <v>33</v>
      </c>
      <c r="P219" s="19"/>
      <c r="Q219" s="51" t="s">
        <v>88</v>
      </c>
      <c r="R219" s="19" t="s">
        <v>60</v>
      </c>
      <c r="S219" s="19" t="s">
        <v>49</v>
      </c>
      <c r="T219" s="118">
        <v>46058</v>
      </c>
      <c r="U219" s="4">
        <v>46239</v>
      </c>
      <c r="V219" s="116">
        <f t="shared" ca="1" si="15"/>
        <v>154</v>
      </c>
      <c r="W219" s="116" t="str">
        <f t="shared" ca="1" si="16"/>
        <v>Vigente</v>
      </c>
      <c r="X219" s="19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</row>
    <row r="220" spans="1:205">
      <c r="A220" s="142" t="s">
        <v>26</v>
      </c>
      <c r="B220" s="34" t="s">
        <v>462</v>
      </c>
      <c r="C220" s="34">
        <v>12113753</v>
      </c>
      <c r="D220" s="34">
        <v>4</v>
      </c>
      <c r="E220" s="34">
        <v>65</v>
      </c>
      <c r="F220" s="34" t="s">
        <v>36</v>
      </c>
      <c r="G220" s="19" t="s">
        <v>29</v>
      </c>
      <c r="H220" s="34" t="s">
        <v>96</v>
      </c>
      <c r="I220" s="34" t="s">
        <v>97</v>
      </c>
      <c r="J220" s="34" t="s">
        <v>105</v>
      </c>
      <c r="K220" s="34" t="s">
        <v>31</v>
      </c>
      <c r="L220" s="34"/>
      <c r="M220" s="34"/>
      <c r="N220" s="45" t="s">
        <v>32</v>
      </c>
      <c r="O220" s="34" t="s">
        <v>33</v>
      </c>
      <c r="P220" s="34"/>
      <c r="Q220" s="34" t="s">
        <v>157</v>
      </c>
      <c r="R220" s="34" t="s">
        <v>55</v>
      </c>
      <c r="S220" s="19" t="s">
        <v>49</v>
      </c>
      <c r="T220" s="50">
        <v>46057</v>
      </c>
      <c r="U220" s="50">
        <v>46146</v>
      </c>
      <c r="V220" s="116">
        <f t="shared" ca="1" si="15"/>
        <v>61</v>
      </c>
      <c r="W220" s="116" t="str">
        <f t="shared" ca="1" si="16"/>
        <v>Vigente</v>
      </c>
      <c r="X220" s="34"/>
    </row>
    <row r="221" spans="1:205">
      <c r="A221" s="142" t="s">
        <v>26</v>
      </c>
      <c r="B221" s="19" t="s">
        <v>463</v>
      </c>
      <c r="C221" s="34">
        <v>13179509</v>
      </c>
      <c r="D221" s="34">
        <v>2</v>
      </c>
      <c r="E221" s="34">
        <v>48</v>
      </c>
      <c r="F221" s="34" t="s">
        <v>36</v>
      </c>
      <c r="G221" s="19" t="s">
        <v>29</v>
      </c>
      <c r="H221" s="34">
        <v>2025</v>
      </c>
      <c r="I221" s="50">
        <v>45946</v>
      </c>
      <c r="J221" s="34" t="s">
        <v>37</v>
      </c>
      <c r="K221" s="34" t="s">
        <v>175</v>
      </c>
      <c r="L221" s="34"/>
      <c r="M221" s="34"/>
      <c r="N221" s="45" t="s">
        <v>32</v>
      </c>
      <c r="O221" s="34" t="s">
        <v>33</v>
      </c>
      <c r="P221" s="34"/>
      <c r="Q221" s="34" t="s">
        <v>464</v>
      </c>
      <c r="R221" s="34" t="s">
        <v>48</v>
      </c>
      <c r="S221" s="34" t="s">
        <v>49</v>
      </c>
      <c r="T221" s="50">
        <v>46058</v>
      </c>
      <c r="U221" s="50">
        <v>46086</v>
      </c>
      <c r="V221" s="116">
        <f t="shared" ca="1" si="15"/>
        <v>1</v>
      </c>
      <c r="W221" s="116" t="str">
        <f t="shared" ca="1" si="16"/>
        <v>Por Vencer</v>
      </c>
      <c r="X221" s="34"/>
    </row>
    <row r="222" spans="1:205">
      <c r="A222" s="142" t="s">
        <v>26</v>
      </c>
      <c r="B222" s="19" t="s">
        <v>465</v>
      </c>
      <c r="C222" s="34">
        <v>6849980</v>
      </c>
      <c r="D222" s="34">
        <v>1</v>
      </c>
      <c r="E222" s="34">
        <v>73</v>
      </c>
      <c r="F222" s="34" t="s">
        <v>36</v>
      </c>
      <c r="G222" s="34" t="s">
        <v>68</v>
      </c>
      <c r="H222" s="34"/>
      <c r="I222" s="34"/>
      <c r="J222" s="34" t="s">
        <v>258</v>
      </c>
      <c r="K222" s="34" t="s">
        <v>175</v>
      </c>
      <c r="L222" s="34"/>
      <c r="M222" s="34"/>
      <c r="N222" s="45" t="s">
        <v>32</v>
      </c>
      <c r="O222" s="34" t="s">
        <v>33</v>
      </c>
      <c r="P222" s="34"/>
      <c r="Q222" s="34" t="s">
        <v>466</v>
      </c>
      <c r="R222" s="34" t="s">
        <v>301</v>
      </c>
      <c r="S222" s="34" t="s">
        <v>94</v>
      </c>
      <c r="T222" s="50">
        <v>45995</v>
      </c>
      <c r="U222" s="50">
        <v>46026</v>
      </c>
      <c r="V222" s="116">
        <f t="shared" ca="1" si="15"/>
        <v>-59</v>
      </c>
      <c r="W222" s="116" t="str">
        <f t="shared" ca="1" si="16"/>
        <v>Vencido</v>
      </c>
      <c r="X222" s="34"/>
    </row>
    <row r="223" spans="1:205">
      <c r="A223" s="142" t="s">
        <v>26</v>
      </c>
      <c r="B223" s="34" t="s">
        <v>467</v>
      </c>
      <c r="C223" s="34">
        <v>17023214</v>
      </c>
      <c r="D223" s="34">
        <v>3</v>
      </c>
      <c r="E223" s="34">
        <v>37</v>
      </c>
      <c r="F223" s="34" t="s">
        <v>168</v>
      </c>
      <c r="G223" s="34" t="s">
        <v>68</v>
      </c>
      <c r="H223" s="34">
        <v>2025</v>
      </c>
      <c r="I223" s="50">
        <v>45924</v>
      </c>
      <c r="J223" s="34" t="s">
        <v>105</v>
      </c>
      <c r="K223" s="34" t="s">
        <v>175</v>
      </c>
      <c r="L223" s="34"/>
      <c r="M223" s="34"/>
      <c r="N223" s="45" t="s">
        <v>32</v>
      </c>
      <c r="O223" s="34" t="s">
        <v>33</v>
      </c>
      <c r="P223" s="34"/>
      <c r="Q223" s="34" t="s">
        <v>468</v>
      </c>
      <c r="R223" s="34"/>
      <c r="S223" s="34" t="s">
        <v>94</v>
      </c>
      <c r="T223" s="34"/>
      <c r="U223" s="34"/>
      <c r="V223" s="116">
        <f t="shared" ca="1" si="15"/>
        <v>-46085</v>
      </c>
      <c r="W223" s="116" t="str">
        <f t="shared" ca="1" si="16"/>
        <v>Vencido</v>
      </c>
      <c r="X223" s="34"/>
    </row>
    <row r="224" spans="1:205">
      <c r="A224" s="142" t="s">
        <v>26</v>
      </c>
      <c r="B224" s="34" t="s">
        <v>469</v>
      </c>
      <c r="C224" s="34">
        <v>4798971</v>
      </c>
      <c r="D224" s="34" t="s">
        <v>67</v>
      </c>
      <c r="E224" s="34">
        <v>86</v>
      </c>
      <c r="F224" s="34" t="s">
        <v>222</v>
      </c>
      <c r="G224" s="34" t="s">
        <v>68</v>
      </c>
      <c r="H224" s="34">
        <v>2025</v>
      </c>
      <c r="I224" s="34"/>
      <c r="J224" s="34" t="s">
        <v>105</v>
      </c>
      <c r="K224" s="34" t="s">
        <v>230</v>
      </c>
      <c r="L224" s="50">
        <v>46063</v>
      </c>
      <c r="M224" s="34" t="s">
        <v>44</v>
      </c>
      <c r="N224" s="154" t="s">
        <v>52</v>
      </c>
      <c r="O224" s="34" t="s">
        <v>33</v>
      </c>
      <c r="P224" s="34"/>
      <c r="Q224" s="34" t="s">
        <v>470</v>
      </c>
      <c r="R224" s="34" t="s">
        <v>48</v>
      </c>
      <c r="S224" s="34" t="s">
        <v>471</v>
      </c>
      <c r="T224" s="50">
        <v>46064</v>
      </c>
      <c r="U224" s="50">
        <v>46092</v>
      </c>
      <c r="V224" s="116">
        <f t="shared" ca="1" si="15"/>
        <v>7</v>
      </c>
      <c r="W224" s="116" t="str">
        <f t="shared" ca="1" si="16"/>
        <v>Por Vencer</v>
      </c>
      <c r="X224" s="34"/>
    </row>
    <row r="225" spans="1:205">
      <c r="A225" s="142" t="s">
        <v>26</v>
      </c>
      <c r="B225" s="34" t="s">
        <v>472</v>
      </c>
      <c r="C225" s="34">
        <v>6011965</v>
      </c>
      <c r="D225" s="34">
        <v>1</v>
      </c>
      <c r="E225" s="34">
        <v>76</v>
      </c>
      <c r="F225" s="34" t="s">
        <v>58</v>
      </c>
      <c r="G225" s="34" t="s">
        <v>68</v>
      </c>
      <c r="H225" s="34">
        <v>2026</v>
      </c>
      <c r="I225" s="50">
        <v>46037</v>
      </c>
      <c r="J225" s="34" t="s">
        <v>105</v>
      </c>
      <c r="K225" s="34" t="s">
        <v>175</v>
      </c>
      <c r="L225" s="34"/>
      <c r="M225" s="34"/>
      <c r="N225" s="45" t="s">
        <v>32</v>
      </c>
      <c r="O225" s="34" t="s">
        <v>33</v>
      </c>
      <c r="P225" s="34"/>
      <c r="Q225" s="34" t="s">
        <v>468</v>
      </c>
      <c r="R225" s="34" t="s">
        <v>301</v>
      </c>
      <c r="S225" s="34" t="s">
        <v>94</v>
      </c>
      <c r="T225" s="50">
        <v>46055</v>
      </c>
      <c r="U225" s="50">
        <v>46083</v>
      </c>
      <c r="V225" s="116">
        <f t="shared" ca="1" si="15"/>
        <v>-2</v>
      </c>
      <c r="W225" s="116" t="str">
        <f t="shared" ca="1" si="16"/>
        <v>Vencido</v>
      </c>
      <c r="X225" s="34"/>
    </row>
    <row r="226" spans="1:205">
      <c r="A226" s="142" t="s">
        <v>26</v>
      </c>
      <c r="B226" s="34" t="s">
        <v>473</v>
      </c>
      <c r="C226" s="34">
        <v>17362735</v>
      </c>
      <c r="D226" s="34">
        <v>1</v>
      </c>
      <c r="E226" s="34">
        <v>36</v>
      </c>
      <c r="F226" s="34" t="s">
        <v>168</v>
      </c>
      <c r="G226" s="34" t="s">
        <v>68</v>
      </c>
      <c r="H226" s="34">
        <v>2026</v>
      </c>
      <c r="I226" s="50">
        <v>46024</v>
      </c>
      <c r="J226" s="34"/>
      <c r="K226" s="34" t="s">
        <v>175</v>
      </c>
      <c r="L226" s="34"/>
      <c r="M226" s="34"/>
      <c r="N226" s="45" t="s">
        <v>32</v>
      </c>
      <c r="O226" s="34" t="s">
        <v>33</v>
      </c>
      <c r="P226" s="34"/>
      <c r="Q226" s="34" t="s">
        <v>468</v>
      </c>
      <c r="R226" s="34" t="s">
        <v>301</v>
      </c>
      <c r="S226" s="34" t="s">
        <v>94</v>
      </c>
      <c r="T226" s="50">
        <v>46055</v>
      </c>
      <c r="U226" s="50">
        <v>46083</v>
      </c>
      <c r="V226" s="116">
        <f t="shared" ca="1" si="15"/>
        <v>-2</v>
      </c>
      <c r="W226" s="116" t="str">
        <f t="shared" ca="1" si="16"/>
        <v>Vencido</v>
      </c>
      <c r="X226" s="34"/>
    </row>
    <row r="227" spans="1:205">
      <c r="A227" s="142" t="s">
        <v>26</v>
      </c>
      <c r="B227" s="34" t="s">
        <v>474</v>
      </c>
      <c r="C227" s="34">
        <v>23253631</v>
      </c>
      <c r="D227" s="34">
        <v>4</v>
      </c>
      <c r="E227" s="34">
        <v>15</v>
      </c>
      <c r="F227" s="34" t="s">
        <v>168</v>
      </c>
      <c r="G227" s="34" t="s">
        <v>68</v>
      </c>
      <c r="H227" s="34">
        <v>2026</v>
      </c>
      <c r="I227" s="50">
        <v>46042</v>
      </c>
      <c r="J227" s="34" t="s">
        <v>105</v>
      </c>
      <c r="K227" s="34" t="s">
        <v>175</v>
      </c>
      <c r="L227" s="34"/>
      <c r="M227" s="34"/>
      <c r="N227" s="45" t="s">
        <v>32</v>
      </c>
      <c r="O227" s="34" t="s">
        <v>33</v>
      </c>
      <c r="P227" s="34"/>
      <c r="Q227" s="34" t="s">
        <v>475</v>
      </c>
      <c r="R227" s="34" t="s">
        <v>301</v>
      </c>
      <c r="S227" s="34" t="s">
        <v>94</v>
      </c>
      <c r="T227" s="50">
        <v>46057</v>
      </c>
      <c r="U227" s="50">
        <v>46085</v>
      </c>
      <c r="V227" s="116">
        <f t="shared" ca="1" si="15"/>
        <v>0</v>
      </c>
      <c r="W227" s="116" t="str">
        <f t="shared" ca="1" si="16"/>
        <v>Vencido</v>
      </c>
      <c r="X227" s="34"/>
    </row>
    <row r="228" spans="1:205">
      <c r="A228" s="142" t="s">
        <v>26</v>
      </c>
      <c r="B228" s="34" t="s">
        <v>476</v>
      </c>
      <c r="C228" s="34">
        <v>5972094</v>
      </c>
      <c r="D228" s="34">
        <v>4</v>
      </c>
      <c r="E228" s="34">
        <v>77</v>
      </c>
      <c r="F228" s="34" t="s">
        <v>168</v>
      </c>
      <c r="G228" s="34" t="s">
        <v>68</v>
      </c>
      <c r="H228" s="34">
        <v>2025</v>
      </c>
      <c r="I228" s="50">
        <v>46002</v>
      </c>
      <c r="J228" s="34" t="s">
        <v>105</v>
      </c>
      <c r="K228" s="34" t="s">
        <v>175</v>
      </c>
      <c r="L228" s="34"/>
      <c r="M228" s="34"/>
      <c r="N228" s="45" t="s">
        <v>32</v>
      </c>
      <c r="O228" s="34" t="s">
        <v>33</v>
      </c>
      <c r="P228" s="34"/>
      <c r="Q228" s="34" t="s">
        <v>464</v>
      </c>
      <c r="R228" s="34" t="s">
        <v>301</v>
      </c>
      <c r="S228" s="34" t="s">
        <v>94</v>
      </c>
      <c r="T228" s="50">
        <v>46059</v>
      </c>
      <c r="U228" s="50">
        <v>46087</v>
      </c>
      <c r="V228" s="116">
        <f t="shared" ca="1" si="15"/>
        <v>2</v>
      </c>
      <c r="W228" s="116" t="str">
        <f t="shared" ca="1" si="16"/>
        <v>Por Vencer</v>
      </c>
      <c r="X228" s="34"/>
    </row>
    <row r="229" spans="1:205">
      <c r="A229" s="142" t="s">
        <v>26</v>
      </c>
      <c r="B229" s="34" t="s">
        <v>477</v>
      </c>
      <c r="C229" s="34">
        <v>15968118</v>
      </c>
      <c r="D229" s="34">
        <v>1</v>
      </c>
      <c r="E229" s="34">
        <v>41</v>
      </c>
      <c r="F229" s="34" t="s">
        <v>168</v>
      </c>
      <c r="G229" s="34" t="s">
        <v>68</v>
      </c>
      <c r="H229" s="34"/>
      <c r="I229" s="34"/>
      <c r="J229" s="34"/>
      <c r="K229" s="34" t="s">
        <v>175</v>
      </c>
      <c r="L229" s="34"/>
      <c r="M229" s="34"/>
      <c r="N229" s="45" t="s">
        <v>32</v>
      </c>
      <c r="O229" s="34" t="s">
        <v>33</v>
      </c>
      <c r="P229" s="34"/>
      <c r="Q229" s="34" t="s">
        <v>478</v>
      </c>
      <c r="R229" s="34" t="s">
        <v>301</v>
      </c>
      <c r="S229" s="34" t="s">
        <v>94</v>
      </c>
      <c r="T229" s="50">
        <v>46064</v>
      </c>
      <c r="U229" s="50">
        <v>46092</v>
      </c>
      <c r="V229" s="116">
        <f t="shared" ca="1" si="15"/>
        <v>7</v>
      </c>
      <c r="W229" s="116" t="str">
        <f t="shared" ca="1" si="16"/>
        <v>Por Vencer</v>
      </c>
      <c r="X229" s="34"/>
    </row>
    <row r="230" spans="1:205">
      <c r="A230" s="156" t="s">
        <v>26</v>
      </c>
      <c r="B230" s="115" t="s">
        <v>479</v>
      </c>
      <c r="C230" s="115">
        <v>10460094</v>
      </c>
      <c r="D230" s="115">
        <v>8</v>
      </c>
      <c r="E230" s="115">
        <v>59</v>
      </c>
      <c r="F230" s="115" t="s">
        <v>168</v>
      </c>
      <c r="G230" s="115" t="s">
        <v>68</v>
      </c>
      <c r="H230" s="115" t="s">
        <v>96</v>
      </c>
      <c r="I230" s="115" t="s">
        <v>97</v>
      </c>
      <c r="J230" s="115" t="s">
        <v>105</v>
      </c>
      <c r="K230" s="115" t="s">
        <v>110</v>
      </c>
      <c r="L230" s="115"/>
      <c r="M230" s="115"/>
      <c r="N230" s="157" t="s">
        <v>32</v>
      </c>
      <c r="O230" s="115" t="s">
        <v>33</v>
      </c>
      <c r="P230" s="115"/>
      <c r="Q230" s="115" t="s">
        <v>157</v>
      </c>
      <c r="R230" s="115" t="s">
        <v>55</v>
      </c>
      <c r="S230" s="115" t="s">
        <v>94</v>
      </c>
      <c r="T230" s="158">
        <v>46065</v>
      </c>
      <c r="U230" s="158">
        <v>46154</v>
      </c>
      <c r="V230" s="159">
        <f t="shared" ca="1" si="15"/>
        <v>69</v>
      </c>
      <c r="W230" s="159" t="str">
        <f t="shared" ca="1" si="16"/>
        <v>Vigente</v>
      </c>
      <c r="X230" s="115"/>
    </row>
    <row r="231" spans="1:205" s="12" customFormat="1">
      <c r="A231" s="143" t="s">
        <v>26</v>
      </c>
      <c r="B231" s="19" t="s">
        <v>480</v>
      </c>
      <c r="C231" s="24">
        <v>11505829</v>
      </c>
      <c r="D231" s="19">
        <v>0</v>
      </c>
      <c r="E231" s="23">
        <v>55</v>
      </c>
      <c r="F231" s="19" t="s">
        <v>58</v>
      </c>
      <c r="G231" s="19" t="s">
        <v>29</v>
      </c>
      <c r="H231" s="19">
        <v>2022</v>
      </c>
      <c r="I231" s="46">
        <v>44854</v>
      </c>
      <c r="J231" s="19" t="s">
        <v>30</v>
      </c>
      <c r="K231" s="19" t="s">
        <v>38</v>
      </c>
      <c r="L231" s="46">
        <v>45216</v>
      </c>
      <c r="M231" s="19" t="s">
        <v>31</v>
      </c>
      <c r="N231" s="45" t="s">
        <v>32</v>
      </c>
      <c r="O231" s="19" t="s">
        <v>33</v>
      </c>
      <c r="P231" s="19"/>
      <c r="Q231" s="51" t="s">
        <v>481</v>
      </c>
      <c r="R231" s="19" t="s">
        <v>48</v>
      </c>
      <c r="S231" s="149" t="s">
        <v>94</v>
      </c>
      <c r="T231" s="59">
        <v>46065</v>
      </c>
      <c r="U231" s="4">
        <v>46093</v>
      </c>
      <c r="V231" s="2">
        <f ca="1">U231-TODAY()</f>
        <v>8</v>
      </c>
      <c r="W231" s="116" t="str">
        <f ca="1">IF(V231&gt;=20,"Vigente",IF(AND(V231&gt;=1,V231&lt;=20),"Por Vencer","Vencido"))</f>
        <v>Por Vencer</v>
      </c>
      <c r="X231" s="19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</row>
    <row r="232" spans="1:205">
      <c r="A232" s="143" t="s">
        <v>26</v>
      </c>
      <c r="B232" s="155" t="s">
        <v>482</v>
      </c>
      <c r="C232" s="155">
        <v>15044278</v>
      </c>
      <c r="D232" s="155">
        <v>8</v>
      </c>
      <c r="E232" s="155">
        <v>45</v>
      </c>
      <c r="F232" s="155" t="s">
        <v>222</v>
      </c>
      <c r="G232" s="19" t="s">
        <v>29</v>
      </c>
      <c r="H232" s="155">
        <v>2026</v>
      </c>
      <c r="I232" s="160">
        <v>46063</v>
      </c>
      <c r="J232" s="155" t="s">
        <v>483</v>
      </c>
      <c r="K232" s="155" t="s">
        <v>175</v>
      </c>
      <c r="L232" s="155"/>
      <c r="M232" s="155"/>
      <c r="N232" s="19"/>
      <c r="O232" s="155"/>
      <c r="P232" s="155"/>
      <c r="Q232" s="155" t="s">
        <v>484</v>
      </c>
      <c r="R232" s="155" t="s">
        <v>301</v>
      </c>
      <c r="S232" s="155" t="s">
        <v>94</v>
      </c>
      <c r="T232" s="160">
        <v>46076</v>
      </c>
      <c r="U232" s="160">
        <v>46104</v>
      </c>
      <c r="V232" s="2">
        <f t="shared" ref="V232:V235" ca="1" si="17">U232-TODAY()</f>
        <v>19</v>
      </c>
      <c r="W232" s="116" t="str">
        <f t="shared" ref="W232:W235" ca="1" si="18">IF(V232&gt;=20,"Vigente",IF(AND(V232&gt;=1,V232&lt;=20),"Por Vencer","Vencido"))</f>
        <v>Por Vencer</v>
      </c>
      <c r="X232" s="155"/>
    </row>
    <row r="233" spans="1:205">
      <c r="A233" s="143" t="s">
        <v>26</v>
      </c>
      <c r="B233" s="155" t="s">
        <v>485</v>
      </c>
      <c r="C233" s="155">
        <v>4566422</v>
      </c>
      <c r="D233" s="155">
        <v>8</v>
      </c>
      <c r="E233" s="155">
        <v>82</v>
      </c>
      <c r="F233" s="155"/>
      <c r="G233" s="19" t="s">
        <v>29</v>
      </c>
      <c r="H233" s="155"/>
      <c r="I233" s="155"/>
      <c r="J233" s="155"/>
      <c r="K233" s="155"/>
      <c r="L233" s="155"/>
      <c r="M233" s="155"/>
      <c r="N233" s="19"/>
      <c r="O233" s="155"/>
      <c r="P233" s="155"/>
      <c r="Q233" s="155"/>
      <c r="R233" s="155"/>
      <c r="S233" s="155"/>
      <c r="T233" s="155"/>
      <c r="U233" s="155"/>
      <c r="V233" s="2">
        <f t="shared" ca="1" si="17"/>
        <v>-46085</v>
      </c>
      <c r="W233" s="116" t="str">
        <f t="shared" ca="1" si="18"/>
        <v>Vencido</v>
      </c>
      <c r="X233" s="155"/>
    </row>
    <row r="234" spans="1:205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2">
        <f t="shared" ca="1" si="17"/>
        <v>-46085</v>
      </c>
      <c r="W234" s="116" t="str">
        <f t="shared" ca="1" si="18"/>
        <v>Vencido</v>
      </c>
      <c r="X234" s="155"/>
    </row>
    <row r="235" spans="1:205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2">
        <f t="shared" ca="1" si="17"/>
        <v>-46085</v>
      </c>
      <c r="W235" s="116" t="str">
        <f t="shared" ca="1" si="18"/>
        <v>Vencido</v>
      </c>
      <c r="X235" s="155"/>
    </row>
  </sheetData>
  <autoFilter ref="A4:GW235" xr:uid="{00000000-0009-0000-0000-000002000000}">
    <sortState xmlns:xlrd2="http://schemas.microsoft.com/office/spreadsheetml/2017/richdata2" ref="A5:GW220">
      <sortCondition descending="1" ref="B4:B220"/>
    </sortState>
  </autoFilter>
  <sortState xmlns:xlrd2="http://schemas.microsoft.com/office/spreadsheetml/2017/richdata2" ref="A5:X219">
    <sortCondition descending="1" ref="Q14:Q219"/>
  </sortState>
  <mergeCells count="1">
    <mergeCell ref="A1:X3"/>
  </mergeCells>
  <phoneticPr fontId="17" type="noConversion"/>
  <conditionalFormatting sqref="W5:W235">
    <cfRule type="containsText" dxfId="2" priority="1" operator="containsText" text="vigente">
      <formula>NOT(ISERROR(SEARCH("vigente",W5)))</formula>
    </cfRule>
    <cfRule type="containsText" dxfId="1" priority="2" operator="containsText" text="por vencer">
      <formula>NOT(ISERROR(SEARCH("por vencer",W5)))</formula>
    </cfRule>
    <cfRule type="containsText" dxfId="0" priority="3" operator="containsText" text="vencido">
      <formula>NOT(ISERROR(SEARCH("vencido",W5)))</formula>
    </cfRule>
  </conditionalFormatting>
  <dataValidations count="12">
    <dataValidation type="list" allowBlank="1" showInputMessage="1" showErrorMessage="1" sqref="F5" xr:uid="{00000000-0002-0000-0200-000000000000}">
      <formula1>"OVALLE,PUNITAQUI,RIO HURTADO,COMBARBALA,MONTE PATRIA"</formula1>
    </dataValidation>
    <dataValidation type="list" allowBlank="1" showInputMessage="1" showErrorMessage="1" sqref="J5" xr:uid="{00000000-0002-0000-0200-000001000000}">
      <formula1>"SI,NO"</formula1>
    </dataValidation>
    <dataValidation type="list" allowBlank="1" showInputMessage="1" showErrorMessage="1" sqref="K5" xr:uid="{00000000-0002-0000-0200-000002000000}">
      <formula1>"ETAPIFICACIÓN,CONFIRMACIÓN,TRATAMIENTO,SEGUIMIENTO"</formula1>
    </dataValidation>
    <dataValidation type="list" allowBlank="1" showInputMessage="1" showErrorMessage="1" sqref="L38:L39 L44 L33:L34 L47:L49" xr:uid="{00000000-0002-0000-0200-000003000000}">
      <formula1>Estado</formula1>
    </dataValidation>
    <dataValidation type="list" allowBlank="1" showInputMessage="1" showErrorMessage="1" sqref="F136 F7:F44 F46:F123" xr:uid="{00000000-0002-0000-0200-000004000000}">
      <formula1>"Ovalle,Punitaqui ,Rio Hurtado,Combarbala,Monte patria"</formula1>
    </dataValidation>
    <dataValidation type="list" allowBlank="1" showInputMessage="1" showErrorMessage="1" sqref="J136 J7:J44 J46:J123" xr:uid="{00000000-0002-0000-0200-000005000000}">
      <formula1>"Si,No"</formula1>
    </dataValidation>
    <dataValidation type="list" allowBlank="1" showInputMessage="1" showErrorMessage="1" sqref="K136 K160 K200 K7:K123" xr:uid="{00000000-0002-0000-0200-000006000000}">
      <formula1>"CONFIRMACION,ETAPIFICACION,TRATAMIENTO,SEGUIMIENTO"</formula1>
    </dataValidation>
    <dataValidation type="list" allowBlank="1" showInputMessage="1" showErrorMessage="1" sqref="L114:L115" xr:uid="{00000000-0002-0000-0200-000007000000}">
      <formula1>"ECG"</formula1>
    </dataValidation>
    <dataValidation type="list" allowBlank="1" showInputMessage="1" showErrorMessage="1" sqref="M4:M1048576" xr:uid="{00000000-0002-0000-0200-000008000000}">
      <formula1>"TRATAMIENTO DE RY, INTERVENCION QUIRURGICA, SEGUIMIENTO"</formula1>
    </dataValidation>
    <dataValidation type="list" allowBlank="1" showInputMessage="1" showErrorMessage="1" sqref="N4:N1048576" xr:uid="{00000000-0002-0000-0200-000009000000}">
      <formula1>"HRC,HLS,HSP,HOV"</formula1>
    </dataValidation>
    <dataValidation type="list" allowBlank="1" showInputMessage="1" showErrorMessage="1" sqref="O4:O1048576" xr:uid="{00000000-0002-0000-0200-00000A000000}">
      <formula1>"DETENIDO,CURSO"</formula1>
    </dataValidation>
    <dataValidation type="list" allowBlank="1" showInputMessage="1" showErrorMessage="1" sqref="X1:X1048576" xr:uid="{00000000-0002-0000-0200-00000B000000}">
      <formula1>"AGENDAR A CONTROL,PENDIENTE ECO TIROIDES"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20890E513590489C491798FB2D34E1" ma:contentTypeVersion="3" ma:contentTypeDescription="Crear nuevo documento." ma:contentTypeScope="" ma:versionID="669702fb992fc1133f9b178ab376ca3f">
  <xsd:schema xmlns:xsd="http://www.w3.org/2001/XMLSchema" xmlns:xs="http://www.w3.org/2001/XMLSchema" xmlns:p="http://schemas.microsoft.com/office/2006/metadata/properties" xmlns:ns2="13caeeff-fc89-4e54-8ff7-5d5e5986c583" targetNamespace="http://schemas.microsoft.com/office/2006/metadata/properties" ma:root="true" ma:fieldsID="182f1d80fb21fb810ba2b0cf6370c5a3" ns2:_="">
    <xsd:import namespace="13caeeff-fc89-4e54-8ff7-5d5e5986c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aeeff-fc89-4e54-8ff7-5d5e5986c5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A816F2-870E-4537-84D7-566CE45F1532}"/>
</file>

<file path=customXml/itemProps2.xml><?xml version="1.0" encoding="utf-8"?>
<ds:datastoreItem xmlns:ds="http://schemas.openxmlformats.org/officeDocument/2006/customXml" ds:itemID="{4122D1F9-A530-4539-9A21-6926C3D15C29}"/>
</file>

<file path=customXml/itemProps3.xml><?xml version="1.0" encoding="utf-8"?>
<ds:datastoreItem xmlns:ds="http://schemas.openxmlformats.org/officeDocument/2006/customXml" ds:itemID="{F8EBC551-709C-4B42-AE1B-6ED083F231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Hospital Provincial Ovalle</dc:creator>
  <cp:keywords/>
  <dc:description/>
  <cp:lastModifiedBy/>
  <cp:revision/>
  <dcterms:created xsi:type="dcterms:W3CDTF">2023-12-05T16:03:00Z</dcterms:created>
  <dcterms:modified xsi:type="dcterms:W3CDTF">2026-03-04T03:39:57Z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87940468833E4BD099FE458DC2671D45_13</vt:lpwstr>
  </property>
  <property fmtid="{D5CDD505-2E9C-101B-9397-08002B2CF9AE}" pid="3" name="KSOProductBuildVer">
    <vt:lpwstr>2058-12.2.0.21179</vt:lpwstr>
  </property>
  <property fmtid="{D5CDD505-2E9C-101B-9397-08002B2CF9AE}" pid="4" name="ContentTypeId">
    <vt:lpwstr>0x010100E920890E513590489C491798FB2D34E1</vt:lpwstr>
  </property>
</Properties>
</file>