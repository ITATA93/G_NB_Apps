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5"/>
  <workbookPr/>
  <mc:AlternateContent xmlns:mc="http://schemas.openxmlformats.org/markup-compatibility/2006">
    <mc:Choice Requires="x15">
      <x15ac:absPath xmlns:x15ac="http://schemas.microsoft.com/office/spreadsheetml/2010/11/ac" url="Q:\Gestión de casos Oncologicos\BIENVENIDOS A BAJO CONTROL\ESPECIALIDADES\"/>
    </mc:Choice>
  </mc:AlternateContent>
  <xr:revisionPtr revIDLastSave="0" documentId="8_{ED95737F-0175-4596-870B-423F662A32B1}" xr6:coauthVersionLast="47" xr6:coauthVersionMax="47" xr10:uidLastSave="{00000000-0000-0000-0000-000000000000}"/>
  <bookViews>
    <workbookView xWindow="-120" yWindow="-120" windowWidth="29040" windowHeight="15720" tabRatio="542" firstSheet="4" activeTab="4" xr2:uid="{00000000-000D-0000-FFFF-FFFF00000000}"/>
  </bookViews>
  <sheets>
    <sheet name="EGRESOS" sheetId="2" r:id="rId1"/>
    <sheet name="BAJO CONTROL " sheetId="1" r:id="rId2"/>
    <sheet name="EXEPTUADAS" sheetId="10" r:id="rId3"/>
    <sheet name="GES FEBERERO" sheetId="23" r:id="rId4"/>
    <sheet name="GES FEBERERO 2.0" sheetId="24" r:id="rId5"/>
  </sheets>
  <definedNames>
    <definedName name="_xlnm._FilterDatabase" localSheetId="0" hidden="1">EGRESOS!$B$4:$R$209</definedName>
    <definedName name="_xlnm._FilterDatabase" localSheetId="1" hidden="1">'BAJO CONTROL '!$A$3:$AB$3</definedName>
    <definedName name="Sospecha">EGRESOS!$L$147</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7" i="1" l="1"/>
  <c r="X57" i="1" s="1"/>
  <c r="W232" i="2"/>
  <c r="X232" i="2"/>
  <c r="W231" i="2"/>
  <c r="X231" i="2"/>
  <c r="W230" i="2"/>
  <c r="X230" i="2"/>
  <c r="W229" i="2"/>
  <c r="X229" i="2"/>
  <c r="W228" i="2"/>
  <c r="W227" i="2"/>
  <c r="X227" i="2"/>
  <c r="W226" i="2"/>
  <c r="X226" i="2"/>
  <c r="W225" i="2"/>
  <c r="X225" i="2"/>
  <c r="W47" i="1"/>
  <c r="X47" i="1" s="1"/>
  <c r="W46" i="1"/>
  <c r="X46" i="1" s="1"/>
  <c r="W223" i="2"/>
  <c r="X223" i="2" s="1"/>
  <c r="W45" i="1"/>
  <c r="X45" i="1" s="1"/>
  <c r="W222" i="2"/>
  <c r="X222" i="2" s="1"/>
  <c r="W44" i="1" l="1"/>
  <c r="X44" i="1" s="1"/>
  <c r="W43" i="1"/>
  <c r="X43" i="1" s="1"/>
  <c r="W42" i="1"/>
  <c r="X42" i="1" s="1"/>
  <c r="W41" i="1"/>
  <c r="X41" i="1" s="1"/>
  <c r="W40" i="1" l="1"/>
  <c r="X40" i="1" s="1"/>
  <c r="W39" i="1"/>
  <c r="X39" i="1" s="1"/>
  <c r="W38" i="1"/>
  <c r="X38" i="1" s="1"/>
  <c r="W37" i="1" l="1"/>
  <c r="X37" i="1" s="1"/>
  <c r="W36" i="1"/>
  <c r="X36" i="1" s="1"/>
  <c r="W35" i="1"/>
  <c r="X35" i="1" s="1"/>
  <c r="W220" i="2"/>
  <c r="X220" i="2" s="1"/>
  <c r="W219" i="2"/>
  <c r="X219" i="2" s="1"/>
  <c r="W218" i="2"/>
  <c r="X218" i="2" s="1"/>
  <c r="W217" i="2"/>
  <c r="X217" i="2" s="1"/>
  <c r="W215" i="2"/>
  <c r="X215" i="2" s="1"/>
  <c r="W214" i="2"/>
  <c r="X214" i="2" s="1"/>
  <c r="W213" i="2"/>
  <c r="W211" i="2"/>
  <c r="W212" i="2"/>
  <c r="X212" i="2" s="1"/>
  <c r="W210" i="2" l="1"/>
  <c r="X210" i="2" s="1"/>
  <c r="W175" i="2"/>
  <c r="X175" i="2" s="1"/>
  <c r="W34" i="1"/>
  <c r="X34" i="1" s="1"/>
  <c r="W32" i="1" l="1"/>
  <c r="X32" i="1" s="1"/>
  <c r="AA209" i="2" a="1"/>
  <c r="AA209" i="2" s="1"/>
  <c r="W209" i="2"/>
  <c r="X209" i="2" s="1"/>
  <c r="W33" i="1"/>
  <c r="X33" i="1" s="1"/>
  <c r="W15" i="1" l="1"/>
  <c r="X15" i="1" s="1"/>
  <c r="W12" i="1"/>
  <c r="X12" i="1" s="1"/>
  <c r="W208" i="2"/>
  <c r="X208" i="2" s="1"/>
  <c r="W206" i="2"/>
  <c r="X206" i="2" s="1"/>
  <c r="W205" i="2"/>
  <c r="X205" i="2" s="1"/>
  <c r="W203" i="2" l="1"/>
  <c r="X203" i="2" s="1"/>
  <c r="W6" i="1"/>
  <c r="X6" i="1" s="1"/>
  <c r="W5" i="1"/>
  <c r="X5" i="1" s="1"/>
  <c r="W31" i="1"/>
  <c r="W30" i="1"/>
  <c r="X30" i="1" s="1"/>
  <c r="W29" i="1"/>
  <c r="X29" i="1" s="1"/>
  <c r="W28" i="1"/>
  <c r="W27" i="1"/>
  <c r="X27" i="1" s="1"/>
  <c r="W26" i="1"/>
  <c r="X26" i="1" s="1"/>
  <c r="W25" i="1"/>
  <c r="X25" i="1" s="1"/>
  <c r="W24" i="1"/>
  <c r="X24" i="1" s="1"/>
  <c r="W23" i="1"/>
  <c r="X23" i="1" s="1"/>
  <c r="W22" i="1"/>
  <c r="X22" i="1" s="1"/>
  <c r="W21" i="1"/>
  <c r="X21" i="1" s="1"/>
  <c r="W20" i="1"/>
  <c r="X20" i="1" s="1"/>
  <c r="W19" i="1"/>
  <c r="X19" i="1" s="1"/>
  <c r="W18" i="1"/>
  <c r="X18" i="1" s="1"/>
  <c r="W17" i="1"/>
  <c r="X17" i="1" s="1"/>
  <c r="W16" i="1"/>
  <c r="X16" i="1" s="1"/>
  <c r="W14" i="1"/>
  <c r="X14" i="1" s="1"/>
  <c r="W13" i="1"/>
  <c r="X13" i="1" s="1"/>
  <c r="W11" i="1"/>
  <c r="X11" i="1" s="1"/>
  <c r="W10" i="1"/>
  <c r="X10" i="1" s="1"/>
  <c r="W9" i="1"/>
  <c r="X9" i="1" s="1"/>
  <c r="W8" i="1"/>
  <c r="X8" i="1" s="1"/>
  <c r="W7" i="1"/>
  <c r="X7" i="1" s="1"/>
  <c r="W4" i="1"/>
  <c r="X4" i="1" s="1"/>
  <c r="W202" i="2"/>
  <c r="X202" i="2" s="1"/>
  <c r="W201" i="2"/>
  <c r="X201" i="2" s="1"/>
  <c r="W200" i="2"/>
  <c r="X200" i="2" s="1"/>
  <c r="W199" i="2"/>
  <c r="X199" i="2" s="1"/>
  <c r="W198" i="2"/>
  <c r="X198" i="2" s="1"/>
  <c r="W197" i="2"/>
  <c r="X197" i="2" s="1"/>
  <c r="W196" i="2"/>
  <c r="X196" i="2" s="1"/>
  <c r="W195" i="2"/>
  <c r="X195" i="2" s="1"/>
  <c r="W194" i="2"/>
  <c r="X194" i="2" s="1"/>
  <c r="W193" i="2"/>
  <c r="X193" i="2" s="1"/>
  <c r="W192" i="2"/>
  <c r="X192" i="2" s="1"/>
  <c r="W191" i="2"/>
  <c r="X191" i="2" s="1"/>
  <c r="W190" i="2"/>
  <c r="X190" i="2" s="1"/>
  <c r="W189" i="2"/>
  <c r="X189" i="2" s="1"/>
  <c r="W188" i="2"/>
  <c r="X188" i="2" s="1"/>
  <c r="W187" i="2"/>
  <c r="X187" i="2" s="1"/>
  <c r="W186" i="2"/>
  <c r="X186" i="2" s="1"/>
  <c r="W185" i="2"/>
  <c r="X185" i="2" s="1"/>
  <c r="W184" i="2"/>
  <c r="X184" i="2" s="1"/>
  <c r="W183" i="2"/>
  <c r="X183" i="2" s="1"/>
  <c r="W182" i="2"/>
  <c r="X182" i="2" s="1"/>
  <c r="W181" i="2"/>
  <c r="X181" i="2" s="1"/>
  <c r="W180" i="2"/>
  <c r="X180" i="2" s="1"/>
  <c r="W179" i="2"/>
  <c r="X179" i="2" s="1"/>
  <c r="W178" i="2"/>
  <c r="X178" i="2" s="1"/>
  <c r="W177" i="2"/>
  <c r="X177" i="2" s="1"/>
  <c r="W176" i="2"/>
  <c r="X176" i="2" s="1"/>
  <c r="W174" i="2"/>
  <c r="X174" i="2" s="1"/>
  <c r="W173" i="2"/>
  <c r="X173" i="2" s="1"/>
  <c r="W172" i="2"/>
  <c r="X172" i="2" s="1"/>
  <c r="W171" i="2"/>
  <c r="X171" i="2" s="1"/>
  <c r="W170" i="2"/>
  <c r="X170" i="2" s="1"/>
  <c r="W169" i="2"/>
  <c r="X169" i="2" s="1"/>
  <c r="W168" i="2"/>
  <c r="X168" i="2" s="1"/>
  <c r="W167" i="2"/>
  <c r="X167" i="2" s="1"/>
  <c r="W166" i="2"/>
  <c r="X166" i="2" s="1"/>
  <c r="W165" i="2"/>
  <c r="X165" i="2" s="1"/>
  <c r="W164" i="2"/>
  <c r="X164" i="2" s="1"/>
  <c r="W163" i="2"/>
  <c r="X163" i="2" s="1"/>
  <c r="W162" i="2"/>
  <c r="X162" i="2" s="1"/>
  <c r="W161" i="2"/>
  <c r="X161" i="2" s="1"/>
  <c r="W160" i="2"/>
  <c r="X160" i="2" s="1"/>
  <c r="W159" i="2"/>
  <c r="X159" i="2" s="1"/>
  <c r="W158" i="2"/>
  <c r="X158" i="2" s="1"/>
  <c r="W157" i="2"/>
  <c r="X157" i="2" s="1"/>
  <c r="W156" i="2"/>
  <c r="X156" i="2" s="1"/>
  <c r="W155" i="2"/>
  <c r="X155" i="2" s="1"/>
  <c r="W154" i="2"/>
  <c r="X154" i="2" s="1"/>
  <c r="W153" i="2"/>
  <c r="X153" i="2" s="1"/>
  <c r="W152" i="2"/>
  <c r="X152" i="2" s="1"/>
  <c r="W151" i="2"/>
  <c r="X151" i="2" s="1"/>
  <c r="W150" i="2"/>
  <c r="X150" i="2" s="1"/>
  <c r="W149" i="2"/>
  <c r="X149" i="2" s="1"/>
  <c r="W148" i="2"/>
  <c r="X148" i="2" s="1"/>
  <c r="W147" i="2"/>
  <c r="X147" i="2" s="1"/>
  <c r="W146" i="2"/>
  <c r="X146" i="2" s="1"/>
  <c r="W145" i="2"/>
  <c r="X145" i="2" s="1"/>
  <c r="W144" i="2"/>
  <c r="X144" i="2" s="1"/>
  <c r="W143" i="2"/>
  <c r="X143" i="2" s="1"/>
  <c r="W142" i="2"/>
  <c r="X142" i="2" s="1"/>
  <c r="W141" i="2"/>
  <c r="X141" i="2" s="1"/>
  <c r="W140" i="2"/>
  <c r="X140" i="2" s="1"/>
  <c r="W139" i="2"/>
  <c r="X139" i="2" s="1"/>
  <c r="W138" i="2"/>
  <c r="X138" i="2" s="1"/>
  <c r="W137" i="2"/>
  <c r="X137" i="2" s="1"/>
  <c r="W136" i="2"/>
  <c r="X136" i="2" s="1"/>
  <c r="W135" i="2"/>
  <c r="X135" i="2" s="1"/>
  <c r="W134" i="2"/>
  <c r="X134" i="2" s="1"/>
  <c r="W133" i="2"/>
  <c r="X133" i="2" s="1"/>
  <c r="W132" i="2"/>
  <c r="X132" i="2" s="1"/>
  <c r="W131" i="2"/>
  <c r="X131" i="2" s="1"/>
  <c r="W130" i="2"/>
  <c r="X130" i="2" s="1"/>
  <c r="W129" i="2"/>
  <c r="X129" i="2" s="1"/>
  <c r="W128" i="2"/>
  <c r="X128" i="2" s="1"/>
  <c r="X28" i="1" l="1"/>
  <c r="X31" i="1"/>
  <c r="X211" i="2"/>
  <c r="X213" i="2"/>
  <c r="M22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<sst xmlns="http://schemas.openxmlformats.org/spreadsheetml/2006/main" count="4408" uniqueCount="1058">
  <si>
    <t>TORAX</t>
  </si>
  <si>
    <t>N°</t>
  </si>
  <si>
    <t>GES/NO GES</t>
  </si>
  <si>
    <t xml:space="preserve">Nombre </t>
  </si>
  <si>
    <t xml:space="preserve">RUT </t>
  </si>
  <si>
    <t>DV</t>
  </si>
  <si>
    <t>Edad</t>
  </si>
  <si>
    <t>Comuna</t>
  </si>
  <si>
    <t>Tipo de Cáncer</t>
  </si>
  <si>
    <t>AÑO DG</t>
  </si>
  <si>
    <t>Fecha resultado</t>
  </si>
  <si>
    <t>CPYAD</t>
  </si>
  <si>
    <t>Etapa Clinica</t>
  </si>
  <si>
    <t>Fecha de Comité</t>
  </si>
  <si>
    <t>Indicación de Comité</t>
  </si>
  <si>
    <t>Centro de Derivación</t>
  </si>
  <si>
    <t xml:space="preserve">ESTADO DE CASO </t>
  </si>
  <si>
    <t>CAUSAL</t>
  </si>
  <si>
    <t xml:space="preserve">SEGUIMIENTO ENFERMERIA </t>
  </si>
  <si>
    <t>GES</t>
  </si>
  <si>
    <t>ADELAIDA DEL CARMEN NUÑEZ OSSANDÓN</t>
  </si>
  <si>
    <t>K</t>
  </si>
  <si>
    <t>OVALLE</t>
  </si>
  <si>
    <t>CÁNCER DE PULMON</t>
  </si>
  <si>
    <t>SI</t>
  </si>
  <si>
    <t>SEGUIMIENTO</t>
  </si>
  <si>
    <t>TERAPIA SISTEMICA</t>
  </si>
  <si>
    <t>HLS</t>
  </si>
  <si>
    <t>EN CURSO</t>
  </si>
  <si>
    <t>CAUSAL MÉDICA</t>
  </si>
  <si>
    <t xml:space="preserve">FALLECIDO </t>
  </si>
  <si>
    <t>ALEJANDRO VILLARROEL VILLARROEL</t>
  </si>
  <si>
    <t xml:space="preserve">NO </t>
  </si>
  <si>
    <t xml:space="preserve">DESCARTE </t>
  </si>
  <si>
    <t>SIN PRESENTAR</t>
  </si>
  <si>
    <t xml:space="preserve">SIN PRESENTAR </t>
  </si>
  <si>
    <t>HOV</t>
  </si>
  <si>
    <t>DETENIDO</t>
  </si>
  <si>
    <t xml:space="preserve"> DESCARTE</t>
  </si>
  <si>
    <t>ALICIA DE JESÚS ARAYA PÉREZ</t>
  </si>
  <si>
    <t>S/CD</t>
  </si>
  <si>
    <t xml:space="preserve">SIN BP </t>
  </si>
  <si>
    <t>ALIDA CARVAJAL CONTRERAS</t>
  </si>
  <si>
    <t>DIEGO ANTONIO COFRÉ CORTÉS</t>
  </si>
  <si>
    <t>Evaluacion por Cirugia de Sarcoma y partes blandas.HLS: Control de TAP en 3 meses.</t>
  </si>
  <si>
    <t>ELBA DEL ROSARIO DÍAZ OLIVARES</t>
  </si>
  <si>
    <t>k</t>
  </si>
  <si>
    <t>ETAPIFICACION</t>
  </si>
  <si>
    <t>GERMÁN DEL ROSARIO GONZÁLEZ BARRAZA</t>
  </si>
  <si>
    <t>DESCARTE</t>
  </si>
  <si>
    <t>JORGE ALEXIS CORTES CARMONA</t>
  </si>
  <si>
    <t>SOSPECHA</t>
  </si>
  <si>
    <t>JOSE ARTEMIO DEL CAR VILLARROEL BORQUEZ</t>
  </si>
  <si>
    <t xml:space="preserve">CONFIRMACION </t>
  </si>
  <si>
    <t>MARGARITA DEL ROSARI CANIBILO LÓPEZ</t>
  </si>
  <si>
    <t xml:space="preserve">HORAS DE CONTROL </t>
  </si>
  <si>
    <t>MARISOL AMÉRICA PARRA MONTALBÁN</t>
  </si>
  <si>
    <t>NELSON PELAYO URQUETA AGUIRRE</t>
  </si>
  <si>
    <t xml:space="preserve">CON RESSULTADOS </t>
  </si>
  <si>
    <t>Rigoberto adonis gonzalez</t>
  </si>
  <si>
    <t>ROSENDO DEL ROSARIO CORTÉS ALFARO</t>
  </si>
  <si>
    <t>VÍCTOR MANUEL BERETTA SAPIAINS</t>
  </si>
  <si>
    <t>ALONSO ARTEMIO VALENZUELA CASTILLO</t>
  </si>
  <si>
    <t>AMÉRICO ANTONIO RIVERA OLIVARES</t>
  </si>
  <si>
    <t>ANA MARÍA MADERA OLMOS</t>
  </si>
  <si>
    <t xml:space="preserve">QUISTE DE PULMON </t>
  </si>
  <si>
    <t xml:space="preserve">SEGUIMIENTO </t>
  </si>
  <si>
    <t>ANA ROSA RODRIGUEZ ASTUDILLO</t>
  </si>
  <si>
    <t xml:space="preserve">K </t>
  </si>
  <si>
    <t>ANDRE GUY HUBERT KLEIN NN</t>
  </si>
  <si>
    <t>ANDRÉS ANTONIO RIVERA CORTÉS</t>
  </si>
  <si>
    <t xml:space="preserve">MONTE PATRIA </t>
  </si>
  <si>
    <t xml:space="preserve">QUISTE HIDIATICO PULMONAR </t>
  </si>
  <si>
    <t>ANGEL REMIGIO ARCHILE ARCHILE</t>
  </si>
  <si>
    <t>ANGELICA MARISEL ARAYA PASTEN</t>
  </si>
  <si>
    <t>ARINDA CARMEN ARAYA ROJAS</t>
  </si>
  <si>
    <t>ARMANDO DEL ROSARIO CANIBILO ROJAS</t>
  </si>
  <si>
    <t xml:space="preserve">PUNITAQUI </t>
  </si>
  <si>
    <t>BEATRIZ MARTA CEPEDA GARNICA</t>
  </si>
  <si>
    <t>Amiloidosis pulmonar  </t>
  </si>
  <si>
    <t>BENEDICTO ANTONIO PIZARRO ROJAS</t>
  </si>
  <si>
    <t>CAMILO ANDRÉS CONTRERAS VIVERO</t>
  </si>
  <si>
    <t xml:space="preserve">HOV </t>
  </si>
  <si>
    <t>CRISTIAN ERNESTO ALUCEMA SANTANDER</t>
  </si>
  <si>
    <t>CRISTIAN MAURICIO VIORKLUMDS ALFARO</t>
  </si>
  <si>
    <t>EDELMIRA DEL CARMEN CORTÉS CORTÉS</t>
  </si>
  <si>
    <t>MONTE PATRIA</t>
  </si>
  <si>
    <t xml:space="preserve">NODULO PULMONAR BENIGNO </t>
  </si>
  <si>
    <t>EDUARDO ALFONSO GODOY GARCÍA</t>
  </si>
  <si>
    <t>EDUARDO ANTONIO RETAMAL NARANJO</t>
  </si>
  <si>
    <t>EDUARDO ANTONIO ROJAS CORTES</t>
  </si>
  <si>
    <t xml:space="preserve">SOSPECHA </t>
  </si>
  <si>
    <t>EDUARDO LORENZO CASTILLO VILLALOBOS</t>
  </si>
  <si>
    <t xml:space="preserve">EPOC </t>
  </si>
  <si>
    <t>ELISA CARMEN CORTÉS CUITIÑO</t>
  </si>
  <si>
    <t>ELIZARDO ARMANDO BUGUEÑO TAPIA</t>
  </si>
  <si>
    <t>ELSA CARMEN CASTILLO IBACACHE</t>
  </si>
  <si>
    <t>EMILIO DEL TRANSITO MUÑOZ ROJO</t>
  </si>
  <si>
    <t xml:space="preserve">COMBARBALA </t>
  </si>
  <si>
    <t>ENELSO DEL ROSARIO PIZARRO MILLA</t>
  </si>
  <si>
    <t>RIO HURTADO</t>
  </si>
  <si>
    <t>ERNESTO ANTONIO ROJAS ALFARO</t>
  </si>
  <si>
    <t>ERNESTO DEL ROSARIO MOYA ARAYA</t>
  </si>
  <si>
    <t>ESMERITA DE JESÚS ECHEVERRÍA CORTÉS</t>
  </si>
  <si>
    <t xml:space="preserve">QUISTE HIDATIDICO PULMONAR </t>
  </si>
  <si>
    <t xml:space="preserve">EN ATENCIONES POR HLS </t>
  </si>
  <si>
    <t>ESTEFANÍA DE MERCEDE CORTÉS CORTÉS</t>
  </si>
  <si>
    <t>FERNANDO PATRICIO CONTRERAS</t>
  </si>
  <si>
    <t>FRESIA ARAYA ARAYA</t>
  </si>
  <si>
    <t>GLORIA GRECIA ROJAS RIVERA</t>
  </si>
  <si>
    <t>GRACIELA ADRIANA GALLEGUILLOS X</t>
  </si>
  <si>
    <t>GRACIELA DEL CARMEN CONTRERAS DÍAZ</t>
  </si>
  <si>
    <t>GUILLERMO DEL ROSARI LÓPEZ ALCAYAGA</t>
  </si>
  <si>
    <t xml:space="preserve">NODULO PULMONAR SOLITARIO </t>
  </si>
  <si>
    <t xml:space="preserve">HECTOR ROLANDO ALVAREZ AGUILERA </t>
  </si>
  <si>
    <t>COMBARBALA</t>
  </si>
  <si>
    <t>HUGO ENRIQUE CONTRERAS DÍAZ</t>
  </si>
  <si>
    <t>JORGE ANTONIO CATALDO PIZARRO</t>
  </si>
  <si>
    <t>JORGE HERNAN COLLAO PERALTA</t>
  </si>
  <si>
    <t>JORGE IVER CORTES LABRA</t>
  </si>
  <si>
    <t>JOSE ALBERTO GOMEZ GOMEZ</t>
  </si>
  <si>
    <t>JOSÉ BERNABÉ NÚÑEZ OLIVARES</t>
  </si>
  <si>
    <t>JUAN CARLOS TAPIA BARRERA</t>
  </si>
  <si>
    <t>JUAN MANUEL OLIVARES MOYA</t>
  </si>
  <si>
    <t>CLARA ELENA CORTÉS ADAROS</t>
  </si>
  <si>
    <t>HELDA DEL ROSARIO MUJICA ROJA</t>
  </si>
  <si>
    <t>JUANA LUISA VEGA AVENDAÑO</t>
  </si>
  <si>
    <t>LORENZO ENRIQUE DIAZ SASSO</t>
  </si>
  <si>
    <t xml:space="preserve">TUMOR DE COMPORTAMIENTO INCIERTO </t>
  </si>
  <si>
    <t>Si</t>
  </si>
  <si>
    <t>MARCELO ROMÁN LEDEZMA ARAYA</t>
  </si>
  <si>
    <t>MARÍA CONCEPCIÓN TABILO ARAYA</t>
  </si>
  <si>
    <t>MARÍA HAYDÉE GUERRERO CARVAJAL</t>
  </si>
  <si>
    <t>MARÍA ISABEL ROJAS RODRÍGUEZ</t>
  </si>
  <si>
    <t>MARIA LUCY FLORES TELLO</t>
  </si>
  <si>
    <t>MARINA DE LOS SANTOS CARVAJAL CARVAJAL</t>
  </si>
  <si>
    <t>MEDELIZ DEL CARMEN ECHEVERRIA OLIVARES</t>
  </si>
  <si>
    <t>MÓNICA DE LOURDES VICENCIO MARTÍNEZ</t>
  </si>
  <si>
    <t>NANCY ANTONIA ROJAS GONZÁLEZ</t>
  </si>
  <si>
    <t>NILDA DEL CARMEN FARÍAS CARVAJAL</t>
  </si>
  <si>
    <t>NOELFA AVELINA TELLO TELLO</t>
  </si>
  <si>
    <t>NOLVIA CECILIA ECHEVERRÍA ECHEVERRÍA</t>
  </si>
  <si>
    <t>OLIVIA DEL CARMEN IBACACHE ARACENA</t>
  </si>
  <si>
    <t>OSCAR OMAR LÓPEZ LÓPEZ</t>
  </si>
  <si>
    <t>PATRICIA CARMEN NAVEA ROJAS</t>
  </si>
  <si>
    <t>RAFAEL TORRES ARAYA</t>
  </si>
  <si>
    <t>RAMONA DEL TRÁNSITO PIÑONES PIÑONES</t>
  </si>
  <si>
    <t>SEBASTIAN ENRIQUE RODRIGUEZ MALDONADO</t>
  </si>
  <si>
    <t>SERGIO HERNÁN ROJAS HURTADO</t>
  </si>
  <si>
    <t>SILVIA DE LAS MERCEDES INDO GONZALEZ</t>
  </si>
  <si>
    <t>COMBARBALÁ</t>
  </si>
  <si>
    <t>SONIA DEL CARMEN CORTÉS OLIVARES</t>
  </si>
  <si>
    <t>SONIA DEL CARMEN CORTÉS CORTÉS</t>
  </si>
  <si>
    <t>SERGIO ELADIO DEL RO ESCOBAR LEMUS</t>
  </si>
  <si>
    <t>SUSANA CARMEN CASTILLO RIVERA</t>
  </si>
  <si>
    <t>TOMÁS ANTONIO TABILO TABILO</t>
  </si>
  <si>
    <t>NODULO PULMONAR</t>
  </si>
  <si>
    <t>VERONICA GANA VILLEGA</t>
  </si>
  <si>
    <t>VICTORIA DE LAS MERCEDES ASTORGA ANDRADES</t>
  </si>
  <si>
    <t>WILSON EMILIANO OCHOA GÓMEZ</t>
  </si>
  <si>
    <t>ABELARDO DEL ROSARIO BARRAZA ROJAS</t>
  </si>
  <si>
    <t>NO</t>
  </si>
  <si>
    <t>ANA DEL TRÁNSITO SAPIAINS BARRAZA</t>
  </si>
  <si>
    <t>JUANA IVONNE CONTRERAS MALUENDA</t>
  </si>
  <si>
    <t>MARÍA LASTENIA SARRIA ARACENA</t>
  </si>
  <si>
    <t>CUIDADOS PALIATIVOS + RM CEREBRAL + EVA X ONCO</t>
  </si>
  <si>
    <t>MIRTA NOELIA MIRANDA PALMA</t>
  </si>
  <si>
    <t>CONFIRMACION</t>
  </si>
  <si>
    <t>FALP</t>
  </si>
  <si>
    <t xml:space="preserve">EN CURSO </t>
  </si>
  <si>
    <t>NO GES</t>
  </si>
  <si>
    <t>JOSE EVARISTO JARA VILLARROEL</t>
  </si>
  <si>
    <t>CARCOVICH BARRAZA, SERGIO ANTONIO</t>
  </si>
  <si>
    <t>IRMA CARMEN DONOSO PIZARRO</t>
  </si>
  <si>
    <t>MARIA BAUDILIA PIZARRO GALLEGUILLOS</t>
  </si>
  <si>
    <t>LAURA FUENTEALBA BOLADOS</t>
  </si>
  <si>
    <t>CUIDADOS PALIATIVOS EXCLUSIVOS</t>
  </si>
  <si>
    <t>HORAS DE CONTROL</t>
  </si>
  <si>
    <t>ADELAIDA DEL CARMEN NÚÑEZ OSSANDÓN</t>
  </si>
  <si>
    <t>BP</t>
  </si>
  <si>
    <t xml:space="preserve">CAUSAL MEDICA </t>
  </si>
  <si>
    <t>LUZMIRA DEL CARMEN CORTÉS CORTÉS</t>
  </si>
  <si>
    <t>TRATAMIENTO</t>
  </si>
  <si>
    <t xml:space="preserve">PETT-CT + RM + RT </t>
  </si>
  <si>
    <t xml:space="preserve">CON RESULTADOS </t>
  </si>
  <si>
    <t>MANUEL EDMUNDO OLIVARES ZAMORA</t>
  </si>
  <si>
    <t xml:space="preserve">RT + CUIDADOS PALIATIVOS </t>
  </si>
  <si>
    <t>NORMA DE LAS MERCEDE ALFARO TAPIA</t>
  </si>
  <si>
    <t xml:space="preserve"> OLGA ISABEL GALLARDO VERGARA</t>
  </si>
  <si>
    <t>SERGIO ANDRÉS ANDAUR ÁLVAREZ</t>
  </si>
  <si>
    <t>IQ BP PLEURAL.</t>
  </si>
  <si>
    <t xml:space="preserve">RESOLUCION DE COMITÉ </t>
  </si>
  <si>
    <t>BRUNILDA ONDINA FLORES CARVAJAL</t>
  </si>
  <si>
    <t>ANTOLIN TABILO TABILO</t>
  </si>
  <si>
    <t>EVA PARA TERAPIA SISTEMICA</t>
  </si>
  <si>
    <t xml:space="preserve">EMILIA VERÓNICA ALCAYAGA ALFARO </t>
  </si>
  <si>
    <t xml:space="preserve">QMT + INMUNOTERAPIA </t>
  </si>
  <si>
    <t>LINO MALUENDA FLORES</t>
  </si>
  <si>
    <t xml:space="preserve">NODULO PULMONAR </t>
  </si>
  <si>
    <t>CIRUGIA</t>
  </si>
  <si>
    <t>JUAN RAMON CASTILLO TORRES</t>
  </si>
  <si>
    <t>HSP</t>
  </si>
  <si>
    <t>ANGEL RUDERICO ARAYA MUÑOZ</t>
  </si>
  <si>
    <t>LUISA ELENA RIOS CASTILLO</t>
  </si>
  <si>
    <t>MARIA ISABEL VALDES OLIVARES</t>
  </si>
  <si>
    <t>COMBARBÁLA</t>
  </si>
  <si>
    <t>SIN COMITÉ</t>
  </si>
  <si>
    <t xml:space="preserve">DETENIDO </t>
  </si>
  <si>
    <t>RECHAZO</t>
  </si>
  <si>
    <t xml:space="preserve"> RECHAZO 5-6-2024.</t>
  </si>
  <si>
    <t>PALIATIVOS EVA NEURO</t>
  </si>
  <si>
    <t>NANCY VILMA MENDOZA ROJAS</t>
  </si>
  <si>
    <t>TERESA BARRAZA VARGAS</t>
  </si>
  <si>
    <t>CONFIRMACIÓN</t>
  </si>
  <si>
    <t>EN CURDO</t>
  </si>
  <si>
    <t>ROBERTO ANTIQUERA GUTIÉRREZ</t>
  </si>
  <si>
    <t>PEDRO ORLANDO PIZARRO PIZARRO</t>
  </si>
  <si>
    <t>S/B</t>
  </si>
  <si>
    <t>SE DESCARTA TU DE PULMON</t>
  </si>
  <si>
    <t>JAIME ANTONIO ROJAS ALUCEMA</t>
  </si>
  <si>
    <t>REALIZAR IMÁGENES PARA REETAPIFICACION</t>
  </si>
  <si>
    <r>
      <rPr>
        <sz val="11"/>
        <rFont val="Calibri"/>
        <family val="2"/>
        <scheme val="minor"/>
      </rPr>
      <t xml:space="preserve">PCTE HOSPITALIZADO // SE MANTIENE TTO // REALIZAR IMÁGENES PARA REETAPIFICACION --&gt; </t>
    </r>
    <r>
      <rPr>
        <b/>
        <sz val="11"/>
        <rFont val="Calibri"/>
        <family val="2"/>
        <scheme val="minor"/>
      </rPr>
      <t xml:space="preserve">9/7 tomo conocimiento, PACIENTE FALLECIDO. </t>
    </r>
  </si>
  <si>
    <t>AIDA DEL CARMEN ALFARO ACEVEDO</t>
  </si>
  <si>
    <t>OBS. CA PULMONS</t>
  </si>
  <si>
    <t>RX TORAX</t>
  </si>
  <si>
    <t>N/A</t>
  </si>
  <si>
    <t>25/7 SE EVALUAN ESTUDIOS, SE DESCARTA, SE LLENA IPD DESCARTE DE TU PULMNON.</t>
  </si>
  <si>
    <t>GUIDO ROJAS ROJAS</t>
  </si>
  <si>
    <t>TAC TORAX</t>
  </si>
  <si>
    <t>25/7SE EVALUAN ESTUDIOS, SE DESCARTA, SE LLENA IPD DESCARTE DE TU PULMON.</t>
  </si>
  <si>
    <t>GUISELA DEL CARMEN SANTANDER CASTILLO</t>
  </si>
  <si>
    <t>Se da de ALTA por broncopulmonar.</t>
  </si>
  <si>
    <t>6 meses</t>
  </si>
  <si>
    <t>DRA HURTADO</t>
  </si>
  <si>
    <t>DE ALTA</t>
  </si>
  <si>
    <t>3/8 se da de ALTA BRONCOPULMONAR</t>
  </si>
  <si>
    <t>REV (AGOSTO)</t>
  </si>
  <si>
    <t>JACQUELINE LOPEZ TEJEDA</t>
  </si>
  <si>
    <r>
      <rPr>
        <b/>
        <sz val="11"/>
        <color theme="1"/>
        <rFont val="Calibri"/>
        <family val="2"/>
        <scheme val="minor"/>
      </rPr>
      <t xml:space="preserve"> IPD descarte</t>
    </r>
    <r>
      <rPr>
        <sz val="11"/>
        <color theme="1"/>
        <rFont val="Calibri"/>
        <family val="2"/>
        <scheme val="minor"/>
      </rPr>
      <t>l.</t>
    </r>
  </si>
  <si>
    <t>4 MESES</t>
  </si>
  <si>
    <t>TU PULMON DESCARTADO 5/8/24</t>
  </si>
  <si>
    <t>5/8 se da de ALTA broncopulmonar</t>
  </si>
  <si>
    <t xml:space="preserve">MAGALY DEL CARMEN CONTRERAS </t>
  </si>
  <si>
    <t xml:space="preserve">EVALUAR TOMA DE BP DE LESION OSEA COLUMNA </t>
  </si>
  <si>
    <t>. TU PULMON DESCARTADO.</t>
  </si>
  <si>
    <t>CON RESULTADOS</t>
  </si>
  <si>
    <t>2/8 se da ALTA bronco TU PULMON DESCARTADO</t>
  </si>
  <si>
    <t>DORALIZA HERMINDA CONTRERAS ZEPEDA</t>
  </si>
  <si>
    <r>
      <rPr>
        <b/>
        <sz val="11"/>
        <color theme="1"/>
        <rFont val="Calibri"/>
        <family val="2"/>
        <scheme val="minor"/>
      </rPr>
      <t xml:space="preserve">se descarta TU de pulmon, </t>
    </r>
    <r>
      <rPr>
        <sz val="11"/>
        <color theme="1"/>
        <rFont val="Calibri"/>
        <family val="2"/>
        <scheme val="minor"/>
      </rPr>
      <t>entrego IPD en unidad GES.</t>
    </r>
  </si>
  <si>
    <t>CON EXAMENES</t>
  </si>
  <si>
    <r>
      <rPr>
        <b/>
        <sz val="12"/>
        <color theme="1"/>
        <rFont val="Calibri"/>
        <family val="2"/>
        <scheme val="minor"/>
      </rPr>
      <t>CITADO 9/8 12:10hrs, se descarta TU pulmón</t>
    </r>
    <r>
      <rPr>
        <sz val="12"/>
        <color theme="1"/>
        <rFont val="Calibri"/>
        <family val="2"/>
        <scheme val="minor"/>
      </rPr>
      <t>.</t>
    </r>
  </si>
  <si>
    <t> ALONSO DEL CARMEN ESQUIVEL ESQUIVEL</t>
  </si>
  <si>
    <r>
      <rPr>
        <sz val="11"/>
        <color theme="1"/>
        <rFont val="Calibri"/>
        <family val="2"/>
        <scheme val="minor"/>
      </rPr>
      <t xml:space="preserve"> </t>
    </r>
    <r>
      <rPr>
        <b/>
        <sz val="11"/>
        <color theme="1"/>
        <rFont val="Calibri"/>
        <family val="2"/>
        <scheme val="minor"/>
      </rPr>
      <t xml:space="preserve">se llena IPD de descarte TU PULMON. </t>
    </r>
  </si>
  <si>
    <t>14/6 se descarta tu pulmon</t>
  </si>
  <si>
    <t>FANNY JOSEFINA GUERRERO GARCIA</t>
  </si>
  <si>
    <t>CORRESPONDE TRATAMIENTO PALIATIVO SISTEMICO. DETERMINACIÓN DE MUTACIONES. CPYAD.</t>
  </si>
  <si>
    <t>FALLECIDA.</t>
  </si>
  <si>
    <t>15/8 paciente fallecida.)</t>
  </si>
  <si>
    <t>REV (JULIO)</t>
  </si>
  <si>
    <t>MANUEL ARAYA ARAYA</t>
  </si>
  <si>
    <t>CANCER DE PULMON</t>
  </si>
  <si>
    <t xml:space="preserve"> se descarta TU pulmon, recibo IPD y entrego en unidad GES.</t>
  </si>
  <si>
    <t>2 semanas</t>
  </si>
  <si>
    <t>Dra Hurtado</t>
  </si>
  <si>
    <t>20/8 se descarta TU pulmón por IPD descarte.</t>
  </si>
  <si>
    <t>LUIS BARRAZA MALUENDA</t>
  </si>
  <si>
    <t>no</t>
  </si>
  <si>
    <t>sospecha</t>
  </si>
  <si>
    <t>sin presentar</t>
  </si>
  <si>
    <t>se confecciona IPD descarte TU pulmón y se entrega a unidad ges.</t>
  </si>
  <si>
    <r>
      <rPr>
        <sz val="12"/>
        <color theme="1"/>
        <rFont val="Calibri"/>
        <family val="2"/>
        <scheme val="minor"/>
      </rPr>
      <t>21/8</t>
    </r>
    <r>
      <rPr>
        <b/>
        <sz val="12"/>
        <color theme="1"/>
        <rFont val="Calibri"/>
        <family val="2"/>
        <scheme val="minor"/>
      </rPr>
      <t xml:space="preserve"> se descarta TU Pulmo</t>
    </r>
    <r>
      <rPr>
        <sz val="12"/>
        <color theme="1"/>
        <rFont val="Calibri"/>
        <family val="2"/>
        <scheme val="minor"/>
      </rPr>
      <t>n.</t>
    </r>
  </si>
  <si>
    <t>REV ( AGOSTO)</t>
  </si>
  <si>
    <t>LUIS PIZARRO BARRAZA</t>
  </si>
  <si>
    <t>8 se llena IPD descarte y entrego en unidad GES.</t>
  </si>
  <si>
    <r>
      <rPr>
        <b/>
        <sz val="12"/>
        <color theme="1"/>
        <rFont val="Calibri"/>
        <family val="2"/>
        <scheme val="minor"/>
      </rPr>
      <t>22/8 se descarta TU pulmó</t>
    </r>
    <r>
      <rPr>
        <sz val="12"/>
        <color theme="1"/>
        <rFont val="Calibri"/>
        <family val="2"/>
        <scheme val="minor"/>
      </rPr>
      <t>n, se llena IPD y se entrega a GES.</t>
    </r>
  </si>
  <si>
    <t>NERI PIZARRO OPAZO</t>
  </si>
  <si>
    <r>
      <t xml:space="preserve"> </t>
    </r>
    <r>
      <rPr>
        <b/>
        <sz val="12"/>
        <color theme="1"/>
        <rFont val="Calibri"/>
        <family val="2"/>
        <scheme val="minor"/>
      </rPr>
      <t>doctora confecciona IPD descarte TU pulmon</t>
    </r>
    <r>
      <rPr>
        <sz val="12"/>
        <color theme="1"/>
        <rFont val="Calibri"/>
        <family val="2"/>
        <scheme val="minor"/>
      </rPr>
      <t xml:space="preserve"> y entrego en unidad GES.</t>
    </r>
  </si>
  <si>
    <r>
      <rPr>
        <sz val="12"/>
        <color theme="1"/>
        <rFont val="Calibri"/>
        <family val="2"/>
        <scheme val="minor"/>
      </rPr>
      <t>CITADA 20/8, se descarta TU pulmón. P) IPD descarte.</t>
    </r>
    <r>
      <rPr>
        <b/>
        <sz val="12"/>
        <color theme="1"/>
        <rFont val="Calibri"/>
        <family val="2"/>
        <scheme val="minor"/>
      </rPr>
      <t xml:space="preserve"> 22/8 se llena IPD descarte TU pulmón.</t>
    </r>
  </si>
  <si>
    <t>ARNOLDO HIDALGO VALCARCE</t>
  </si>
  <si>
    <t xml:space="preserve">CANCER DE PULMON </t>
  </si>
  <si>
    <r>
      <rPr>
        <b/>
        <sz val="12"/>
        <color theme="1"/>
        <rFont val="Calibri"/>
        <family val="2"/>
        <scheme val="minor"/>
      </rPr>
      <t xml:space="preserve"> doctora confecciona IPD de descarte TU pulmón</t>
    </r>
    <r>
      <rPr>
        <sz val="12"/>
        <color theme="1"/>
        <rFont val="Calibri"/>
        <family val="2"/>
        <scheme val="minor"/>
      </rPr>
      <t xml:space="preserve"> y entrego en unidad GES.</t>
    </r>
  </si>
  <si>
    <t>1 MES</t>
  </si>
  <si>
    <r>
      <rPr>
        <sz val="12"/>
        <color theme="1"/>
        <rFont val="Calibri"/>
        <family val="2"/>
        <scheme val="minor"/>
      </rPr>
      <t xml:space="preserve">CITADO 20/8 se descarta Tu pulmon. P) IPD descarte TU pulmon. </t>
    </r>
    <r>
      <rPr>
        <b/>
        <sz val="12"/>
        <color theme="1"/>
        <rFont val="Calibri"/>
        <family val="2"/>
        <scheme val="minor"/>
      </rPr>
      <t xml:space="preserve">22/8 se hace IPD descarte TU pulmon </t>
    </r>
  </si>
  <si>
    <t xml:space="preserve">ADRIANA DELFINA GAMBOA CORTÉS </t>
  </si>
  <si>
    <r>
      <rPr>
        <b/>
        <sz val="11"/>
        <rFont val="Calibri"/>
        <family val="2"/>
        <scheme val="minor"/>
      </rPr>
      <t>doctora decide postergar por rechazo la garantía, confecciona IPD y entrego en unidad GES, en revisión de IPD usuaria cuenta desde octubre con caso cerrado por rechazo, se entrega IPD como respaldo recibido por jefa GES</t>
    </r>
    <r>
      <rPr>
        <sz val="11"/>
        <rFont val="Calibri"/>
        <family val="2"/>
        <scheme val="minor"/>
      </rPr>
      <t>.. Se egresa de bajo control.</t>
    </r>
  </si>
  <si>
    <t>3 MESES</t>
  </si>
  <si>
    <t>Usuaria rechaza tto, garantia cerrada.</t>
  </si>
  <si>
    <t>ZORKA YELIC MENESES</t>
  </si>
  <si>
    <t xml:space="preserve"> usuaria rechaza todo tipo de procedimiento por sospecha CA pulmón, se registra y se informa a ges. SE EGRESA x RECHAZO.</t>
  </si>
  <si>
    <t>2 SEMANAS</t>
  </si>
  <si>
    <t>26/8 usuaria rechaza atenciones. Se cierra garantía x rechazo. SE EGRESA:</t>
  </si>
  <si>
    <t>ISMAEL CAMPUSANO ROBLES</t>
  </si>
  <si>
    <t>CÁNCER DE PULMÓN</t>
  </si>
  <si>
    <t>SOSPECHA/CONFIRMACIÓN</t>
  </si>
  <si>
    <t>PENDIENTE</t>
  </si>
  <si>
    <r>
      <t xml:space="preserve"> </t>
    </r>
    <r>
      <rPr>
        <b/>
        <sz val="12"/>
        <color theme="1"/>
        <rFont val="Calibri"/>
        <family val="2"/>
        <scheme val="minor"/>
      </rPr>
      <t xml:space="preserve">se descarta TU de pulmón , entrego IPD a unidad ges </t>
    </r>
  </si>
  <si>
    <t>DRA. HURTADO</t>
  </si>
  <si>
    <r>
      <rPr>
        <sz val="12"/>
        <color theme="1"/>
        <rFont val="Calibri"/>
        <family val="2"/>
        <scheme val="minor"/>
      </rPr>
      <t xml:space="preserve">CITADO 30/8 11:50hrs, evaluado y </t>
    </r>
    <r>
      <rPr>
        <b/>
        <sz val="12"/>
        <color theme="1"/>
        <rFont val="Calibri"/>
        <family val="2"/>
        <scheme val="minor"/>
      </rPr>
      <t>se descarte TU de pulmón.</t>
    </r>
  </si>
  <si>
    <t>CLARA DEL TRÁNSITO VERGARA CORTÉS</t>
  </si>
  <si>
    <t xml:space="preserve"> Se egresa, sin sugerente de TU pulmon.</t>
  </si>
  <si>
    <t>P) citar en Marzo/2025 x admision. Se egresa, sin sugerente de TU pulmon.</t>
  </si>
  <si>
    <t>REV (SEPTIEMBRE)</t>
  </si>
  <si>
    <t>CLAUDIO TABILO TABILO</t>
  </si>
  <si>
    <t>Seguimiento Enf: 26/8 tomo conocimiento de casos, usuario evaluado por Dra. Hurtado, tiene GARANTÍA GES RETRASADA (DESDE 2023), la dra. Hurtado indica control en 2 meses con Rx Tórax. P) CONSULTAR POR IPD descarte a dra.??? 11/9 sin garantia de tu pulmón?? se egresa momentaneamente.</t>
  </si>
  <si>
    <t>HÉCTOR DEL CARMEN RODRÍGUEZ TAPIA</t>
  </si>
  <si>
    <t xml:space="preserve"> se egresa, usuario con EPOC.</t>
  </si>
  <si>
    <t>11/9 se egresa, usuario con EPOC.</t>
  </si>
  <si>
    <t>GONZALO SIERRA CONTRERAS</t>
  </si>
  <si>
    <t>SOSPECHA NODULO PULMONAR</t>
  </si>
  <si>
    <t>usuario sin garantia por TU pulmon, en ultima evaluación no evidencian nodulos pulmonar, se egresa.</t>
  </si>
  <si>
    <t>12/9 se egresa</t>
  </si>
  <si>
    <t>ANA PIZARRO PIZARRO</t>
  </si>
  <si>
    <t>CANCER DE PULMÓN</t>
  </si>
  <si>
    <t xml:space="preserve"> IPD descarte a GES. se egresa.</t>
  </si>
  <si>
    <r>
      <rPr>
        <sz val="12"/>
        <color theme="1"/>
        <rFont val="Calibri"/>
        <family val="2"/>
        <scheme val="minor"/>
      </rPr>
      <t xml:space="preserve">CITADA 6/9 12:10hrs, </t>
    </r>
    <r>
      <rPr>
        <b/>
        <sz val="12"/>
        <color theme="1"/>
        <rFont val="Calibri"/>
        <family val="2"/>
        <scheme val="minor"/>
      </rPr>
      <t>se descartó TU pulmón</t>
    </r>
    <r>
      <rPr>
        <sz val="12"/>
        <color theme="1"/>
        <rFont val="Calibri"/>
        <family val="2"/>
        <scheme val="minor"/>
      </rPr>
      <t xml:space="preserve">, </t>
    </r>
  </si>
  <si>
    <t>SOLIANN LEDEZMA ROJAS</t>
  </si>
  <si>
    <t>TU DE PULMÓN</t>
  </si>
  <si>
    <t>se egresa de Torax, se mantiene en seguimiento por Marianne.</t>
  </si>
  <si>
    <t>P) CITAR el 20/9 c/bp ganglionar. 24/9 se egresa biopsia positiva linfoma</t>
  </si>
  <si>
    <r>
      <rPr>
        <sz val="11"/>
        <color theme="1"/>
        <rFont val="Calibri"/>
        <family val="2"/>
        <scheme val="minor"/>
      </rPr>
      <t>RUDECINDA GLADYS</t>
    </r>
    <r>
      <rPr>
        <sz val="11"/>
        <color rgb="FFFFFFFF"/>
        <rFont val="Calibri"/>
        <family val="2"/>
        <scheme val="minor"/>
      </rPr>
      <t> </t>
    </r>
    <r>
      <rPr>
        <sz val="11"/>
        <color theme="1"/>
        <rFont val="Calibri"/>
        <family val="2"/>
        <scheme val="minor"/>
      </rPr>
      <t>GARCÍA</t>
    </r>
    <r>
      <rPr>
        <sz val="11"/>
        <color rgb="FFFFFFFF"/>
        <rFont val="Calibri"/>
        <family val="2"/>
        <scheme val="minor"/>
      </rPr>
      <t> </t>
    </r>
    <r>
      <rPr>
        <sz val="11"/>
        <color theme="1"/>
        <rFont val="Calibri"/>
        <family val="2"/>
        <scheme val="minor"/>
      </rPr>
      <t>TRIGO</t>
    </r>
  </si>
  <si>
    <t>BP+ DLCO</t>
  </si>
  <si>
    <t>se llena IPD cierre garantía por rechazo y se entrega IPD cuidados paliativos, se egresa.</t>
  </si>
  <si>
    <t>P) CITAR EN Octubre/2024 c/tac torax // P) consultar por IPD CPYAD y/o IPD rechazo TU PULMÓN?? 12/9 se entre cierre de garantía.</t>
  </si>
  <si>
    <t>REV (SEPTEMBRE)</t>
  </si>
  <si>
    <t>ELÍAS DEL ROSARIO HONORES BOLADOS</t>
  </si>
  <si>
    <t xml:space="preserve">SEGUIMIENTRO POR ESCANER </t>
  </si>
  <si>
    <r>
      <t xml:space="preserve"> </t>
    </r>
    <r>
      <rPr>
        <b/>
        <sz val="11"/>
        <rFont val="Calibri"/>
        <family val="2"/>
        <scheme val="minor"/>
      </rPr>
      <t xml:space="preserve">Se egresa de bajo control </t>
    </r>
    <r>
      <rPr>
        <sz val="11"/>
        <rFont val="Calibri"/>
        <family val="2"/>
        <scheme val="minor"/>
      </rPr>
      <t>ya que es de Prostata no Pulmón. 26/9 evaluado por dr. RAMOS se solicita biopsia ganglionar.</t>
    </r>
  </si>
  <si>
    <t>CITADO 24/9 11:00hrs, se prioriza IC a CyC. Se egresa no corresponde a Torax sino Prostata.</t>
  </si>
  <si>
    <t>GILDA DEL CARMEN PERINES CORTÉS</t>
  </si>
  <si>
    <t>se realiza IPD descarte TU PULMON y se entrega a GES. se egresa.</t>
  </si>
  <si>
    <t>CITADA 16/9 09:20hrs. // 26/9 se entrega IPD descarte TU PULMON, se egresa.</t>
  </si>
  <si>
    <t>ROSA LEÓN ASTUDILLO</t>
  </si>
  <si>
    <t>OBS: CA DE PULMON</t>
  </si>
  <si>
    <t xml:space="preserve"> entrego IPD descarte TU pulmón a GES. se egresa.</t>
  </si>
  <si>
    <t>con resultados</t>
  </si>
  <si>
    <r>
      <rPr>
        <sz val="12"/>
        <color theme="1"/>
        <rFont val="Calibri"/>
        <family val="2"/>
        <scheme val="minor"/>
      </rPr>
      <t xml:space="preserve">P) consultar por IPD DESCARTE. </t>
    </r>
    <r>
      <rPr>
        <b/>
        <sz val="12"/>
        <color theme="1"/>
        <rFont val="Calibri"/>
        <family val="2"/>
        <scheme val="minor"/>
      </rPr>
      <t>26/9 se entrega IPD descarte. Se egresa.</t>
    </r>
  </si>
  <si>
    <t>MARIA FLORES CONTRERAS</t>
  </si>
  <si>
    <t>OBS: TU PULMON</t>
  </si>
  <si>
    <t>evaluada se descarta TU PULMON y se entrega IPD a GES.</t>
  </si>
  <si>
    <r>
      <rPr>
        <sz val="12"/>
        <color theme="1"/>
        <rFont val="Calibri"/>
        <family val="2"/>
        <scheme val="minor"/>
      </rPr>
      <t xml:space="preserve">CITADA 26/9 09:00hrs // </t>
    </r>
    <r>
      <rPr>
        <b/>
        <sz val="12"/>
        <color theme="1"/>
        <rFont val="Calibri"/>
        <family val="2"/>
        <scheme val="minor"/>
      </rPr>
      <t>Se entrega IPD descarte tu pulmón a ges.</t>
    </r>
  </si>
  <si>
    <t>JUAN ROJAS ESPARCE</t>
  </si>
  <si>
    <t>obs: TU DE PULMON</t>
  </si>
  <si>
    <r>
      <t xml:space="preserve"> se </t>
    </r>
    <r>
      <rPr>
        <b/>
        <sz val="12"/>
        <color theme="1"/>
        <rFont val="Calibri"/>
        <family val="2"/>
        <scheme val="minor"/>
      </rPr>
      <t>confecciona IPD descarte, y entrego a GES. SE EGRESA.</t>
    </r>
  </si>
  <si>
    <r>
      <rPr>
        <sz val="12"/>
        <color theme="1"/>
        <rFont val="Calibri"/>
        <family val="2"/>
        <scheme val="minor"/>
      </rPr>
      <t xml:space="preserve">CITADO 4/10 11:50hrs, se llena </t>
    </r>
    <r>
      <rPr>
        <b/>
        <sz val="12"/>
        <color theme="1"/>
        <rFont val="Calibri"/>
        <family val="2"/>
        <scheme val="minor"/>
      </rPr>
      <t>IPD descarte TU PULMOn y entrego a GES. Se egresa</t>
    </r>
  </si>
  <si>
    <t>ESTRELLA IBACACHE JIMENEZ</t>
  </si>
  <si>
    <t>obs: TU de pulmón</t>
  </si>
  <si>
    <r>
      <t xml:space="preserve"> </t>
    </r>
    <r>
      <rPr>
        <b/>
        <sz val="12"/>
        <color theme="1"/>
        <rFont val="Calibri"/>
        <family val="2"/>
        <scheme val="minor"/>
      </rPr>
      <t>se descarta TU de pulmón y entrego IPD en GES. Se egresa.</t>
    </r>
  </si>
  <si>
    <r>
      <rPr>
        <sz val="12"/>
        <color theme="1"/>
        <rFont val="Calibri"/>
        <family val="2"/>
        <scheme val="minor"/>
      </rPr>
      <t xml:space="preserve">CITADA 4/10 12:10hrs, </t>
    </r>
    <r>
      <rPr>
        <b/>
        <sz val="12"/>
        <color theme="1"/>
        <rFont val="Calibri"/>
        <family val="2"/>
        <scheme val="minor"/>
      </rPr>
      <t>se llena IPD descarte TU pulmon y entrego a GES. Se egresa.</t>
    </r>
  </si>
  <si>
    <t>ORIEL MARAMBIO HERRERA</t>
  </si>
  <si>
    <t>OBS: NEOPLASIA PULMON</t>
  </si>
  <si>
    <t>15-08-2024 (TAC TAP)</t>
  </si>
  <si>
    <t>DETENIDA</t>
  </si>
  <si>
    <r>
      <rPr>
        <sz val="12"/>
        <color theme="1"/>
        <rFont val="Calibri"/>
        <family val="2"/>
        <scheme val="minor"/>
      </rPr>
      <t xml:space="preserve">P) Agendamiento por GES con dra. Hurtado // </t>
    </r>
    <r>
      <rPr>
        <b/>
        <sz val="12"/>
        <color theme="1"/>
        <rFont val="Calibri"/>
        <family val="2"/>
        <scheme val="minor"/>
      </rPr>
      <t>10/10 paciente fallecido.</t>
    </r>
  </si>
  <si>
    <t>ARNOLDO BORQUEZ BORQUEZ</t>
  </si>
  <si>
    <t xml:space="preserve"> IPD DE DESCARTE. 10/10 entrego ipd descarte a GES, se egresa.</t>
  </si>
  <si>
    <r>
      <rPr>
        <sz val="12"/>
        <color theme="1"/>
        <rFont val="Calibri"/>
        <family val="2"/>
        <scheme val="minor"/>
      </rPr>
      <t>evaluado 27/9, se descarta TU de pulmon.</t>
    </r>
    <r>
      <rPr>
        <b/>
        <sz val="12"/>
        <color theme="1"/>
        <rFont val="Calibri"/>
        <family val="2"/>
        <scheme val="minor"/>
      </rPr>
      <t xml:space="preserve"> P) IPD DE DESCARTE. 10/10 se entrega ipd descarte.</t>
    </r>
  </si>
  <si>
    <t>REV (OCTUBRE)</t>
  </si>
  <si>
    <t>NEREO GILBERTO CONTRERAS TAPIA</t>
  </si>
  <si>
    <t>se descarta TU de pulmón y dra llena IPD descarte, se egresa.</t>
  </si>
  <si>
    <r>
      <rPr>
        <sz val="12"/>
        <color theme="1"/>
        <rFont val="Calibri"/>
        <family val="2"/>
        <scheme val="minor"/>
      </rPr>
      <t xml:space="preserve">CITADO 11/10 11:20hrs, </t>
    </r>
    <r>
      <rPr>
        <b/>
        <sz val="12"/>
        <color theme="1"/>
        <rFont val="Calibri"/>
        <family val="2"/>
        <scheme val="minor"/>
      </rPr>
      <t>evaluado se descarta TU pulmón, se llena IPD, se egresa.</t>
    </r>
  </si>
  <si>
    <t>JAVIER ALEJANDRO CONTRERAS CONTRERAS}</t>
  </si>
  <si>
    <t>obs:CÁNCER DE PULMON?</t>
  </si>
  <si>
    <r>
      <rPr>
        <sz val="11"/>
        <color theme="1"/>
        <rFont val="Calibri"/>
        <family val="2"/>
        <scheme val="minor"/>
      </rPr>
      <t xml:space="preserve"> </t>
    </r>
    <r>
      <rPr>
        <b/>
        <sz val="11"/>
        <color theme="1"/>
        <rFont val="Calibri"/>
        <family val="2"/>
        <scheme val="minor"/>
      </rPr>
      <t>Se revisa caso, sin garantía TU pulmon, y en evoluciones Dra Hurtado no se menciona sospecha de TU, tampoco IC. Se egresa.</t>
    </r>
  </si>
  <si>
    <t>CITADO 14/10 09:00hrs, pero NSP. 16/10 se egresa.</t>
  </si>
  <si>
    <t>ELISA AGUIRRE CARVAJAL</t>
  </si>
  <si>
    <t>Se confecciona ipd descarte Tu de pulmon y entrego en unidad GES. Se egresa.</t>
  </si>
  <si>
    <r>
      <rPr>
        <sz val="12"/>
        <color theme="1"/>
        <rFont val="Calibri"/>
        <family val="2"/>
        <scheme val="minor"/>
      </rPr>
      <t xml:space="preserve">CITADA 16/10 13:40hrs, </t>
    </r>
    <r>
      <rPr>
        <b/>
        <sz val="12"/>
        <color theme="1"/>
        <rFont val="Calibri"/>
        <family val="2"/>
        <scheme val="minor"/>
      </rPr>
      <t>se descarta TU de pulmon. 17/10 se entrega IPD descarte tu pulmon. Se egresa.</t>
    </r>
  </si>
  <si>
    <t>REV (Octubre)</t>
  </si>
  <si>
    <t>MARÍA ZULETA CASTILLO</t>
  </si>
  <si>
    <t>Evaluada se descarta TU de pulmon, 21/10 se entrega IPD a GES. Se egresa.</t>
  </si>
  <si>
    <t>2 MESES</t>
  </si>
  <si>
    <r>
      <rPr>
        <sz val="12"/>
        <color theme="1"/>
        <rFont val="Calibri"/>
        <family val="2"/>
        <scheme val="minor"/>
      </rPr>
      <t>CITADA 18/10 11:20hrs /</t>
    </r>
    <r>
      <rPr>
        <b/>
        <sz val="12"/>
        <color theme="1"/>
        <rFont val="Calibri"/>
        <family val="2"/>
        <scheme val="minor"/>
      </rPr>
      <t>/21/10 se descarta tu de pulmon, se entrega a ges, se egresa</t>
    </r>
    <r>
      <rPr>
        <sz val="12"/>
        <color theme="1"/>
        <rFont val="Calibri"/>
        <family val="2"/>
        <scheme val="minor"/>
      </rPr>
      <t>.</t>
    </r>
  </si>
  <si>
    <t>SAMUEL BERNARDO SEGOVIA CORTE</t>
  </si>
  <si>
    <r>
      <rPr>
        <sz val="11"/>
        <color theme="1"/>
        <rFont val="Calibri"/>
        <family val="2"/>
        <scheme val="minor"/>
      </rPr>
      <t xml:space="preserve"> </t>
    </r>
    <r>
      <rPr>
        <b/>
        <sz val="11"/>
        <color theme="1"/>
        <rFont val="Calibri"/>
        <family val="2"/>
        <scheme val="minor"/>
      </rPr>
      <t>se define nodulo benigno, se descarta tu de pulmon y se da de alta de broncopulmonar. Se egresa.</t>
    </r>
  </si>
  <si>
    <r>
      <rPr>
        <sz val="12"/>
        <color theme="1"/>
        <rFont val="Calibri"/>
        <family val="2"/>
        <scheme val="minor"/>
      </rPr>
      <t xml:space="preserve">CITADA 18/10 12:00hrs, </t>
    </r>
    <r>
      <rPr>
        <b/>
        <sz val="12"/>
        <color theme="1"/>
        <rFont val="Calibri"/>
        <family val="2"/>
        <scheme val="minor"/>
      </rPr>
      <t>se descarta TU de pulmon. Se egresa.</t>
    </r>
  </si>
  <si>
    <t>RUBEN ADONES ADONES</t>
  </si>
  <si>
    <t>OBS: CANCER DE PULMON</t>
  </si>
  <si>
    <t>evaluado se descarta TU de Pulmon, recepciono IPD y entrego en GES. Se egresa.</t>
  </si>
  <si>
    <t>DRA Hurtado</t>
  </si>
  <si>
    <r>
      <rPr>
        <sz val="12"/>
        <color theme="1"/>
        <rFont val="Calibri"/>
        <family val="2"/>
        <scheme val="minor"/>
      </rPr>
      <t>CITADO 23/10 13:00hrs,</t>
    </r>
    <r>
      <rPr>
        <b/>
        <sz val="12"/>
        <color theme="1"/>
        <rFont val="Calibri"/>
        <family val="2"/>
        <scheme val="minor"/>
      </rPr>
      <t xml:space="preserve"> se descarta TU de pulmon, se entrega IPD de descarte en GES. Se egresa.</t>
    </r>
  </si>
  <si>
    <t>MIRZA CORTÉS AGUILERA</t>
  </si>
  <si>
    <t>OBS: SOSPECHA NODULOS PULMONARES origen neoplasico</t>
  </si>
  <si>
    <t>14-08-2024 (TAC TORAX)</t>
  </si>
  <si>
    <t xml:space="preserve">Representar en comité digestivo, cuidados paliativos exclusivos. </t>
  </si>
  <si>
    <t xml:space="preserve"> Se entrega IPD descarte TU pulmon a GES. Se egresa.</t>
  </si>
  <si>
    <r>
      <rPr>
        <sz val="12"/>
        <color theme="1"/>
        <rFont val="Calibri"/>
        <family val="2"/>
        <scheme val="minor"/>
      </rPr>
      <t xml:space="preserve">16/10 se presenta a comité, se define continuar proceso en comité digestivo. </t>
    </r>
    <r>
      <rPr>
        <b/>
        <sz val="12"/>
        <color theme="1"/>
        <rFont val="Calibri"/>
        <family val="2"/>
        <scheme val="minor"/>
      </rPr>
      <t>16/10 se entrega IPD descarte TU pulmon a GES. Se gresa</t>
    </r>
  </si>
  <si>
    <t>ENRIQUE SEGOVIA NARANJO</t>
  </si>
  <si>
    <t>,</t>
  </si>
  <si>
    <t>RM abdomen para categorizar nodulo suprarrenal en contexto de cancer pulmonar, Biopsia pleural. resultado de RM cerebral. Pedir el taco
para tramitar PD-L1.
Representar. Cuidados paliativos</t>
  </si>
  <si>
    <r>
      <rPr>
        <sz val="12"/>
        <color theme="1"/>
        <rFont val="Calibri"/>
        <family val="2"/>
        <scheme val="minor"/>
      </rPr>
      <t xml:space="preserve">9/10 presentado COR TORAX. P) resultado RM cerebro/abdomen, pdl1, biopsia ganglionar. </t>
    </r>
    <r>
      <rPr>
        <b/>
        <sz val="12"/>
        <color theme="1"/>
        <rFont val="Calibri"/>
        <family val="2"/>
        <scheme val="minor"/>
      </rPr>
      <t>25/10 se da aviso que fallecio el 23/10. se egresa.</t>
    </r>
  </si>
  <si>
    <t>JORGE DEL CARMEN CASTILLO CONTRERAS</t>
  </si>
  <si>
    <t>SIN BP</t>
  </si>
  <si>
    <t>solicitud de EBUS y representar con resultado</t>
  </si>
  <si>
    <t>se entrega cierre de caso ges por rechazo procedimiento. Se egresa de bajo control.</t>
  </si>
  <si>
    <r>
      <rPr>
        <sz val="12"/>
        <color theme="1"/>
        <rFont val="Calibri"/>
        <family val="2"/>
        <scheme val="minor"/>
      </rPr>
      <t xml:space="preserve">CITADO 06/11 13:20hrs (decisión) // </t>
    </r>
    <r>
      <rPr>
        <b/>
        <sz val="12"/>
        <color theme="1"/>
        <rFont val="Calibri"/>
        <family val="2"/>
        <scheme val="minor"/>
      </rPr>
      <t>14/11 se entrega cierre caso ges. Se egresa.</t>
    </r>
  </si>
  <si>
    <t>SILVIA DE MERCEDES TORRES HERNÁNDEZ</t>
  </si>
  <si>
    <t>doctora confecciona cierre de caso y entrego en GES. Se egresa.</t>
  </si>
  <si>
    <r>
      <rPr>
        <sz val="12"/>
        <color theme="1"/>
        <rFont val="Calibri"/>
        <family val="2"/>
        <scheme val="minor"/>
      </rPr>
      <t xml:space="preserve">05/11 evaluada, se rechaza tto onco. </t>
    </r>
    <r>
      <rPr>
        <b/>
        <sz val="12"/>
        <color theme="1"/>
        <rFont val="Calibri"/>
        <family val="2"/>
        <scheme val="minor"/>
      </rPr>
      <t>14/11 doctora confecciona cierre de caso y entrego en GES. Se egresa.</t>
    </r>
  </si>
  <si>
    <t>REV (NOVIEMBRE)</t>
  </si>
  <si>
    <t>BALDOMERO LOPEZ CODOCEO</t>
  </si>
  <si>
    <t>CA de prostata c/ mtt pulmonar descartada (silicosis)</t>
  </si>
  <si>
    <t>evaluada, se descarta metastasis pulmonar, corresponde a silicosis. Se llama a hija de usuario y se notifica egreso de bajo control, debe continuar por pulmon por admisión y se mantiene en bajo control CA prostata.</t>
  </si>
  <si>
    <r>
      <rPr>
        <sz val="12"/>
        <color theme="1"/>
        <rFont val="Calibri"/>
        <family val="2"/>
        <scheme val="minor"/>
      </rPr>
      <t>CITADO 15/11 11:20hrs (TAC listo), evaluad</t>
    </r>
    <r>
      <rPr>
        <b/>
        <sz val="12"/>
        <color theme="1"/>
        <rFont val="Calibri"/>
        <family val="2"/>
        <scheme val="minor"/>
      </rPr>
      <t>o se descarta mtt pulmonar, se egresa.</t>
    </r>
  </si>
  <si>
    <t>ERIKA CONTRERAS GALLEGUILLOS</t>
  </si>
  <si>
    <t>OBSERVACIÓN</t>
  </si>
  <si>
    <r>
      <t xml:space="preserve"> </t>
    </r>
    <r>
      <rPr>
        <b/>
        <sz val="11"/>
        <rFont val="Calibri"/>
        <family val="2"/>
        <scheme val="minor"/>
      </rPr>
      <t>evaluada se da ALTA por broncopulmonar.</t>
    </r>
  </si>
  <si>
    <r>
      <rPr>
        <sz val="12"/>
        <color theme="1"/>
        <rFont val="Calibri"/>
        <family val="2"/>
        <scheme val="minor"/>
      </rPr>
      <t>CITADA 15/11 11:40hrs,</t>
    </r>
    <r>
      <rPr>
        <b/>
        <sz val="12"/>
        <color theme="1"/>
        <rFont val="Calibri"/>
        <family val="2"/>
        <scheme val="minor"/>
      </rPr>
      <t xml:space="preserve"> evaluada se da ALTA broncoulmonar</t>
    </r>
  </si>
  <si>
    <t>JOSE LUIS ARAYA TELLO</t>
  </si>
  <si>
    <t>dra hurtado que deja constancia de cierre de caso, se mantendrá por CPYAD y por urología.</t>
  </si>
  <si>
    <r>
      <rPr>
        <sz val="12"/>
        <color theme="1"/>
        <rFont val="Calibri"/>
        <family val="2"/>
        <scheme val="minor"/>
      </rPr>
      <t xml:space="preserve">P) CONTROLES x CPYAD. // </t>
    </r>
    <r>
      <rPr>
        <b/>
        <sz val="12"/>
        <color theme="1"/>
        <rFont val="Calibri"/>
        <family val="2"/>
        <scheme val="minor"/>
      </rPr>
      <t>18/11 evaluada se cierra caso, se mantendra x CPE y urología</t>
    </r>
  </si>
  <si>
    <t>CORINA CHINGA LÓPEZ</t>
  </si>
  <si>
    <r>
      <t xml:space="preserve"> </t>
    </r>
    <r>
      <rPr>
        <b/>
        <sz val="12"/>
        <color theme="1"/>
        <rFont val="Calibri"/>
        <family val="2"/>
        <scheme val="minor"/>
      </rPr>
      <t>evaluada se descarta TU pulmon y se entrega IPD en GES.</t>
    </r>
  </si>
  <si>
    <r>
      <rPr>
        <sz val="12"/>
        <color theme="1"/>
        <rFont val="Calibri"/>
        <family val="2"/>
        <scheme val="minor"/>
      </rPr>
      <t xml:space="preserve">CITADA 25/11 13:50hrs (TAC tórax), </t>
    </r>
    <r>
      <rPr>
        <b/>
        <sz val="12"/>
        <color theme="1"/>
        <rFont val="Calibri"/>
        <family val="2"/>
        <scheme val="minor"/>
      </rPr>
      <t>se descarta TU pulmon y se entrega IPD descarte a GES.</t>
    </r>
  </si>
  <si>
    <t>JUAN BAUTISTA ECHEVERRÍA BARRAZA</t>
  </si>
  <si>
    <r>
      <rPr>
        <sz val="11"/>
        <color theme="1"/>
        <rFont val="Calibri"/>
        <family val="2"/>
        <scheme val="minor"/>
      </rPr>
      <t xml:space="preserve"> </t>
    </r>
    <r>
      <rPr>
        <b/>
        <sz val="11"/>
        <color theme="1"/>
        <rFont val="Calibri"/>
        <family val="2"/>
        <scheme val="minor"/>
      </rPr>
      <t>con CA descartado, estable se da de alta consulta broncopulmonar. Se egresa.</t>
    </r>
  </si>
  <si>
    <r>
      <rPr>
        <sz val="12"/>
        <color theme="1"/>
        <rFont val="Calibri"/>
        <family val="2"/>
        <scheme val="minor"/>
      </rPr>
      <t xml:space="preserve">CITADO 27/11 13:00hrs, </t>
    </r>
    <r>
      <rPr>
        <b/>
        <sz val="12"/>
        <color theme="1"/>
        <rFont val="Calibri"/>
        <family val="2"/>
        <scheme val="minor"/>
      </rPr>
      <t>TU ya descartado, se da de alta bronco. Se egresa.</t>
    </r>
  </si>
  <si>
    <t>CRISTINA CARMEN VEGA BAHAMONDES</t>
  </si>
  <si>
    <r>
      <rPr>
        <sz val="12"/>
        <color theme="1"/>
        <rFont val="Calibri"/>
        <family val="2"/>
        <scheme val="minor"/>
      </rPr>
      <t xml:space="preserve">P) CITAR EN DECIEMBRE/2024// </t>
    </r>
    <r>
      <rPr>
        <b/>
        <sz val="12"/>
        <color theme="1"/>
        <rFont val="Calibri"/>
        <family val="2"/>
        <scheme val="minor"/>
      </rPr>
      <t>28/11 usuaria fallecida. Se gresa.</t>
    </r>
  </si>
  <si>
    <t>EDUVINA OLIVARES CODOCEO</t>
  </si>
  <si>
    <t>28/11 biopsias listas.,  usuaria fallecida, se egresa.</t>
  </si>
  <si>
    <t>FIDEL DEL ROSARIO CASTILLO ASTUDILLO</t>
  </si>
  <si>
    <t>doctora hurtado llena cierre de caso, se entrega a ges. Se egresa.</t>
  </si>
  <si>
    <r>
      <rPr>
        <sz val="12"/>
        <color theme="1"/>
        <rFont val="Calibri"/>
        <family val="2"/>
        <scheme val="minor"/>
      </rPr>
      <t xml:space="preserve">CITADO 02/12 13:50hrs, </t>
    </r>
    <r>
      <rPr>
        <b/>
        <sz val="12"/>
        <color theme="1"/>
        <rFont val="Calibri"/>
        <family val="2"/>
        <scheme val="minor"/>
      </rPr>
      <t>05/12 doctora hurtado llena cierre de caso, se entrega a ges. Se egresa.</t>
    </r>
  </si>
  <si>
    <t>REV (DICIEMBRE)</t>
  </si>
  <si>
    <t>CAMILO PÉREZ VEAS</t>
  </si>
  <si>
    <t xml:space="preserve"> doctora hace IPD descarte y lo entrego en GES, se egresa.</t>
  </si>
  <si>
    <t>DRA. Hurtado</t>
  </si>
  <si>
    <r>
      <rPr>
        <sz val="12"/>
        <color theme="1"/>
        <rFont val="Calibri"/>
        <family val="2"/>
        <scheme val="minor"/>
      </rPr>
      <t xml:space="preserve">CITADA 25/11 13:30hrs (bp lista) pero NSP. </t>
    </r>
    <r>
      <rPr>
        <b/>
        <sz val="12"/>
        <color theme="1"/>
        <rFont val="Calibri"/>
        <family val="2"/>
        <scheme val="minor"/>
      </rPr>
      <t>05/12 doctora hace IPD descarte y lo entrego en GES, se egresa.</t>
    </r>
  </si>
  <si>
    <t xml:space="preserve">RAÚL DEL CARMEN ORTIZ TAPIA </t>
  </si>
  <si>
    <t xml:space="preserve">EVA CON IMÁGENES </t>
  </si>
  <si>
    <t>se descarta mtt pulmonar, se egresa continuará por urología (CA renal op).</t>
  </si>
  <si>
    <r>
      <rPr>
        <b/>
        <sz val="12"/>
        <color theme="1"/>
        <rFont val="Calibri"/>
        <family val="2"/>
        <scheme val="minor"/>
      </rPr>
      <t>06/12 11:40hrs , evaluado se descarta mtt pulmonar, se egresa continuará por urología (CA renal op)</t>
    </r>
    <r>
      <rPr>
        <sz val="12"/>
        <color theme="1"/>
        <rFont val="Calibri"/>
        <family val="2"/>
        <scheme val="minor"/>
      </rPr>
      <t>.</t>
    </r>
  </si>
  <si>
    <t>MANUEL ANTONIO CHAVARRIA IRARRAZABAL</t>
  </si>
  <si>
    <t>se descarta nodulo pulmonar. SE EGRESA:</t>
  </si>
  <si>
    <r>
      <rPr>
        <sz val="12"/>
        <color theme="1"/>
        <rFont val="Calibri"/>
        <family val="2"/>
        <scheme val="minor"/>
      </rPr>
      <t>CITADO 11/12 13:20hrs,</t>
    </r>
    <r>
      <rPr>
        <b/>
        <sz val="12"/>
        <color theme="1"/>
        <rFont val="Calibri"/>
        <family val="2"/>
        <scheme val="minor"/>
      </rPr>
      <t xml:space="preserve"> se descarta nodulo pulmonar SE EGRESA.</t>
    </r>
  </si>
  <si>
    <t>ALBERTO FLORES GARCÍA</t>
  </si>
  <si>
    <t>CANCER DE PULMÓN metastásico etapa IV</t>
  </si>
  <si>
    <t>(CITADO 2/10)</t>
  </si>
  <si>
    <t>SEGUIMIENTO (CPE)</t>
  </si>
  <si>
    <t>2 meses</t>
  </si>
  <si>
    <t>CPYAD (en CPE)</t>
  </si>
  <si>
    <r>
      <rPr>
        <sz val="12"/>
        <color theme="1"/>
        <rFont val="Calibri"/>
        <family val="2"/>
        <scheme val="minor"/>
      </rPr>
      <t xml:space="preserve">CITADO 2/10 en CPYAD. P) SEGUIMIENTO CONTROLES CPYAD diciembre. </t>
    </r>
    <r>
      <rPr>
        <b/>
        <sz val="12"/>
        <color theme="1"/>
        <rFont val="Calibri"/>
        <family val="2"/>
        <scheme val="minor"/>
      </rPr>
      <t>12/12 pcte fallecido, se egresa.</t>
    </r>
  </si>
  <si>
    <t>ROSA DIAZ GALLARDO</t>
  </si>
  <si>
    <r>
      <t>IPD DE DESCARTE.</t>
    </r>
    <r>
      <rPr>
        <b/>
        <sz val="12"/>
        <color theme="1"/>
        <rFont val="Calibri"/>
        <family val="2"/>
        <scheme val="minor"/>
      </rPr>
      <t xml:space="preserve"> LISTO, se egresa.</t>
    </r>
  </si>
  <si>
    <r>
      <rPr>
        <sz val="12"/>
        <color theme="1"/>
        <rFont val="Calibri"/>
        <family val="2"/>
        <scheme val="minor"/>
      </rPr>
      <t xml:space="preserve">CITADA 22/11 11:40hrs (TAC listo), se descarta TU pulmon. </t>
    </r>
    <r>
      <rPr>
        <b/>
        <sz val="12"/>
        <color theme="1"/>
        <rFont val="Calibri"/>
        <family val="2"/>
        <scheme val="minor"/>
      </rPr>
      <t>P) IPD DE DESCARTE listo.</t>
    </r>
  </si>
  <si>
    <t>ROSA CARVAJAL CARVAJAL</t>
  </si>
  <si>
    <t>No</t>
  </si>
  <si>
    <t xml:space="preserve"> evaluada se descarta TU pulmon, se entrega IPD en GES, se egresa.</t>
  </si>
  <si>
    <r>
      <rPr>
        <sz val="12"/>
        <color theme="1"/>
        <rFont val="Calibri"/>
        <family val="2"/>
        <scheme val="minor"/>
      </rPr>
      <t xml:space="preserve">CITADO 13/12 11:20hrs (tac torax listo). </t>
    </r>
    <r>
      <rPr>
        <b/>
        <sz val="12"/>
        <color theme="1"/>
        <rFont val="Calibri"/>
        <family val="2"/>
        <scheme val="minor"/>
      </rPr>
      <t>13/12 se entrega IPD descarte tu pulmon</t>
    </r>
  </si>
  <si>
    <t>CILENE MARÍA DE LIMA MONTE</t>
  </si>
  <si>
    <r>
      <rPr>
        <sz val="11"/>
        <color theme="1"/>
        <rFont val="Calibri"/>
        <family val="2"/>
        <scheme val="minor"/>
      </rPr>
      <t xml:space="preserve"> e</t>
    </r>
    <r>
      <rPr>
        <b/>
        <sz val="11"/>
        <color theme="1"/>
        <rFont val="Calibri"/>
        <family val="2"/>
        <scheme val="minor"/>
      </rPr>
      <t xml:space="preserve">valuada se identifica pet sin evidencia de tumor, se egresa (sin garantia ges) </t>
    </r>
  </si>
  <si>
    <t xml:space="preserve">CITADA 16/12 14:10hrs </t>
  </si>
  <si>
    <t>CARMEN GLORIA RIVERA JOFRÉ</t>
  </si>
  <si>
    <t>OBS: NODULO PULMONAR</t>
  </si>
  <si>
    <t>descarta patología tumoral (sin garantía ges), seguirá por admisión con controles con RX tórax. Se egresa.</t>
  </si>
  <si>
    <r>
      <rPr>
        <sz val="12"/>
        <color theme="1"/>
        <rFont val="Calibri"/>
        <family val="2"/>
        <scheme val="minor"/>
      </rPr>
      <t xml:space="preserve"> CITADA 20/12 11:40hrs, </t>
    </r>
    <r>
      <rPr>
        <b/>
        <sz val="12"/>
        <color theme="1"/>
        <rFont val="Calibri"/>
        <family val="2"/>
        <scheme val="minor"/>
      </rPr>
      <t>evaluada se descarta patología tumoral maligna, se egresa.</t>
    </r>
  </si>
  <si>
    <t>JULIO REIMUNDO CALDERON ARAYA</t>
  </si>
  <si>
    <t>OBS: CÁNCER DE PULMON</t>
  </si>
  <si>
    <t>evaluado se descarta TU pulmon. se egresa.</t>
  </si>
  <si>
    <t>CITADO 27/12 12:00hrs (tac torax listo)</t>
  </si>
  <si>
    <t>MARIA RODRIGUEZ CARVAJAL</t>
  </si>
  <si>
    <t>CA DE PULMON</t>
  </si>
  <si>
    <t>cuidados paliativos exclusivos</t>
  </si>
  <si>
    <r>
      <rPr>
        <sz val="12"/>
        <color theme="1"/>
        <rFont val="Calibri"/>
        <family val="2"/>
        <scheme val="minor"/>
      </rPr>
      <t xml:space="preserve">10/10 se cierra caso GES. 16/10 se presenta COR TORAX y queda en CPE. P) seguimiento diciembre por CPYAD/ </t>
    </r>
    <r>
      <rPr>
        <b/>
        <sz val="12"/>
        <color theme="1"/>
        <rFont val="Calibri"/>
        <family val="2"/>
        <scheme val="minor"/>
      </rPr>
      <t>02/01 usuaria fallecio el 11/11/24.</t>
    </r>
  </si>
  <si>
    <t>LUCY ELENA LÓPEZ SANTIAGO</t>
  </si>
  <si>
    <t>obs: NODULO PULMONAR</t>
  </si>
  <si>
    <t xml:space="preserve"> se realiza agendamiento para el 06/01 09:00hrs c/dra Hurtado, evaluada x Dra hurtada solo con EPOC, se descarta TU de pulmon (s/garantia asociada), se egresa.</t>
  </si>
  <si>
    <t>CITADA 06/01 09:00hrs c/dra Hurtado. --&gt; se descarta TU de pulmon, se egresa.</t>
  </si>
  <si>
    <t>REV (ENERO)</t>
  </si>
  <si>
    <t>ENRIQUE ORELLANA VAQUEROS</t>
  </si>
  <si>
    <t>DRA HURTADO // CPE</t>
  </si>
  <si>
    <r>
      <rPr>
        <sz val="12"/>
        <color theme="1"/>
        <rFont val="Calibri"/>
        <family val="2"/>
        <scheme val="minor"/>
      </rPr>
      <t xml:space="preserve">P) Consultar x control CPYAD en diciembre/2024. </t>
    </r>
    <r>
      <rPr>
        <b/>
        <sz val="12"/>
        <color theme="1"/>
        <rFont val="Calibri"/>
        <family val="2"/>
        <scheme val="minor"/>
      </rPr>
      <t>03/12 usuario fallecido.</t>
    </r>
  </si>
  <si>
    <t>JOSÉ DE LA CRUZ VARGAS GONZÁLEZ</t>
  </si>
  <si>
    <r>
      <rPr>
        <sz val="12"/>
        <color theme="1"/>
        <rFont val="Calibri"/>
        <family val="2"/>
        <scheme val="minor"/>
      </rPr>
      <t>12/12 mantener en CPE. P) Seguimiento Enero/2025</t>
    </r>
    <r>
      <rPr>
        <sz val="12"/>
        <color rgb="FF00B0F0"/>
        <rFont val="Calibri"/>
        <family val="2"/>
        <scheme val="minor"/>
      </rPr>
      <t xml:space="preserve"> </t>
    </r>
    <r>
      <rPr>
        <b/>
        <sz val="12"/>
        <color rgb="FF00B0F0"/>
        <rFont val="Calibri"/>
        <family val="2"/>
        <scheme val="minor"/>
      </rPr>
      <t>29/12 usuario fallecido.</t>
    </r>
  </si>
  <si>
    <t>GIGLIA VALERIA ROJO BOLADOS</t>
  </si>
  <si>
    <t>MT CÁNCER DE PULMON</t>
  </si>
  <si>
    <t>se egresa x 3ra inasistencia.</t>
  </si>
  <si>
    <t xml:space="preserve"> 3 MESES</t>
  </si>
  <si>
    <r>
      <rPr>
        <sz val="12"/>
        <color theme="1"/>
        <rFont val="Calibri"/>
        <family val="2"/>
        <scheme val="minor"/>
      </rPr>
      <t xml:space="preserve">REAGENDADA 13/01 09:20hrs c/Dra Hurtado.. El 09/01 tiene sesión QMT en HLS. </t>
    </r>
    <r>
      <rPr>
        <b/>
        <sz val="12"/>
        <color theme="1"/>
        <rFont val="Calibri"/>
        <family val="2"/>
        <scheme val="minor"/>
      </rPr>
      <t>13/01 nSP, se egresa x 3ra inasistencia</t>
    </r>
  </si>
  <si>
    <t>BELFOR CAMPOS</t>
  </si>
  <si>
    <t>OBS: CA de pulmón</t>
  </si>
  <si>
    <t>recepciono IPD descarte y lo entrego en GES. Se egresa.</t>
  </si>
  <si>
    <t>CITADO 10/01 11:40hrs c/Dra hurtado,s e descarta Tude pulmon. 14/01 se entrega IPD descarte.</t>
  </si>
  <si>
    <t>LUCIA ROJAS CASTILLO</t>
  </si>
  <si>
    <r>
      <rPr>
        <sz val="12"/>
        <color rgb="FF00B0F0"/>
        <rFont val="Calibri"/>
        <family val="2"/>
        <scheme val="minor"/>
      </rPr>
      <t xml:space="preserve"> se llena </t>
    </r>
    <r>
      <rPr>
        <b/>
        <sz val="12"/>
        <color rgb="FF00B0F0"/>
        <rFont val="Calibri"/>
        <family val="2"/>
        <scheme val="minor"/>
      </rPr>
      <t>cierre de caso ges y se entrega a GES. se egresa.</t>
    </r>
  </si>
  <si>
    <r>
      <rPr>
        <sz val="12"/>
        <color theme="1"/>
        <rFont val="Calibri"/>
        <family val="2"/>
        <scheme val="minor"/>
      </rPr>
      <t xml:space="preserve">P) presentar a COR tórax para CPE. // </t>
    </r>
    <r>
      <rPr>
        <b/>
        <sz val="12"/>
        <color theme="1"/>
        <rFont val="Calibri"/>
        <family val="2"/>
        <scheme val="minor"/>
      </rPr>
      <t>16/01 se entrega cierre caso ges</t>
    </r>
  </si>
  <si>
    <t>PEDRO AYALA LLANTÉN</t>
  </si>
  <si>
    <t>Paciente con ECOG 3 observación de cáncer pulmonar sin acceso a biopsia, cuidados paliativos exclusivos.</t>
  </si>
  <si>
    <t xml:space="preserve"> se entrega cierre de caso. Se egresa.</t>
  </si>
  <si>
    <r>
      <rPr>
        <sz val="12"/>
        <color theme="1"/>
        <rFont val="Calibri"/>
        <family val="2"/>
        <scheme val="minor"/>
      </rPr>
      <t xml:space="preserve">15/01 presentado cor torax. CITADO 20/01 09:20hrs para entrega resolución // </t>
    </r>
    <r>
      <rPr>
        <b/>
        <sz val="12"/>
        <color theme="1"/>
        <rFont val="Calibri"/>
        <family val="2"/>
        <scheme val="minor"/>
      </rPr>
      <t>Cierre caso entregado 16/01.</t>
    </r>
  </si>
  <si>
    <t>OSCAR GODOY MOROSO</t>
  </si>
  <si>
    <t>CAUSAL MEDICA</t>
  </si>
  <si>
    <t>se consulta, usuario efectivamente no quiere asistir a más atenciones x por el hospital. Se difiere agendamientos egun requerimiento y se egresa de bajo control (primario laringe, con mtt pulmonar que no culminará tto con QMT) ya ingresado en CPYAD.</t>
  </si>
  <si>
    <r>
      <rPr>
        <sz val="12"/>
        <color theme="1"/>
        <rFont val="Calibri"/>
        <family val="2"/>
        <scheme val="minor"/>
      </rPr>
      <t xml:space="preserve">P) CITAR EN ENERO/2025 (fines de mes). 21/01 seguimiento, no asistirá a más atenciones x hospital. </t>
    </r>
    <r>
      <rPr>
        <b/>
        <sz val="12"/>
        <color theme="1"/>
        <rFont val="Calibri"/>
        <family val="2"/>
        <scheme val="minor"/>
      </rPr>
      <t>Se egresa.</t>
    </r>
  </si>
  <si>
    <t>MÓNICA ESTER ROMERO CAMPUSANO</t>
  </si>
  <si>
    <t>CÁNCER DE PULMON (METASTASIS DE CA COLON).</t>
  </si>
  <si>
    <t>Desde el punto de vista pulmonar. Seguimiento de los micronodulos con escaner cada 3 meses. Evaluación en comité de digestivo bajo para conducta de Ca. De colon</t>
  </si>
  <si>
    <t xml:space="preserve"> se presenta a COR torax x HLS, se define seguimiento en nuestro centro c/3 meses por metastasis. Se egresa, se comunica a familiar, no se hace IPD porque garantía es de HLS, se informa a gestora HLS.</t>
  </si>
  <si>
    <t>22/01 presentada cor torax, se define seguimiento c/3 meses (x admision). Se egresa.</t>
  </si>
  <si>
    <t>PAULINA CORVETTO PIZARRO</t>
  </si>
  <si>
    <t>SIN BP (confirmado x imágenes)</t>
  </si>
  <si>
    <t>Paciente sin biopsia con caracteristicas de NEO st IV ECOG 3, sin deseos de estudios, Corresponde cuidados plaiativos exclusivos</t>
  </si>
  <si>
    <t>se define cuidados paliativos exclusivos por TU pulmón avanzado, se entrega IPD confirmación a GEs y se entrega cierre de caso GES. Se egresa. 31/01 LLEGA BP POSITIVA PARA CARCINOMA PULMON.</t>
  </si>
  <si>
    <t>22-01 presentado cor torax, se define cuidados paliativos exclusivos x tu pulmon avanzado. Se egresa, usuaria se trasladará a coquimbo co nsu familia.</t>
  </si>
  <si>
    <t>JUAN SEVERINO COFRÉ</t>
  </si>
  <si>
    <t>Corresponde tratamiento de quimioterapia paliativa. Cuidados paliativos.</t>
  </si>
  <si>
    <t>FALLECE</t>
  </si>
  <si>
    <r>
      <rPr>
        <sz val="12"/>
        <color theme="1"/>
        <rFont val="Calibri"/>
        <family val="2"/>
        <scheme val="minor"/>
      </rPr>
      <t xml:space="preserve">P) CITAR EN FEBRERO/2025 // en 3er ciclo QMT // 06/01 se solicita reagendar QMT porque esta hosp en MQ3. </t>
    </r>
    <r>
      <rPr>
        <b/>
        <sz val="12"/>
        <color theme="1"/>
        <rFont val="Calibri"/>
        <family val="2"/>
        <scheme val="minor"/>
      </rPr>
      <t>06/01 usuario fallece.</t>
    </r>
  </si>
  <si>
    <t>JUDITH JULIO GALLARDO</t>
  </si>
  <si>
    <t>OBS: TU DE PULMON</t>
  </si>
  <si>
    <t>pendiente</t>
  </si>
  <si>
    <t>n/a</t>
  </si>
  <si>
    <r>
      <rPr>
        <sz val="12"/>
        <color theme="1"/>
        <rFont val="Calibri"/>
        <family val="2"/>
        <scheme val="minor"/>
      </rPr>
      <t>Seguimiento Enf: 23/12 tomo conocimiento de caso, usuaria recientemente evaluada en consulta broncopulmonar por sospecha de TU de pulmón, es evaluada y se solicita TAC tórax c/c para control (orden la tiene pcte, la llamo y traerá orden a modulo), se agendará con resultados.</t>
    </r>
    <r>
      <rPr>
        <sz val="12"/>
        <color rgb="FF00B0F0"/>
        <rFont val="Calibri"/>
        <family val="2"/>
        <scheme val="minor"/>
      </rPr>
      <t xml:space="preserve"> 02/01 orden entregada, exs sangre listo, pend. toma Tac.</t>
    </r>
    <r>
      <rPr>
        <sz val="12"/>
        <color theme="1"/>
        <rFont val="Calibri"/>
        <family val="2"/>
        <scheme val="minor"/>
      </rPr>
      <t xml:space="preserve"> P) CITAR C/RESULTADOS (TAC TORAX)</t>
    </r>
    <r>
      <rPr>
        <sz val="12"/>
        <color rgb="FF00B0F0"/>
        <rFont val="Calibri"/>
        <family val="2"/>
        <scheme val="minor"/>
      </rPr>
      <t xml:space="preserve"> 13/01 se toma TAC, pend informe (20/01 aund pend) y citar a poli. 21/01 se prioriza informe TAC tórax. 22/01 se recibe resultado de TAC, se realiza agendamiento para el 27/01 09:00hrs, fue evaluada y se descartó TU de pulmón, ya se entregó IPD descarte. Se egresa.</t>
    </r>
  </si>
  <si>
    <t>HOV (DRA HURTADO)</t>
  </si>
  <si>
    <t>CITADA 27/01 09:00hrs c/Dra Hurtado (TAC listo), se descarta TU pulmon y se entrega IPD de descarte.</t>
  </si>
  <si>
    <t>WILSON OCHOA GÓMEZ</t>
  </si>
  <si>
    <r>
      <rPr>
        <sz val="12"/>
        <color rgb="FF00B0F0"/>
        <rFont val="Calibri"/>
        <family val="2"/>
        <scheme val="minor"/>
      </rPr>
      <t xml:space="preserve">Seguimiento Enf: 16/01/25 tomo conocimiento de caso, usuario previamente fue evaluado por broncopulmonar (2024)  y se descartó una sospecha de TU de pulmón. Se revisa caso con nueva sospecha por TU de pulmón, se revisa caso con broncopulmonar quién solicita informar estudio TAC tomado en noviembre/2024 y esperar a agendamiento por GES. Se prioriza tac torax. P) agendamiento GES --&gt; citado el 22/01, evaluado con tac y rx torax, se mantiene dg de silicosis. </t>
    </r>
    <r>
      <rPr>
        <b/>
        <u/>
        <sz val="12"/>
        <color rgb="FF00B0F0"/>
        <rFont val="Calibri"/>
        <family val="2"/>
        <scheme val="minor"/>
      </rPr>
      <t>P) IPD DE DESCARTE. --&gt; 30/01 se entrega ipd a ges, se egresa.</t>
    </r>
  </si>
  <si>
    <r>
      <rPr>
        <sz val="12"/>
        <color theme="1"/>
        <rFont val="Calibri"/>
        <family val="2"/>
        <scheme val="minor"/>
      </rPr>
      <t xml:space="preserve">P) agendamiento GES. --&gt; citado 22/01 / 16/01 se prioriza TAC tórax.. 23/01 se mantiene silicosis. P) </t>
    </r>
    <r>
      <rPr>
        <b/>
        <sz val="12"/>
        <color theme="1"/>
        <rFont val="Calibri"/>
        <family val="2"/>
        <scheme val="minor"/>
      </rPr>
      <t>IPD DESCARTE TU PULMON</t>
    </r>
    <r>
      <rPr>
        <sz val="12"/>
        <color theme="1"/>
        <rFont val="Calibri"/>
        <family val="2"/>
        <scheme val="minor"/>
      </rPr>
      <t xml:space="preserve"> --&gt; 30/01 se entrega ipd descarte</t>
    </r>
  </si>
  <si>
    <t>LUISA FARIAS ARAYA</t>
  </si>
  <si>
    <t>ETAPIFICACIÓN</t>
  </si>
  <si>
    <t>PET + RM y representar.</t>
  </si>
  <si>
    <r>
      <rPr>
        <sz val="11"/>
        <rFont val="Calibri"/>
        <family val="2"/>
        <scheme val="minor"/>
      </rPr>
      <t>Seguimiento Enf:SE RECIBE RESULTADOS DE BP DESDE HSP EL 27-6-24:  -  --&gt; Usuario en espera evaluacion/presentar a COR por HLS. 2/8 se cita para el 3/8 09:00hrs para cupo comité onco por Dra. hurtado. P) PRESENTAR A COR TORAX. 7/8 es presentada a comité por Dra. Urbina, se indica PET-CT OCTREOTIDE. RM CEREBRAL. REPRESENTAR.  P) CITAR c/DRA. HURTADO y/o consultar por estudios 8/10 se consulta a usuaria, todavia no se tomó estudios por dificultades para tomar creatinina, se realiza agendamiento para el día 18/10 11:40hrs para evaluar/solicitar pertinencia de estudios, sin embargo NSP. P) REAGENDAR. 28/10 usuaria se tomo el 18/10 TACTAP+cerebro, se agenda para el día 4/11 09:00hrs para definir conducta onco, evaluada usuaria quiere operarse y tomarse estudios, se solicitará PET o pet + rmcerebro? P) Consultar Dra Hurtado / P) citar c/resultados. 14/11 se gestiona PET-CT , pendiente RMcerebro. 20/11 seguimiento, hija de usuaria acudira el 27/11 a firmar orden RM cerebro, acude y se gestiona Rm cerebro. 23/12 se recibe RM cerebro lista, pend PET (PRIORIZAR),</t>
    </r>
    <r>
      <rPr>
        <sz val="11"/>
        <color rgb="FF00B0F0"/>
        <rFont val="Calibri"/>
        <family val="2"/>
        <scheme val="minor"/>
      </rPr>
      <t xml:space="preserve"> 02/01 se prioriza PEt-CT y se envía correo. P) toma y resultado, luego citar c/Dra Hurtado. 07/01 se entrega IPD de confirmación. 14/01 se informa familiar que usuaria esta citada 16/01 08:00hrs para pet-ct, pero usuaria no quiere más atenciones, no acudirá --&gt; no se operara, se realiza agendamiento para el día 22/01 13:00hrs para entregar decisión a Dra. hurtado, evaluada se mantiene decisión de no acudir a estudios y control en 2 semanas. P) CIERRE DE CASO GES?  --&gt; 30/01 dra realiza cierre caso ges, se entrega a unidad ges. Se egresa.</t>
    </r>
  </si>
  <si>
    <r>
      <rPr>
        <sz val="12"/>
        <color theme="1"/>
        <rFont val="Calibri"/>
        <family val="2"/>
        <scheme val="minor"/>
      </rPr>
      <t xml:space="preserve">CITADA 22/01 13:00hrs (entrega decisión no operarse), control en 2 semanas?. </t>
    </r>
    <r>
      <rPr>
        <b/>
        <sz val="12"/>
        <color theme="1"/>
        <rFont val="Calibri"/>
        <family val="2"/>
        <scheme val="minor"/>
      </rPr>
      <t>P) CIERRE CASO GES. --&gt; 30/01 se entrega cierre caso ges</t>
    </r>
  </si>
  <si>
    <t>LUIS VEGA PÉREZ</t>
  </si>
  <si>
    <t>ANTOFAGASTA??</t>
  </si>
  <si>
    <t>CARCINOMA DE PULMON</t>
  </si>
  <si>
    <t>Corresponde biopsia por toracoscopia HLS. Actualizar estudios de diseminación. PET-CT y RM Cerebro</t>
  </si>
  <si>
    <r>
      <rPr>
        <sz val="12"/>
        <color theme="1"/>
        <rFont val="Calibri"/>
        <family val="2"/>
        <scheme val="minor"/>
      </rPr>
      <t>Seguimiento Enf: 15/10 tomo conocimiento de caso, usuario evaluado en octubre/2024 por broncopulmonar, derivado desde GES con sospecha de TU de pulmón, usuario fue evaluado y se le realizó fibrobroncoscopia y toma de biopsia. P) CITAR c/resultado biopsia, fue evaluado 16/10 se hizo IPD ingreso CPYAD y en espera de biopsia para citar. (17/10 se entrega IPD a CPYAD). 13/11 se recibe resultado de biopsia, se agenda a control el 22/11 11:20hrs, evaluado s/evolución.27/11 es presentado a comité tórax, se define derivación a HLS para toracoscopia (con resultados listos), toma de pet-ct (entregada en modulo) y Rm cerebro (pendiente firma encuesta) + ecocardiograma.  Se cita para el 02/12 13:30hrs entrega dresolucion y Rm cerebro. 02/12 se entrega RM cerebro a modulo onco. 04/12 fue evaluado por Dra Hurtado y tomó nueva biopsia pulmonar. (pend) P) representar a COR tórax con resultado RM cerebro (lista del 13/12) y pet-ct (pend priorizar, 23/12 se prioriza PET, 13/01 se reconsulta).</t>
    </r>
    <r>
      <rPr>
        <sz val="12"/>
        <color rgb="FF00B0F0"/>
        <rFont val="Calibri"/>
        <family val="2"/>
        <scheme val="minor"/>
      </rPr>
      <t xml:space="preserve"> --&gt; 16/01 seguimiento, usuario no acudio a tomarse PET por mal estado salud, ecog 4, o2 domiciliario y postrado con caquexia refractaria. Se solicita bp para confirmar/descartar y/o cierre de caso. Se revisa caso con Dra. hurtado, indica esperar resultado y citar a poli. 17/01 se recibe bp positiva para carcinoma. 20/01 se realiza agendamiento para el 27/01 09:20hrs, evaluado se confirma TU de pulmon (pendiente IPD, se solicita a dra hurtado) y cierre de caso por condiciones de usuario (pendiente, se solicita a dra hurtado). --&gt; 30/01 se entrega ipd confirmación y cierre caso ges. se egresa.</t>
    </r>
  </si>
  <si>
    <r>
      <rPr>
        <sz val="12"/>
        <color theme="1"/>
        <rFont val="Calibri"/>
        <family val="2"/>
        <scheme val="minor"/>
      </rPr>
      <t>CITADO 27/01 09:20hrs /</t>
    </r>
    <r>
      <rPr>
        <b/>
        <sz val="12"/>
        <color theme="1"/>
        <rFont val="Calibri"/>
        <family val="2"/>
        <scheme val="minor"/>
      </rPr>
      <t xml:space="preserve"> P) IPD confirmación y luego cierre caso ges (pcte ecog 4) --&gt; 30/01 se entrega ipd confirmacion y cierre caso ges.</t>
    </r>
  </si>
  <si>
    <t>OMAR ORTIZ ORTIZ</t>
  </si>
  <si>
    <t>CARCINOMA DE NO CELULAS PEQUEÑAS ADENOCARCINOMA PULMON</t>
  </si>
  <si>
    <t xml:space="preserve"> CANCER PULMONAR NO CELULAS PEQUEÑAS: ADC. CORRESPONDE REALIZAR MUTACIONES EN BIOPSIA. EVALUACION CON
ESCALAS ONCOGERIATRICAS.
PARA TRATAMIENTO SISTEMICO (EVALUACION EN ONCOLOGIA MEDICA) CUIDADOS PALIATIVOS</t>
  </si>
  <si>
    <r>
      <rPr>
        <sz val="12"/>
        <color theme="1"/>
        <rFont val="Calibri"/>
        <family val="2"/>
        <scheme val="minor"/>
      </rPr>
      <t xml:space="preserve">Seguimiento Enf: 16/9 tomo conocimiento de caso, usuario con </t>
    </r>
    <r>
      <rPr>
        <b/>
        <sz val="12"/>
        <color theme="1"/>
        <rFont val="Calibri"/>
        <family val="2"/>
        <scheme val="minor"/>
      </rPr>
      <t>garantía GES vigente hasta el 07-11-2024</t>
    </r>
    <r>
      <rPr>
        <sz val="12"/>
        <color theme="1"/>
        <rFont val="Calibri"/>
        <family val="2"/>
        <scheme val="minor"/>
      </rPr>
      <t>, con TAC tórax del 1/8 que evidencia masa solida, luego evaluado en extrasistema por broncopullmonar, se tomo Rx que indica masa solida de característica broncogenica primario de TU pulmón. está citado el 16/9 c/dra Hurtado., evaluado con PET-ct que indica masa, se solicita fibrobronco y examenes sangre (se ingresa a CPYAD x IPD)  P) CITAR c/RESULTADOS (28/10 aun pend. se consulta deberia estar principios noviembre). 11/11 se recibe resultado de biopsia positiva para Carcinoma no celulas pequeñas probable adenocarcinoma de origen pulmonar, se cita para el 15/11 12:00hrs c/dra hurtado definir conducta, evaluado se confirma TU de pulmon y se entrega IPD a GES. 20/11 presentado a comité torax, se decide derivar a onco HLS para tto sistemico, se solicita evaluacion oncogeriatra x HLS, se envia solicitud para mutaciones biopsia pulmonar a anatopato HOV y ya ingresado CPYAD. Se entrega resolucio nvia telefonica. P) evaluación onco HLS. 27/11 se reciben mutaciones moleculares y se envían a HLS. 05/12 acude hija con orden de Dra Ojeda para evaluar x dra Hurtado e IC a kine. Se cita para el día 11/12 13:00hrs, evaluado se indica atención en u.procedimiento 12/12 10:00hrs y se prioriza IC a box kinesiología. P)hora. 27/12 evaluado x Dra hurtado se da pase de pcte postrado y mantener controles en CPYAD, usuario requiriente O2.</t>
    </r>
    <r>
      <rPr>
        <sz val="12"/>
        <color rgb="FF00B0F0"/>
        <rFont val="Calibri"/>
        <family val="2"/>
        <scheme val="minor"/>
      </rPr>
      <t xml:space="preserve"> 08/01 se entrega IPD de ayudas tecnicas (silla de ruedas) a GES. P) seguimiento.</t>
    </r>
  </si>
  <si>
    <t>P) mantener en CPYAD. P) Seguimiento mensual.</t>
  </si>
  <si>
    <t>FALLECIDO</t>
  </si>
  <si>
    <t>ALBERTINA RAMOS VEGA</t>
  </si>
  <si>
    <t>confirmacion: descarte de Ca</t>
  </si>
  <si>
    <t>na</t>
  </si>
  <si>
    <r>
      <rPr>
        <sz val="12"/>
        <color rgb="FF00B0F0"/>
        <rFont val="Calibri"/>
        <family val="2"/>
        <scheme val="minor"/>
      </rPr>
      <t xml:space="preserve">Seguimiento Enf: 21/01/25 tomo conocimiento de caso,  ingreso reciente a servicio urgencias de nuestro centro con hipotesis diagnóstica sospecha de TU de pulmón. Usuaria se encuentra agendada para procedimiento pulmonar (fibrobronco el 21/01) se realiza procedimiento. P) citar c/resultados (bp). </t>
    </r>
    <r>
      <rPr>
        <b/>
        <sz val="12"/>
        <color theme="3"/>
        <rFont val="Calibri"/>
        <family val="2"/>
        <scheme val="minor"/>
      </rPr>
      <t>04/02 biopsia pendiente. se revisa bp, con resultado negativo, se cita para descarte de ca de pulmonn . se entrega ipd de descarte 13-03-2025</t>
    </r>
  </si>
  <si>
    <t xml:space="preserve">bp negativa P) IPD descarte </t>
  </si>
  <si>
    <t>REV (MARZO)</t>
  </si>
  <si>
    <t>ALIRO CAUPOLICAN FLORES FLORES</t>
  </si>
  <si>
    <t>Seguimiento Enf: CONTROL REALIZADO, AGENDAMIENTO 12-6-24 CANCELADO, PENDIENTE REAGENDAR --&gt; 10/7 Tomo conocimiento de caso, usuaria evaluada en Marzo/2024, se cito a control sin embargo NSP. Corresponde reagendar c/Dra. Hurtado. 12/8 se realiza seguimiento, por condición de usuario no desean citaciones en Hospital de Ovalle. P) Seguimiento 3 meses (noviembre) 12/12 se intenta comunicar pero no responde. 19/02 se intenta llamar no contesta, no registra certificado de defuncion</t>
  </si>
  <si>
    <t>21-03-2025 se revisa monito web paciente con registro de fallecimiento el 04-03-2025</t>
  </si>
  <si>
    <t>LAUREANO CASTILLO ARANCIBIA</t>
  </si>
  <si>
    <t>MASAS PULMONARES BILATERALES SOSPECHOSAS</t>
  </si>
  <si>
    <t>NO PRESENTADO</t>
  </si>
  <si>
    <t>NA</t>
  </si>
  <si>
    <t>13/02 SE TOMA CONOCIMIENTO DE CASO, PCTE EVALUADO POR BRONCOPULMONAR CON MULTIPLES NODULOS PULMONARES BILATERALES DE ASPECTO NEOPLASICOS, SE SOLICITAN EXAMENES. Pcte con eva 10/10 se solicita ipd y se ingresa a poli ADYCP para tto y toma de examenes. 21/02 pcte es llevado a la catolica para tto del dolor y toma de examenes. P) APERTURAR GARANTIA??. TAC tomado 12/03/2025. se apertura y se cierra garantia por MTT, ca de origen renal, se netrega IPD</t>
  </si>
  <si>
    <t>control</t>
  </si>
  <si>
    <t>DRA.Hurtado</t>
  </si>
  <si>
    <t>LUIS CORTES VALENZUELA</t>
  </si>
  <si>
    <t>Se toma conocimiento de paciente el dia de hoy, con reciente hospitalizacion en marzo en servicio de mq en HOV. Paciente asiste a modulo de oncologia en espera de hora de poli ADyCP. Se ingresa a bajo control en espera de resultado de biopsia tomada durante hospitalizacion (fibrobroncoscopia) y administrativa orienta a paciente para dejar documentos de IPD y constancia GES entregados al alta en modulo. Epicrisis en AlMA</t>
  </si>
  <si>
    <t>p) DESCARTAR CON IPD X MTT</t>
  </si>
  <si>
    <t>LUCIA CASTILLO RIVERA</t>
  </si>
  <si>
    <r>
      <t xml:space="preserve">14-3-25 SE INFORMA A LA PACIENTE SOBRE DECISION DEL COMITE RESPIRATORIO CON EL HOSPITAL DE COQUIMBO, SE SOLICITO PET CT FDG, REALI9ZAR NUEVA BRONCOSCOPIA PARA CULTIVOS DE ASPERGILLUS, NOCARDIA, KIYOUN (OCR).
SE ENTREGA ORDEN DE PET A LA PACIENTE.//26-3-25 CONTROL POR NEUMONIA CRONICA Vs TUMOR DE PULMON, CITAR A CONTROL EN 1 SEMANA. </t>
    </r>
    <r>
      <rPr>
        <sz val="12"/>
        <color theme="4"/>
        <rFont val="Calibri"/>
        <family val="2"/>
        <scheme val="minor"/>
      </rPr>
      <t>HOSPITALIZADA EN VALPARAISO</t>
    </r>
  </si>
  <si>
    <t>con resultado</t>
  </si>
  <si>
    <t>P) ver resultados de PET-CT</t>
  </si>
  <si>
    <t>LUIS LOBOS PONCE</t>
  </si>
  <si>
    <r>
      <t>Seguimiento Enf: 15/01/25 tomo conocimiento (fue citado x mi el 15/01), se ingresa a usuario a bajo control tórax, me comunico con jefa GES para apertura de sospecha CA de pulmón. Se conversa caso presencial con broncopulmonar, se indica citar a policlínico. Me comunico vía telefónica con hermana de usuario para realizar agendamiento, sin embargo, me notifica que usuario ingresó a servicio urgencias de nuestro hospital por edema, inapetencia y deterioro del estado de salud. P) citar c/dr Hurtado. (21/01 aun hospitalizado en mq3).</t>
    </r>
    <r>
      <rPr>
        <sz val="12"/>
        <color rgb="FFFF0000"/>
        <rFont val="Calibri"/>
        <family val="2"/>
        <scheme val="minor"/>
      </rPr>
      <t xml:space="preserve"> 28/01 egresado de mq3. </t>
    </r>
    <r>
      <rPr>
        <b/>
        <sz val="12"/>
        <color theme="4"/>
        <rFont val="Calibri"/>
        <family val="2"/>
        <scheme val="minor"/>
      </rPr>
      <t>P) cita para 10/02 9:00 DRA INDica rx torax evaluado. discutira caso comite de respiratorio. Se exeptua garantia el 17-03. P) toracentesis. PCTE hospitalizado, se presenta a COR el 16/04/2025 se indica CPE. P) entregar resolcuion</t>
    </r>
  </si>
  <si>
    <t>P) entregar resolución</t>
  </si>
  <si>
    <t>REV (FEBRERO)</t>
  </si>
  <si>
    <t>FALLECIDO ELL 16 DE MAYO 2025</t>
  </si>
  <si>
    <t>RUBEN LARA GALLARDO</t>
  </si>
  <si>
    <t>NODULO PULMONAR / METASTASIS PULMONAR</t>
  </si>
  <si>
    <t>DERIVACIÓN A CX TORAX HLS PARA RESECCIÓN DE NODULO PULMONAR</t>
  </si>
  <si>
    <t>Seguimiento Enf:Usuario es presentado a comité torax 3/7, se indic (a derivar a HLS para Cx tórax, se envió carpeta + IC priorización, se prioriza IC a cardiología. 05/7 se recibe hora en HLS para el 23/7 14:30hrs, se indica a usurio retirar espirometria. Se encuentra citado para hoy 05/7 12:00hrs entrega de resolución, es evaluado y se realizan las gestiones pertinentes. 27/7 tiene hora con cardiología HOV. P) CITAR EN AGOSTO/2024 (evaluado 13/8)  28/8 dra hurtado solicita DLCO, se envia correo a HLS (daniela T). P) consultar por resultado DLCO (4/9 se envia correo para consultar x resultad). se tomó espirometria 3/9, el 9/9 se recibe resultado DLCO. 11/9 se realiza agendamiento para el 27/9 11:50hrs, evaluado se solicitaran exs preops y enviar a HLS para intervención QX.10/10 se envian antecedentes a HLS. 23/10 se gestiona licencia c dra hurtado. P) INT QX. P) seguimiento Diciembre. 27/12 lo operaron, tiene control con dra urbina el 29/01, se consulta anatopato HSP por muestra, la tienen, se prioriza. P) resultado bp para citar c/Dra Hurtado. en caso de bp positiva, citar a poli y confirmar si sale negativa hay que citar e IPD descarte. 20/02 bp ok se sube a sidra (-) se cita 24/02. Ev. x dra. hurtado, entrega resultado de bp y  control en 1 mes// 28-3-25 DRA DESCARTA METASTASIS DE PULMON, ES UN QUISTE BRONCOGENISO, NO ES ONCOLOGICO POR TORAX, SOLO TESTICULO</t>
  </si>
  <si>
    <t>Por Vencer</t>
  </si>
  <si>
    <t>DESCARTADO DE CA PULMONAR METASTASTASICO// SE SACA DE BAJO CONTROL??</t>
  </si>
  <si>
    <t>REV (ABRIL)</t>
  </si>
  <si>
    <t>BP NEGATIVA SE DESCARTA CA DE PUL+X207:AA207MON</t>
  </si>
  <si>
    <t>JUAN CARLOS VELASQUEZ</t>
  </si>
  <si>
    <t>Se realiza gestion de caso, se agenda paciente con IC pendiente para evaluación con Dra. Hurtado mediante enlace de consulta nueva. Me contacto con hija quien confirma asistencia de paciente para el 16/04 a las13:00 hrs. EVALUADO POR DRA. Se solicita tac de torax S/C y TAC de abdomen y pelvis C/C. EL 26/05 SE DESCARTA SE ENTREGA IPD A GES</t>
  </si>
  <si>
    <t>P) SE DESCARTA CA DE PULMON</t>
  </si>
  <si>
    <t xml:space="preserve">REV (ABRIL) </t>
  </si>
  <si>
    <t>EMILIO DEL ROSARIO PIÑONES PIÑONES</t>
  </si>
  <si>
    <r>
      <rPr>
        <sz val="11"/>
        <color theme="1"/>
        <rFont val="Calibri"/>
        <family val="2"/>
        <scheme val="minor"/>
      </rPr>
      <t xml:space="preserve"> Seguimiento Enf: PENDIENTE CONTROL CON IMÁGENES --&gt; 10/7 tomo conocimiento de caso, usuario última vez fue evaluado por Dra. Hurtado en Junio/2024, se indicó control en 2 meses. Corresponde Citar en Agosto/2024. 19/8 se realiza agendamiento para el 23/8 11:50hrs, evaluado, se indica control en 6 meses. P) CITAR EN FEBRERO/2025. C</t>
    </r>
    <r>
      <rPr>
        <b/>
        <sz val="11"/>
        <color theme="4"/>
        <rFont val="Calibri"/>
        <family val="2"/>
        <scheme val="minor"/>
      </rPr>
      <t>rea 18/02/25 ok. el 19/02 solicito tac  torax c/c.CONTROL EN 1 MES. SE CITA 19/03 EVALUADO POR DRA. HURTADO INDICA PRESENTAR A COMITE DE RESPIRATORIO CITA EN 1 MES . 10/06 P) PRESENTAR A COMIRE RESPIRATORIO??</t>
    </r>
  </si>
  <si>
    <t>6 MESES</t>
  </si>
  <si>
    <t>P) PRESENTAR A COMITÉ</t>
  </si>
  <si>
    <t>MARIELA LOPEZ VALERIO</t>
  </si>
  <si>
    <t>OBS. MASA PULMONAR</t>
  </si>
  <si>
    <t>DIAGNOSTICO</t>
  </si>
  <si>
    <t xml:space="preserve">NA </t>
  </si>
  <si>
    <t>EL 28/06/2025 SE TOMA CONOCIMIENTO DE CASO DE OBS DE MASA PULMONAR. S EABRE GARANTIA Y SE SOLICITAN pet-Ct y EBUS A TRAVES DE BRONCOPULMONAR. PCTE SE REALIZA PET-CT DE FORMA PARTICULAR EN COQUIMBO EL 11/07/2025 Y TIENE PRIEMRA CONSULTA EN CLINICA ALEMANA EL 14/07 Y SE TOMA EBUS EL 15/07 EN CLINICA ALEMANA. P) RESULTADO DE BP E IHQ PARA PRESENTAR A COMITE ONCOLOGICO</t>
  </si>
  <si>
    <t>P) PRESENTAR A COMITÉ TORAX C/ BP</t>
  </si>
  <si>
    <t>Rev(JULIO)</t>
  </si>
  <si>
    <t>LINFOMA (+) DESCARTADA DE PULMON</t>
  </si>
  <si>
    <t xml:space="preserve">JORGE ROJAS ARAYA </t>
  </si>
  <si>
    <t>ovalle</t>
  </si>
  <si>
    <t>MASA TUMORAL EN LOBULO SUPERIOR IZQUIERDO</t>
  </si>
  <si>
    <t>28/06/2025 TOMO CONOCIMIENTO DE CASO, CITADO CON DRA. HURTADO. QUIEN INDCIA QUE POR ECOG 3 NO SE PUEDE TOMAR BP. PENDIENTE CONFIRMAR IPD??</t>
  </si>
  <si>
    <t>P) CONFIRMAR CANCER PULMON??</t>
  </si>
  <si>
    <t>Rev(JUNIO)</t>
  </si>
  <si>
    <t>JOSÉ AGUIRRE AGUIRRE</t>
  </si>
  <si>
    <t>sin biopsia</t>
  </si>
  <si>
    <t>Se solicita puncion transtoracica para bp con dr. Osses y evaluacion por NC en HSP. P) verificar IC en sistema</t>
  </si>
  <si>
    <r>
      <t>Seguimiento Enf: 14/10 tomo conocimiento de caso, caso solicitado por Dra Hurtado, evaluado el 27/7 se solicita espirometia y TAC TAP (14/10 se gestiona). P) CITAR c/resultado (TAC) (22/10 se realiza fibrobroncoscopia). P) CITAR c/resultado. 19/11 se recibe resultado TAC TAP y se prioriza biopsia pulmonar. P) citar c/biopsia + TAC. 12/12 se recibe citoquimica de bp P) resto bp. 19/12 se cita para el día 23/12 14:10hrs, evaluado se indica citar en 1 mes. (Enero/2025)</t>
    </r>
    <r>
      <rPr>
        <sz val="12"/>
        <color rgb="FF00B0F0"/>
        <rFont val="Calibri"/>
        <family val="2"/>
        <scheme val="minor"/>
      </rPr>
      <t xml:space="preserve"> 13/01 se realiza agendamiento para el día 17/01 12:00hrs, evaluado se solicita actualizar TAC TAP+cerebro y citar a poli. --&gt; se toma TAC el 30/01, informe ok yP)citar a poli. </t>
    </r>
    <r>
      <rPr>
        <b/>
        <sz val="12"/>
        <color theme="4"/>
        <rFont val="Calibri"/>
        <family val="2"/>
        <scheme val="minor"/>
      </rPr>
      <t xml:space="preserve"> se cita a poli 05/02 13:00 hrs. 06/05 se sube COR a sidra donde se solicita puncion transtoracica con dr. osses en HSP  y IC de neurocx en sistema. p) EVALUACION. Dra. hurtado realiza IC a radiologo 06/03. se envia correo. gestora HLS indica realizar IC a HLS con cx torax, se realiza IC 12/03. se eniva correo el 12/03. Se llama a pcte el 25/03 indica tiene evaluacion con neurologo HSP el 03/04. P) evaluacion con radiologo HLS//</t>
    </r>
    <r>
      <rPr>
        <sz val="12"/>
        <color theme="4"/>
        <rFont val="Calibri"/>
        <family val="2"/>
        <scheme val="minor"/>
      </rPr>
      <t xml:space="preserve"> </t>
    </r>
    <r>
      <rPr>
        <sz val="12"/>
        <color rgb="FFFF0000"/>
        <rFont val="Calibri"/>
        <family val="2"/>
        <scheme val="minor"/>
      </rPr>
      <t xml:space="preserve">26-3 se envia correo para que retroalimenten estado de ic//4-4-25 SE GESTIONA ORDEN DE CREA QUE SOLICITARON DESDE HLS PARA TOMA DE RM. </t>
    </r>
    <r>
      <rPr>
        <b/>
        <sz val="12"/>
        <color theme="4"/>
        <rFont val="Calibri"/>
        <family val="2"/>
        <scheme val="minor"/>
      </rPr>
      <t xml:space="preserve">13/06 PCTE EN MCG POSTRADO familair indica que no tomaran bp y quedra con CPE. </t>
    </r>
  </si>
  <si>
    <t>25-06-2025 presentado a COR indican CPE</t>
  </si>
  <si>
    <t>FALLECIDO 10/07/2025</t>
  </si>
  <si>
    <t>LUIS BELTRÁN VIDELA GONZÁLEZ,</t>
  </si>
  <si>
    <t>TU DE PULMON</t>
  </si>
  <si>
    <t>PCTE HOSPITALIZADO, SE REALIZA FBC Y CON BP POSITIVA SE CONFIRMA CASO GES EL 23/05. PCTE SE PRESENTA A COMITÉ PARA CPE el 28/05. PCTE EN RCG . COR indica CPE</t>
  </si>
  <si>
    <t>p) SEGUIMIENTO POR ENFERMERIA</t>
  </si>
  <si>
    <t>MARIO AGUILERA ARAYA</t>
  </si>
  <si>
    <t>OBS? NEOPLASIA PULMONAR</t>
  </si>
  <si>
    <t>Corresponde Diagnostico: Toma de Biospia quirurgica.
Etapificacion: PET-CT y RM Cerebral. Evaluacion por NC. (MT Cerebral)
Cuidados paliativos.</t>
  </si>
  <si>
    <t>hov</t>
  </si>
  <si>
    <t>en curso</t>
  </si>
  <si>
    <r>
      <rPr>
        <sz val="12"/>
        <rFont val="Calibri"/>
        <family val="2"/>
        <scheme val="minor"/>
      </rPr>
      <t>2-4-25 Dra hurtado evalua a usuario en hospitalizacion y decide presentarlo a comité para ingreso a oncologia, en comité solicitan ingresarlo a ges para empezar con etapificacion. Agendo a usuario para el dia 4-4-2025 para entrega de resolucion y realizacion de documentos ges indicaciones comite: toma de biopsia qx, pet-ct. rm cerebral evaluacion por neurocirujano cuidados paliativos//3-4-25 dra hurtado me deja orden de petct+ rm sin encuesta+ examen crea+ ipd cuidados paliativos, ella mañana en control tiene que hacer ingreso a ges + encuesta de RM´(preguntar si ya tiene una de antes)+ solicitud para toma de bp, y le preguntara si se puede hacer el pet por extrasistema para mayor rapidez</t>
    </r>
    <r>
      <rPr>
        <sz val="12"/>
        <color rgb="FFFF0000"/>
        <rFont val="Calibri"/>
        <family val="2"/>
        <scheme val="minor"/>
      </rPr>
      <t xml:space="preserve">. </t>
    </r>
    <r>
      <rPr>
        <b/>
        <sz val="12"/>
        <color theme="4"/>
        <rFont val="Calibri"/>
        <family val="2"/>
        <scheme val="minor"/>
      </rPr>
      <t>SE TRAMITA EL 09/04 EBUS CON MEMO N°21. p) ENCUESTA DE IMARED. 15-04 SE TRAMITA ORDEN DE PET-CT, RNM CEREBRO.  SOLICITAN DE CLINICA ALEMANA PASE DE CARDIOLOGO, NEURO , NCORRECCION DE HIPERKALEMIA  E INFORME MEDICO PARA AGENDAR. 17/06 SE OBTIENE ULTIMO PASE CON CARDIOLOGO S EENVIA CORREO A CLINICA ALEMANA PARA AGENDAR PARA EBUS. 23/06 llega hora de EBUS, para el 27/06 a las 12.00 hrs . p) CON BP SOLICITAR HORA CON NEUROCX PARA PRESENTAR A COR NEURO-ONCO. RESULTADO DE BP OK SE CITA CON DRA HURTADO 07/07 QUIEN SOLICITA IHQ PARA REPRESENTAR.</t>
    </r>
  </si>
  <si>
    <t>P) IHQ PRESENTAR A COMITÉ  TORAX Y NEURO-ONCO</t>
  </si>
  <si>
    <t>FALLECIDO 25/09/2025</t>
  </si>
  <si>
    <t>NORMA DÍAZ GONZALEZ</t>
  </si>
  <si>
    <t>Antecedente de CA de endometrio tratado 2018. (quirúrgico) rescatar antecedentes. Corresponde derivacion HLS para realizar EBUS (diagnóstico y etapificación)</t>
  </si>
  <si>
    <r>
      <t xml:space="preserve">Seguimiento Enf: 9/9 tomo conocimiento de caso, usuaria con </t>
    </r>
    <r>
      <rPr>
        <b/>
        <sz val="12"/>
        <color theme="1"/>
        <rFont val="Calibri"/>
        <family val="2"/>
        <scheme val="minor"/>
      </rPr>
      <t>GARANTÍA GES VIGENTE ( hasta 30-10-24</t>
    </r>
    <r>
      <rPr>
        <sz val="12"/>
        <color theme="1"/>
        <rFont val="Calibri"/>
        <family val="2"/>
        <scheme val="minor"/>
      </rPr>
      <t>), referida desde APS por disnea, le tomaron TAC tórax que evidenció masa pulmonar. Evaluada el 6/9 por Dra Hurtado, se solicita TAC TAP c/c, ecocardiograma y espirometría, citar en 2 semanas (con resultados). 23/9 se cita para el 2/10 13:00hrs, evaluada se solicita PET-ct, RM cerebral, DLCO (FALTA IC), se presentará a COR torax para EBUS. P) PRESENTAR A COR e IC x DLCO. 9/10 se solicita DLCO a HLS. 29/10 se toma fibrobroncoscopia P) resultado. 20/11 se reconsulta x resultado DLCO, RM cerebro tomada, se consulta x DLCO(maquina mala en HLS) se reconsulta citación, se prioriza biopsia pulmon con anatopato y se prioriza pet-ct con compra servicio, se gestiona IPD ingreso CPYAD. P) Presentar a comité Torax c/resultados. 25/11 se tomo RM cerebro, se toma pet el 29/11. 10/12 usuaria se tomo el 9/12 DLCO en HLS, cuenta con pet, rm cerebro y resultado fibrobronco. Se cita para el 16/12 13:50hrs para definir si presentar a COR para ebus. 18/12 se presenta a comité tórax, se decide derivar a HLS para toma de EBUS, se envia correo con IC a cx torax + ordend e toma EBUS + resolucion comite y carpeta antecedentes. Se notifica a hija de familiar de resolucion comité. P) INT QX EN HLS (EBUS)</t>
    </r>
    <r>
      <rPr>
        <sz val="12"/>
        <color rgb="FF00B0F0"/>
        <rFont val="Calibri"/>
        <family val="2"/>
        <scheme val="minor"/>
      </rPr>
      <t xml:space="preserve"> 09/01 se recibe correo con hora HLS cx torax c/Dra Urbina para el 14/01. 10/01 usuaria acude x reciente ingreso a SUR por desaturación, quedo en HD con O2 domiciliario. P) Seguimiento Enero --&gt; 16/01 seguimiento, en cx torax decidieron derivar a H. San Borja para EBUS (pendiente recibir solicitud). Se coordinará desde HLS gestion traslado a EBUS. Actualmente en destete de O2 para alta por HD. P) Seguimiento Febrero vs solicitar gestiones a HLS.</t>
    </r>
    <r>
      <rPr>
        <b/>
        <sz val="12"/>
        <color theme="4"/>
        <rFont val="Calibri"/>
        <family val="2"/>
        <scheme val="minor"/>
      </rPr>
      <t xml:space="preserve"> Pcte hospitalizada recientemente por TEP c/ aco, no se podra realizar EBUS. pedir control a HLS y enviar EPICRISIS. CITADA 21/02/2025 DRA. HURTADO EVALUA INDICA REPRESENTAR PARA NUEVA PUNCION O FIBRO. SE ENTREGA OIRDEN EN MODULO EL 17/03, 25-3 SE REALIZA FIBRO, P) BP PARA REPRESENTAR. 09/04/25 se rescata bp (-), 10/04 se realiza IC a cx de torax, 11/04 se envia correo a gestora HLS. 14/04 SE SOLICITA IC POR BP TRANSBROQNUIAL INDICADA EN COMITE. 23/04 SE CONSULTA X iC A GETSORA LS INDICA QUE ESTA EN CURSO. 30/05 SE PIDE HORA OCN NEUROLOG. 03/06 EVALUADO POR NEUROLOGO INDICA RNM, SE SOLICITA HORA OCN POLI DOLOR PARA EL 06/06. p) REEVALUCION CON NEUROLOGO. se agenda para el miercoles 25/06 13:00</t>
    </r>
  </si>
  <si>
    <t>P) TOMA DE BP TRANSTORACICA O CPE</t>
  </si>
  <si>
    <t>REV (abril)</t>
  </si>
  <si>
    <t>fallecido</t>
  </si>
  <si>
    <t xml:space="preserve"> LAURA ERCIRA RAMIREZ (-)</t>
  </si>
  <si>
    <t>CPE</t>
  </si>
  <si>
    <t>PACIENTE QUE DERIVAN  DE EXTRASISTEMA POR TAC DE TORAX, SE CONFIRMA POR IMÁGENES SE DERIVA APOLI DEL DOLOR, EVALUAD APROEXTRASISTEMA POR DR. ELORZA. P) PRESENTAR A COMITÉ POR CPE</t>
  </si>
  <si>
    <t>P)CITAR PARA CONTROL</t>
  </si>
  <si>
    <t>WILSON DEL CARMEN ASTUDILLO ARAYA</t>
  </si>
  <si>
    <t>EN ABRIL SE TOMA CONOCIMINETO DE CASO, DOCTORA DEFINE EXEPTUAR GARANTIA Y DEJA CONTROL EN 5 MESES. PCTE HOY 10/07 CONTROL PENDIENTE</t>
  </si>
  <si>
    <t>SE DESCARTA</t>
  </si>
  <si>
    <t>PATRICIO HERNÁN CASTILLO JIMÉNEZ</t>
  </si>
  <si>
    <t>ADENOCARCINOMA DE PULMON T1bN2M0</t>
  </si>
  <si>
    <t>Dx: Adenocarcinoma de pulmon T1bN2M0. Corresponde: neoadyuvancia para cirugía. Realización de mutaciones (RGFR,ALK,ROS1,PDL1).. CLCR.</t>
  </si>
  <si>
    <t>HOV / HOSP SAN BORJA</t>
  </si>
  <si>
    <t>Seguimiento Enf: Agendado con  cardio el 10-7-24, se gestiona orden de PET CT + DCLO el 28/6, se solciitó RMN cerebral (s/orden) se entrega a dra. Hurtado orden de Rmcerebral (se entrega a módulo) y espirometría (lista del 29/5)  Corresponde con resultados citar y presentar a COR.  3/7 se gestiona orden DCLO por HLS. 18/7 se recibe resultado DLCO . 30/7 se realiza agendamiento con Dra. Hurtado 5/8 09:00hrs, se evalua y se hace informe de COR Torax. 7/8 se presenta a COR tórax, se indica PET-ct y RM cerebral y representar a comité. 28/8 se presenta a comité tórax, se indica toma de EBUS y criobiopsia en HLS, se envian antecedentes + orden estudio a HLS. 3/9 se gestionan ordenes exs sangre y ECG, con resultados enviar a HLS. P) consultar a fines septiembre por resultado a HLS. 9/9 se recibe correo de tramite de EBUS. p) resultado. (30/10 p) CITAR C/dRA hurtado). 13/11 se reconsulta x resultado ebus. 15/11 se tramita orden de EBUS por compra servicio, paciente informado. 12/12 usuaria citado en hosp san baroja el 13/12 para toma de EBUS, luego P) representar con resultado a comité torax.23/12 se realiza seguimiento x toma de EBUS, le cancelaron la hora del 13/12. P) CONSULTAR CONDUCTA DRA HURTADO VS CONSULTAR HLS. 26/12 me comunico con usuario, se recibe citación en Hosp San Borja para el día 30/12 09:00hrs para toma de EBUS, solicitará apoyo monetario. 02/01  usuario informa que estará en 4 semanas la biopsia de pulmon. P) consultar gestora san borja x resultado. --&gt; 16/01 se consulta via correo a gestora H. San Borja por resultado de biopsia pulmonar. --&gt; 17/01 se recibe resultado bp positiva para CA pulmon, se notifica a Dra Hurtado. P) CITAR A POLI  --&gt; citado como sobrecupo el 21/01 12:00hrs.  22/01 usuario presentado a COR torax, se define evaluacion por ciurgía tórax para evaluar neoadyuvancia pre cirugía, además se envia correo a H.San Borja para solicitar bloques de inclusión y poder solicitar mutaciones en HOV (orden lista, pendiente que lleguen bloques) 23/01 envian bloques desde San borja, se avisa a oficina partes para que avisen cuando llegue paquete. P) enviar resultado clearence creat + TAc tórax  + resultado mutaciones.30/01 se entrega ipd confirmación.  SE REPRESENTA EL  0/02 SE MUESTRAN MUTACIONES P) PD-L1. EL 14/03 SE SOLICITA HORA A HLS CON ONCOLOGIA, SE ENVIA CARPETA DE ANTECEDENTES Y SE SOLICITA TOMAR PD-L1 POR ESTAR BLOQUEADOS CON  LABORATORIO DE CATOLICA. P) verificar control con oncologa// HLS 26-3 se envia correo electronico preguntado estado.  de usuario, se llama a usuario y refiere que ya inicio tto que le dio dra via telefonica.  20/05 PCTE CON INMUNOTERAPIA CON TKI EN HLS</t>
  </si>
  <si>
    <t>CONTROL EN DOS SEMANAS</t>
  </si>
  <si>
    <t>GREGORIO DEL CARMEN  TORREJÓN  VEGA</t>
  </si>
  <si>
    <t>Seguimiento Enf: EN CUIDADOS PALIATIVOS EXCLUSIVOS ULTIMO CONTROL 14-3-24. SOLICITAR NUEVA HORA EN PALIATIVOS.--&gt; 9/7 tomo conocimiento, usuario en CPE. Corresponde mantener controles en CPYAD. P) Seguimiento vs gestionar control por CPYAD. 02/1 se mantiene en tto c/parche morfina que le generan alergia, se realiza agendamiento para el 10/01 12:00hrs.,, evaluado se indica tto y control en 2 meses. EVALUADO EN 21/07 POR DRA. HURTADO. PCTE CON CPE</t>
  </si>
  <si>
    <t>DRA HURTADO / CPE</t>
  </si>
  <si>
    <t>P) VER PERIODO DE CONTROL.</t>
  </si>
  <si>
    <t>REV (agosto)</t>
  </si>
  <si>
    <t>ALBERTO ROJAS MIRANDA</t>
  </si>
  <si>
    <t>PACIENTE CON SOSPECHA DE TU DE PULMON, SE INDICO: RNM, ESPIROMETRIA, DLCO GESTIONADO CON HLS, Y CON RESULTADOS SE AGENDARA NUEVO CONTROL PARA PRESNETAR A COR. ADEMAS CON SOSPEHCA DE TU CEREBAL AL PARECER METASTASIS , SE PRIORZA IC A NEUROLOGIA.</t>
  </si>
  <si>
    <t>CITAR CON RESULTADOS</t>
  </si>
  <si>
    <t>JACINTA FARIAS ARCE</t>
  </si>
  <si>
    <t>PACIENTE EN SOSPECHA DE TUMOR DE PULMON, SE EVALUO, SE INDICO 0XIGENO DOMICILIARIO Y EVENTUAL FIBROBRONCOSPIA</t>
  </si>
  <si>
    <t>KARINA ESTER MONTENEGRO FLORES</t>
  </si>
  <si>
    <t>CÁNCER DE PULMON (MT pulmón)</t>
  </si>
  <si>
    <t>QMT PALIATIVA</t>
  </si>
  <si>
    <t>CONTROL POR METASTASIS PULMONAR, ESTABLE ACTUALMENTE, SIN EMBARGO FUE OPERADA RECIENTEMENTE POR OBSTRUCCION INTESTINAL Y HA PERMANECIDO CON TOS SECA, SIN DISNEA. CITADA EL 17/03/2025. EVALUADA POR DRA. HURTADO INDICA OBSERVACION CONTROL EN 2 MESES MAYO/2025. SE CITA EL 23/05 DRA EVALUA PCTE Y M,ANTIENE MORFINA. P) VER PERIODO DE CONTROL. CITADA EL 27/06. CITADA EL 26/08 PARA LICENCIA MEDICA</t>
  </si>
  <si>
    <t xml:space="preserve">p) citar </t>
  </si>
  <si>
    <t>FALLECIDA</t>
  </si>
  <si>
    <t>EMA LUZ HERNÁNDEZ GUZMÁN</t>
  </si>
  <si>
    <t>PCTE SE REALIZA FBC CON RESULTADO (+) 19/05, SE CONFIRMA GES  dE PULMON EL 23/05. FAMILIAR DE PCTE (HIJO) INDICA QUE NO QUIERE MAS PROCESOS DE CX, SOLO CUIDADO SPALIATIVOS. SE PRESENTA A COR 28/05 INDICAN CPE ( SE DERIVA A CUIDADOS PALIATIVOS EN COMBARBALA)</t>
  </si>
  <si>
    <t>PENDIENTE HACER CONTACTO TELEFONICO</t>
  </si>
  <si>
    <t>URBANA CASTILLO ARAYA</t>
  </si>
  <si>
    <t>BENITO TOLEDO PUELLES</t>
  </si>
  <si>
    <t>SARCOMA pierna D° (OPERADO) // SOSPECHA CA DE PULMON X NODULO PULMONAR</t>
  </si>
  <si>
    <t>n/A</t>
  </si>
  <si>
    <t>Seguimiento Enf: 02/12 tomo conocimiento de caso, evaluado en consulta broncopulmonar con estudios extrasistema (FALP) que evidencian 4 nodulos pulmonares, usuario con antecedente de sarcoma pierna derecha tratado en extrasistema con RDT y QMT que culmino sesiones en Marzo/2024, posteriormente tuvo resección de lesión en Mayo/2024, posteriormente tuvo control a los 3 meses en Agosto/2024 donde se tomó RM que evidencio sospecha de nodulos pulmonares, se tomó TAC que evidencia nodulos pulmonares probablemente de origen secundario. Me comunico vía telefónica con esposa de usuario, le indico que acuda el día miercóles 04/12 a modulo oncológico con antecedentes extrasistema. P) solicitar IC a cx adulto. P) presentación cx tórax? 04/12 USUARIO CON GARANTIA GES TORAX X CA PULMON, usuaria trajo documentos. 11/12 se sube cd + imagen a sistema. Se cita para el día 23/12 13:30hrs, evaluado Dra hurtado indica presentar a comité oncológico tórax por que usuario tiene MTT pulmonar secundaria a sarcoma. P) presentar a COR TORAX --&gt; 16/01 se revisa caso c/Dra Hurtado, se indica citar a poli para pedir pet. 20/01 se realiza agendamiento para el 31/01 11:40hrs (tiene citación para el 04/02 toma de PET en positronmed). 31/01 eva por dra. citacion en 1 mes con resul. pet ct. control 14/02 evaluado por dra. da IPD para ADYCP y presentacion a COR torax, posterior a COR PB //3-3-25 descarta ca pulmon primero cita en 2 meses// p) que la dra diga cada cuanto hara  los controles. SE AGENDA PARA EL 18/06 A LA S13:20 CONTROL. SE DEJA CONTROL EN 2 MESES</t>
  </si>
  <si>
    <t>HOV (DRA HURTADO // DR AZUA)</t>
  </si>
  <si>
    <t>REPRESENTADO EN COMITÉ DE QMT: SE INDICA CUIDADOS PALIATIVOS EXCLUSIVOS</t>
  </si>
  <si>
    <t>REV (JUNIO)</t>
  </si>
  <si>
    <t>CLAUDIO ALBERTO JARA BUENDÍA</t>
  </si>
  <si>
    <t xml:space="preserve">BP + EVA X CX + RM CEREBRAL </t>
  </si>
  <si>
    <t>Seguimiento Enf:ACTUALMENTE EN SEGUIMIENTO POR HOV- CONTROL EN 3 MESES. RECIBIO QMT + INMUNOTERAPIA EN EL  INSTITUTO NACIONAL DEL CANCER EN SANTIAGO. --&gt; 10/7 tomo conocimiento, usuario visto el 24/Junio por Dra. Hurtado, se indica control en 3 meses (citar en Septiembre/2024). 2/9 se realiza agendamiento para el 6/9 11:50hrs con broncopulmonar, evaluado, se mantiene osimertinib y citar en 1 mes. P) CITAR EN OCTUBRE/2024. 7/11 se cita para el 11/10 12:00hrs, evaluada, se hace IC a uro(priorizada, se recibe hora el 16/10 18:00hrs) y citar en 2 meses. 28/11 se realiza citación para el día 09/12 13:30hrs, evaluado recibiendo tto en INC, control en 2 meses. (febrero/2025) evaluado por dra. inicia QTR en 1 semana cita en 2 meses  ABRIL 2025// visto por prieto el 1-4-25, quien da autorizacion de retomar qmt, s elo envio por correo a constanza// 4-4-25 enfermera constanza respodne correo y  Control asignada para el 10/04/2025 a las 10:00 hrs. SE LLAMA PARA AGENDAR PERO SEMANA DEL 05/05 VA A QMT A FALP. SE DIFIERE CONTROL. SE LLAMA EN 2 OCASIONES PCTE EN SANTIAGO POR QMT. 10/06 SE DESEA DAR CONTROL A PCTE QUIEN INDICA SE ENCUENTRA EN OTRA CIUDAD Y SOOLICITA RECETA POR TRAMAL DIFIERE CONTROL,SE ENVIA BP DE FC DE FEMUR. SE EVALUA CON DRA. HURTADO EL 22/07 PCTE DEJA DE TRATARSE EN INC SE EVALUARA REPRESENTACION AQUI EN COR, YA SE ENCUENTRA EN CPYAD</t>
  </si>
  <si>
    <t>REPRESENTADO CPE</t>
  </si>
  <si>
    <t>FALLECIDO 07/01/26</t>
  </si>
  <si>
    <t xml:space="preserve">JUAN IVAN LARENAS LARENAS </t>
  </si>
  <si>
    <t>20-11-2024 (HLS)</t>
  </si>
  <si>
    <t>Representar con resultados de nueva reetapificacion y resultados de nueva biopsia</t>
  </si>
  <si>
    <t xml:space="preserve">Seguimiento Enf: PENDIENTE CIRUGIA DE TORAX EN HLS --&gt; Corresponde Seguimiento por estado de proceso onco en HLS.. P) Seguimiento AGOSTO. 23/9 llamar a HLS para consultar. 10/10 seguimiento, usuario aún en espera de cx torax en HLS. Se cita para el 14/10 09:20hrs para evaluar caso, evaluado se solicita TAC TAP+cerebro y citar en 2 semanas, con resultado reconsultar en HLS para cx torax. 29/10 se recibe resultado y Dra Hurtado solicita agendar usuario, citado el 4/11 09:20hrs, evaludo se define presentar a comité y control 2 sem. 07/11 se recibió correo el 05/11 de que usuario tendrá atención con Dra Urbina para coordinar cx tórax en HLS. 20/11 presentado en comité torax x HLS, se solicitará PET-CT y representar a comite. P) resultado pet y representar COR TORAX. P) SEGUIMIENTO. se llama 20/10 no contesta. //2-4-25 LO CITARAN DESDE HLS, COPIARON EN UN CORREO.  SE TOMO RNM Y TAC TAP EL 27/05 PEOR NO LO HA VISTO URBINA. llamaron para el 31/07  pero suspendieron hora por tsunami. </t>
  </si>
  <si>
    <t>DRA HURTADO // DRA URBINA</t>
  </si>
  <si>
    <t>P) CITAR CON TAC DE TORAX</t>
  </si>
  <si>
    <t>REV(FEBRERO)</t>
  </si>
  <si>
    <t>PACIENTE CUENTA CON TAC DE TORAX, CITAR</t>
  </si>
  <si>
    <t>Seguimiento Enf: PENDIENTE INFORME DE BP EN HOV(SOLICITADO EN COMITÉ PDL1 DE BP EBUS). RM encefálica (en trámite), pendiente con resultado pdl-1  y RM encefálica envíar a neuro HSP para su comité. --&gt; se enviaron cortes a laboratorio para pdl-1. 19/7 se recibe resultado de biopsia pdl-1 y RM cerebro, se envía por correo a gestoras HLS, se recibe hora citación para el 29/7 en poli HLS.  P) Representar a COR por neuro. 30/7 usuario se presentó a comité QMT y se decide QMT + inmunoterapia a titulo paliativo, se envía correo a gestoras HLS. 4/9 se realiza seguimiento, inició primera quimio el 19/8, con Dra Marrero, se le solicitaron para este viernes 6/9 exs sangre en HOV  y el 10/9 control en HLS, control previo a 2do ciclo QMT, sin vomito, diarrea ni sangrado.  (obs: usuario primario CYC (CA LARINGE), al terminar QMT mover). 12/9 se gestiona traslado a CDT HLS para el 13/9 c/Dra MArrero previo 2do ciclo QMT. 16/9 evaluado por Dra hurtado, se indica citar en 2 meses. 23/9 se gestiona traslado para el día 30/9 08:00hrs en CDT La Serena para QMT, se envía orden traslado. 21/10 se gestiona traslado para tto QMT (tercer ciclo) el 24/10 08:00hrs en CDT La Serena. P) Gestionar siguiente traslado para el 14/noviembre. 12/11 se gestiona traslado para el 14/11 4to ciclo QMT, sin embargo paciente cancela traslado no asistirá. P) seguimiento vs citar c/dra hurtado, 27/12 seguimiento, usuario no acudio a 4to ciclo ni a reagendamiento, no quiere mas citaciones, converso con hija para que acuda a control para indicar estado de salud de don Oscar. Se realiza agendamiento para el día 30/12 13:30hrs c/Dra Hurtado, evaluado se actualiza estado de usuario (semi-postrado) control en 1 mes (enero/2025). 20/01 se llama usuario para agendamiento sin embargo no queire salir de casa, vovlerá a llamar. 21/01 se consulta, usuario efectivamente no quiere asistir a más atenciones x por el hospital. Se difiere agendamientos egun requerimiento y se egresa de bajo control (primario laringe, con mtt pulmonar que no culminará tto con QMT) ya ingresado en CPYAD.</t>
  </si>
  <si>
    <t>Vencido</t>
  </si>
  <si>
    <t>P) CITAR EN ENERO/2025 (fines de mes). 21/01 seguimiento, no asistirá a más atenciones x hospital. Se egresa.</t>
  </si>
  <si>
    <t xml:space="preserve"> </t>
  </si>
  <si>
    <t>FALLECIDO OCTUBRE2025</t>
  </si>
  <si>
    <t>PATRICIA CASTILLO CASTILLO</t>
  </si>
  <si>
    <t>SE INDICA REALIZACION DE PET CT</t>
  </si>
  <si>
    <t>OBSERVACION CONTROL CADA 3 MESES</t>
  </si>
  <si>
    <t>REV DICIEMBRE</t>
  </si>
  <si>
    <t>AGENDAR CONTROL CON TAC ENERO 2026</t>
  </si>
  <si>
    <t>descartada</t>
  </si>
  <si>
    <t>ROSA PIZARRO PIZARRO</t>
  </si>
  <si>
    <t>DERIVADA A CIRUGIA DE TORAX DE HLS, SE SOLICITO PRIORIZACIÓN A GESTORA DE HLS</t>
  </si>
  <si>
    <t>CITAR EN DOS MESES</t>
  </si>
  <si>
    <t>CORRESONDE CONTROL EN OCTUBRE</t>
  </si>
  <si>
    <t>TEGUALDA FLORES
CORTÉS</t>
  </si>
  <si>
    <t>PSCIENTE CON SOSPECHA DE TU DE PULON, SE PRESENTA A COR 10-09-2025: Corresponde cuidados paliativos exclusivos. rechaza toma de biopsia</t>
  </si>
  <si>
    <t>SE DEBE CITAR EN 1 MES// TAC TORAX EN 2 MESES</t>
  </si>
  <si>
    <t>fallecida</t>
  </si>
  <si>
    <t>PATRICIO CASTILLO CARVAJAL</t>
  </si>
  <si>
    <t xml:space="preserve">TU PULMONAR </t>
  </si>
  <si>
    <t>S/COMITÉ</t>
  </si>
  <si>
    <t>S/C</t>
  </si>
  <si>
    <t>PACIENTE DERIVADO DESDE URGENCIAS CON TAC SUGERENTE CON TU DE PULMON</t>
  </si>
  <si>
    <t>PENDIENTE ESPIROMETRIA</t>
  </si>
  <si>
    <t>RNM OK // P) ESPIRO</t>
  </si>
  <si>
    <t xml:space="preserve">PERIODICIDAD DE SEGUIMIENTO </t>
  </si>
  <si>
    <t xml:space="preserve">PROFESIONAL </t>
  </si>
  <si>
    <t>FECHA DE CONTROL</t>
  </si>
  <si>
    <t xml:space="preserve">FECHA DE PROXIMO CONTROL </t>
  </si>
  <si>
    <t xml:space="preserve">DIAS DISPONIBLES </t>
  </si>
  <si>
    <t xml:space="preserve">ESTADO </t>
  </si>
  <si>
    <t>REV</t>
  </si>
  <si>
    <t>EXAMENES PENDIENTES</t>
  </si>
  <si>
    <t>CITAR</t>
  </si>
  <si>
    <t>ANDREA DEL CARMEN DÍAZ CORTÉS</t>
  </si>
  <si>
    <t>Monte patria</t>
  </si>
  <si>
    <t>Melanoma plantar / NODULO PULMONAR ESTABLE.</t>
  </si>
  <si>
    <t>Evaluación con imágenes y seguimiento cada 3 meses con contraste. HPO.</t>
  </si>
  <si>
    <t>Seguimiento Enf: Paciente evaluado el 18/3 por Dr.M.R. quien indica control en 3 meses con TAC tórax con contraste. Pendiente citar con resultados en 3 meses (Junio/2024) c/dr. Azúa (PB) (orden con Cami TENS, p) consultar dr. Azúa orden dice sin contraste (sin encuesta). 27/5 se cita con Dr. Azúa para el 29/5 ev. de TAC tórax c/c. 30/5 Paciente evaluada por Dr. Azúa, se evalua TAc tórax se evidencian nodulos pulmonares, se realiza IC a broncopulmonar, se prioriza IC. 3/6 paciente fue visto el 31/5 x Dra. Hurtado, quien indica toma de TAC TORAX y control en 6 meses por bronco. P) consultar dr. azua  Y/O Ingresar a BaCo Torax. 27/8 se ingresa a BaCO Tórax. 9/9 (usuaria con garantia GES postergada??)  P) CITAR EN NOVIEMBRE/2024 // P) CONSULTAR POR IPD DESCARTE?? es mtt pulmonar?? 11/11 se realiza seguimiento, usuaria se toma TAC tórax el 14/11 (Pend. PRIORIZAR), se cita para el 22/11 12:00hrs c/Dra Hurtado para evaluar resultado. 19/11 se prioriza TAC tórax, evaluada el 22/11  se define x estabilidad de nodulos  presentar a COR Tórax. 12/12 se rescata protocolo op de melanoma solicita por dra. hurtado. PRESENTAR A COR TORAX. 18/12 se presenta a comité, se sube resolución corresponde seguimiento cada 3 meses c/tac torax. Se realiza agendamiento el 23/12 13:50hrs para entrega resolución, evaluada se entrega resolución, control en 3 meses c/tac torax (Marzo/2025) //se agenda control para el 31-3-25//31-3-25 CITAR EN 4 MESES CON RESULTADO DE TAC. 07/07 CITADA CON DOC HURTADO, EVALUADA Y PIDE TAC TORAX SIN CONTRASTE. 31/07 TAC LISTO, PENDIENTE CITAR SE CITA EL 04/08 DOCTORA INDICA CONTROL EN 3 MESES nOVIEMBRE/2025</t>
  </si>
  <si>
    <t>CON RESULTADOS.</t>
  </si>
  <si>
    <t>HOV (Dr. Azúa // DRA HURTADO)</t>
  </si>
  <si>
    <t>CITAR EN 4 MESES / MAYO</t>
  </si>
  <si>
    <t>CITAR MAYO</t>
  </si>
  <si>
    <t>MAYO</t>
  </si>
  <si>
    <t>ANGEL MAVAREZ GARCIA</t>
  </si>
  <si>
    <t>ADENOCARCINOMA DE PULMON CELULAS GRANDES ST IV</t>
  </si>
  <si>
    <t>Cancer de pulmon no celulas pequeñas(adenocarcinoma) st IV. Solicitar PET-CT y RM cerebral. Determinación molecular. Tratamiento paliativo en oncologia médica. Cuidados Paliativos.</t>
  </si>
  <si>
    <t>Seguimiento enf: 06-11 tomo conocimiento de caso, usuaria acude con estudios extrasistema (informe TAC y informe anatomopatólogo) positivos para adenocarcinoma celulas grandes pulmón st IV. Usuario es presentado a comité oncológico tórax, se sube resolución de comité a ficha clínica. Según resolución se tramitan estudios PET-CT y RM cerebral en módulo oncológico. Usuario ya se encuentra en proceso de determinación molecular por La Serena. Según resolución se solicita Cuidados paliativos, en conjunto a doctora se gestiona IPD a cuidados paliativos y se entrega en unidad GES. P) resultado RM cerebral y PET CT (tramitadas) e. (07/11 recbo aviso de Dra Hurtado que Dra caraballo y Dr Mavarez realizaran estudios a don Angel de forma particular, se retiran ordenes de imagenologia y las recepciono) P) tratamiento paliativo en onco medica. 13/11 seguimiento usuario ya se tomo pruebas moleculares y se enviaron a EEUU. el 14/11 se toma RM cerebral. P) PET (se tomó 27/11). P) rescatar resultados rm cerebro y pet y enviar a HLS. 12/12 tiene evaluación con Dra Ojeda para definir tto. 12/12 fue evaluado se definio QMT 4 ciclos, inicia el 16/12, se solicito pase dental (se verá x extrasistema). 02/01 se prioriza resultado exs sangre(hemograma y ttpk) por evaluación en oncología hoy con Dra. ojeda. P) febrero Seguimiento por tto QMT. pcte en bcg con tto. activo via oral. febrero pcte con buena tolerancia a qmt oral, en bcg.// 31-3-25 hijo refiere que ahora esta con tto de 6 meses, esperando el resultado de unos examenes y la dra lo atendera en hls. PACIENTE SE REALIZA EL 03/06 PET-CT PARA EVALUACION POST TTO. EL 06/06 SE SOLICITA RESULTADOS D EPET-CT A HLS, EL 10/09 SE VUELVEMN A SOLICITAR RESULTADOS A HLS DE PET-CT (INFORME E IMAGENES)</t>
  </si>
  <si>
    <t>P) EVALUACION DE PET-CT</t>
  </si>
  <si>
    <t>SEGUIMIENTO TELEFONICO</t>
  </si>
  <si>
    <t>BRUNO ECCHER TORRES</t>
  </si>
  <si>
    <t>SB</t>
  </si>
  <si>
    <t xml:space="preserve">TOMO CONOCIMIENTO DE CASO 19/02 A TRAVES DE DR. HURTADO POR NODULOS PULMONARES EN CONTROL. CITADO CON DRA 21/01. ES EVALUADO POR DRA. HURTADO INDICA PRESENTAR A COMITÉ evidenciando TAC de tórax 02-2025: opacidad nodular peribronquial de morfología irregular periférica en el segmento superior del lóbulo inferior izquierdo, estable en 28 mm de diámetro mayor. 05/03 PRESENTADO A COR, INDICAN Realizar PET- CT y Rm de Cerebro. y representar. 10/03 SE ENTREGA RESOLUCION DE COR, PACIENTE SOLICITA EXAMENES PARA REALIZAR PARTICULAR //26-3 USUARIO CUENTA CON PET + RM + DLCO + EXAMENES EN SISTEMA, P) REPRESENTAR A COMITE. Se presenta a COR 16-04-25 se indica Realizar biopsia linfonodo inguinal/ Realizar entrenamiento pulmonar para cirugía de resección nódulo pulmonar con biopsia intraoperatoria/según resultado biopsia cirugía oncologica/ Evaluación cardiologica y preanestesica. . Dra hurtado entrega resolucion via telefonica. pcte viene a dejar resultado de dclo y eco cardio el 24-04. el 25-04 se solicita priorizar hora con cardiologo para devirar a HLS. hoy 28/04 dr. mavarez indica sobrecupo para el 29-04. PCTE SE TOMA BP INGUINAL, Y SE GESTIONA CX EN HLS, SE OPERA LE JUEVES 05/06 EN HLS P) CIRUGIA. 09/06 ESTA LISTA BP P) IHQ. 12/06 ihq ok, negativo para celulas neoplasicas. PACIENTE OPERADO EN LA SERENA, SE REPRESENTA A COR EL 23/07 INDICAN SEGUIMIENTO </t>
  </si>
  <si>
    <t>CITAR EN 1 MES</t>
  </si>
  <si>
    <t>INFORME DE TAC</t>
  </si>
  <si>
    <t>CARLOS CONTRERAS ROJAS</t>
  </si>
  <si>
    <t>Seguimiento Enf: CONTROL DE CA PULMON OPERADO // CONTROL EN JULIO 2024/AGENDADO 31-7-24. --&gt; 10/7 tomo conocimiento, usuario evaluado en Abril por Dra. Hurtado en BCG, se estipula control en 3 meses (Julio), se encuentra agendado el 31/7, es evaluado, usuario tiene toma de TAC torax en HLS en septiembre y evaluación por Cx de tórax. 6/8 se gestiona orden TAC y exs sangre. P) CITAR EN 2 MESES (SEPTIEMBRE/2024). 17/9 se recibe resultado TAC, se cita para el día 24/9 12:20hrs, evaluado estable sin recidiva, se solicita espirometria y citar en 3 meses. 12/12 se cita para el día 27/12 11:00hrs, evaluado estable, sin cansancio, control 2 meses (Febrero/2025) P) informe TAC torax tomado 18/02. TAC CON INFORME OK SE CITA  PARA EL 28/02.  NSP p) citar. SE CITA EL 05/05 EVALUADO POR DRA. INDICA ESPIROMETRIA BASAL p) CITAR CON RESULTADOS</t>
  </si>
  <si>
    <t>P) CITAR CON ESPIROMETRIA Y CONTROL 3 MESES</t>
  </si>
  <si>
    <t>CONTROL CON ESPIROMETRIA</t>
  </si>
  <si>
    <t>CARLOTA VILLALOBOS BARRAZA</t>
  </si>
  <si>
    <t>Seguimiento Enf: 14/11 tomo conocimiento de caso, evaluada en policlínico broncopulmonar derivada desde extrasistema por sospecha nodulo pulmonar, le solicitarón TAC TAP (orden gestionada por modulo oncológico, priorizada), se tomará examenes de sangre y posterior estudio. cita en 2 semanas P) Citar c/resultados. (toma de tac 26/11, pend informe) 12/12 se cita para el 18/12 13:20hrs c/tac listo., evaluada, se decide EXCEPTUAR GARANTIA, se entrega documento a ges. Corresponde agendamiento en Marzo/2025 c/TAC tórax. //27-3 pregunte a cami tens y no tiene la orden,, n! telef no contestan//02-4-25 SOLICITO NUEVA ORDEN DE TAC DE TORAX PARA PODER CITAR. TAC CON INFORME OK SE CITA PARA 05/05. DRA HURTADO EVALUA Y DECIDE PRESENTAR A COMITE RESPIRATORIO. 26/05 SE DECIDE PRESENTAR A COMITE TORAX. p) PREGUNTAR A DOC POR COR DE RESPIRATORIO. SE AGENDA PARA EL 30/06/2025 11:40.  SE CITA 30/06 SE SUGIERE PET CT FDG, EVALUACION CARDIOVASCULAR , ESPIROMETRIA, DLCO (TRAMITADOS POR COMREA EL 03/07)</t>
  </si>
  <si>
    <t>DERIVADO A CX DE TORAX HLS</t>
  </si>
  <si>
    <t>CARMEN PASTENE PASTENE</t>
  </si>
  <si>
    <t>OBS: TU DE PULMON (MTT?)</t>
  </si>
  <si>
    <t>Se revisan imágenes, corresponde cirugía. Resección de nodullo, biopsia rapida y eventual lobectomia (ganglio subcarinal y precarinal).</t>
  </si>
  <si>
    <t xml:space="preserve">Seguimiento Enf: 24/12 tomo conocimiento de caso, previamente se priorizó IC a broncopulmonar, usuaria es evaluada por broncopulmonar por estudio de extensión que evidenció lesión solida en lóbulo medio, doctora solicita PET-CT, con resultado presentar a comité. P) PRIORIZAR PET-CT (24/12 priorizado) y luego citar para presentar a comité. (24/12 tomo contacto con hija quien refiere ay se tomó PET, el 20/12, pendiente informe). P) INFORME PET PARA CITAR A POLI. 27/12 se recibe resultado pet-ct, se agenda a control para el 30/12 13:50hrs, evaluada , se solicita DLCO (08/01 se solicita DLCO a HLS.), ecocardiograma, espirometria, ev x vascular (02/01 se prioriza IC a box cardiología, pend hora), P) control en 2 semanas. 13/01 se realiza agendamiento para el 17/01 11:40hrs. 14/01 se coordina toma de creatinina. (DLCO se toma prox semana y RMN cerebro el 20/01), luego presentar a COR Torax semana 27/01. 22/01 es presentada a COR tórax, se define cirugía torax en HLS, resección de nodulo. Se envia solicitud de DLCO (se toma 24/01, 30/01 se recibe resultado.) a HLS, PENDIENTE IC A CX TORAX y enviar antecedentes (solicitado a dra hurtado, pend) --&gt; 30/01 se recibe dlco y dra hurtado hizo IC cx torax el 29/01, se envian antecedentes a HLS para evaluación y se entrega resolucion a usuaria, se indica acudir a retiro carpeta antecedentes y entregar RM cerebro tomada en imatec. P) hora en HLS. p) seguimiento febrero SE LLAMA 20/02 NO CONTESTA. SE AGENDA PARA EXAMENES EN hov PARA EVALUACION CON ANESTESISTA EL 3/03/2025, CUENTA CON PASE DE ANESTESIOLOGIA, EN ESPERA DE CIRUGIA. 26-05-2025 SE LLAMA ANATOMIA HLS INDICAN BP PENDIENTE, SE PRIORIZARA. 30-05-2025 BP AUN  PENDIENTE, SE CITA 02/06 CON DRA. HURTADO PARA SEGUIMIENTO. 10/06 BP AUN PENDIENTE EN HLS. 16/06 aun pendiente BP. 04/07 BP OK SE CITA CON DRA. HURTADO. </t>
  </si>
  <si>
    <t>ATENCIONES HLS</t>
  </si>
  <si>
    <t>REVISAR EN QUE VA EN HLS CON GESTORAS DE POLI DE TORAX</t>
  </si>
  <si>
    <t>DANIEL GÁMEZ PEÑA</t>
  </si>
  <si>
    <t>CÁNCER DE PULMON (escamoso ST IV)</t>
  </si>
  <si>
    <t>Cáncer escamoso de pulmon ST IV en espera de PDL1. Corresponde tratamiento de quimioterapia paliativa. Cuidados paliativos.</t>
  </si>
  <si>
    <t>Seguimiento Enf: PENDIENTE TAC DE TORAX Y ESPIROMETRIA --&gt; 10/7 tomo conocimiento, usuario fue evaluado por Dra. Hurtado (10/6) derivado desde consultorio, se solicitó TAC TAP y cerebro (informado), fue visto el 23/7 para toma de biopsia por fibrobroncoscopia (BP PENDIENTE), Se realiza agendamiento para el día 9/8 12:10 hrs para evaluar resultados, es evaluado se evalua espirometria y tac, se le solicita ecocardio(tramitada), IPD CPYAD (tiene cita 13/8) y se solicita DLCO (se envía x correo a daniela taquia + IC). y citar en 2 semanas P) CITAR con resultados y bp. 22/8 se recibe resultado bp de fibrobronco, (mucosa respiratoria con carcinoma, IHQ negativo para celulas neoplasicas??) . P) CITAR c/Dra. HURTADO, se agenda para el 30/8 11:30hrs, evaluado se confirma TU de pulmón, se entrega IPD en unidad GES, además se gestiona orden Rm cerebral, se presentará a COR TORAX. 9/9 se recibe resultado DLCO. y 11/9 se "presenta a cor torax" sin embargo se solicitan mas estudios y no se llega a resolución. p) REPRESENTAR A COR TORAX. 25/9 se presenta a comité, se solicita RM CEREBRAL (lista), pet cet (tramitada), IPD CPYAD (ingrsado), con resultados representar a COR TORAX. ( 25/9 pend pet-ct) 9/10 se prioriza PET-ct c/compra servicio. (17/10 se envia correo para solicitar PDL-1) (24/10 paciente da aviso en modulo que ya se tomó PET). 29/10 se recepciona PET CT informado, se consulta por PDL-1. P) presentar a COR tórax. 06/11 es presentado a comité tórax, se sube resolución, se define por estadio de CA pulmón derivación a QMT paliativa (PENDIENTE, 14/11 aun pend), se solicita resultado de PDL1 a Ayleen quién refiere que estará resultado mañana. 14/11 usuario consulta en modulo, se reitera solicitud para evaluación QMT paliativa y se envía PDL-1 a gestoras HLS. Se consulta a Dra Hurtado x agendamiento. 18/11 se recibe info Catterine HLS que será programado prox semana.  09/01 seguimiento, inició QMT el 02/12 c/21 dias, tiene proxima sesion 13/01. Se consultara por exs previos a 3ra sesion Qmt (pend). consultar Belen HLS x proximo control QMT. Exam 06/02. ver tercera quimio, la semana pasada 3 ciclo de quimi bien tolerado,prox control 05/03 dra. preguntar a belen hls por requerimiento de examenes.SE TOMAN EXAMENES 04/03 p) CONTROL HLS. pcte en qmt 27/05 CONTROL EN POLI DOLOR, SE ACTUALIZA MORFINA</t>
  </si>
  <si>
    <t>VER TERMINO DE CICLOS DE QMT y fecHa de control</t>
  </si>
  <si>
    <t>dar hora</t>
  </si>
  <si>
    <t>DAVID VEGA VEGA</t>
  </si>
  <si>
    <t>QMT</t>
  </si>
  <si>
    <t>Seguimiento Enf: PCTE EN CONTROL POR ONCOLOGIA EN STGO // SE SOLICITA TAC (09-02-24) //AGENDADA 28-6-24. --&gt; 10/7 tomo conocimiento, usuario n oasistió el 28/6, corresponde reagendar c/Dra. Hurtado, usuario tuvo control en Junio por Insituto del Tórax (seguimiento). 19/8 se realiza agendamiento para el 20/8 11:40hrs, es evaluado, recibio 3 ciclos de QMT hasta diciembre/2023 en hospital Tórax, se indica Rx tórax y cita en 1 mes. P) Citar c/resultados (RX tomada y exs sangre listos)  25/9 se realiza agendamiento para el 26/9 09:20hrs, evaluado se mantiene tto y se plantea control en 2 meses. 19/11 se agenda para el día 25/11 14:10hrs, evaluado sin indicaciones. 05/12 citar en 2 meses. 02/01 se realiza agendamiento para el 10/01 11:20hrs c/dra hurtado, evaluado se indica control en 2 meses (Marzo/2025). 28-04 SE COLABORA CON EXPAMENES PENDIENTE AGENDAR CONTROL. 16-05 SE AGENDA CON DRA. HURTADO, ACUDE FAMILIAR NO DEJA NUEVAS INDICACIONES. VER PERIODICIDAD DE CONTROL. EVALUADO EL 21/10/2025 SIN TTO POR EFECTO COLATERAL DE QMT, SOLO EN OPBSERVACION SE EVALUA RX, SE DEJA CONTROL EN 3 MESES</t>
  </si>
  <si>
    <t>citar en 3 meses</t>
  </si>
  <si>
    <t>CITAR ABRIL</t>
  </si>
  <si>
    <t>EFREN ROCCO ORTIZ</t>
  </si>
  <si>
    <t xml:space="preserve">CIRUGIA Y REPRESENTAR </t>
  </si>
  <si>
    <t xml:space="preserve">el 22/04 tomo conocimiento de caso de pcte PRESENTADO A COMITÉ DE DIGESTIVO BAJO, DONDE SE INDICA PRESENTAR A COMITÉ DE TORAX. SE PRESENTA A COMITÉ DE TORAX 30/04 INDICANDO RESECCION D ELSION Y BP INTRAOPERATORIA. 15/05 SE ENVIA CARPETA DE ANTECEDENTES CON EXAMENES PREOPERATORIOS ACTUALIZADOS. 19/06 LLAMO PAR AHACER SEGUIMIENTO, FAMILIA RINDICAN QUE AUN NO RECIBEN HORA DESDE hls. 19/06 SE ENVIA CORREO A GESTORA. 10/07 SE VUELVE A LLAMAR A GESTORA, SOLICITA PRIORIZACION. </t>
  </si>
  <si>
    <t>P) llamar a HLS por 1° atencion</t>
  </si>
  <si>
    <t>PENDIENTE AGENDAMIENTO CON DRA. URBINA EN HLS</t>
  </si>
  <si>
    <t>pendiente control con drs. Urbina espi+dlco ok (17/10)</t>
  </si>
  <si>
    <t>EMELINA DEL CARMEN MOROSO VILLALOBOS</t>
  </si>
  <si>
    <t>CÁNCER DE PULMON operado</t>
  </si>
  <si>
    <t>Seguimiento Enf: CA DE PULMON OPERADO // SE SOLICITITO TAC DE TORAX + CEREBROM ABDOMEN + PELVIS CON CONTRASTE-AGENDADA 24-7-2024. --&gt; 10/7 tomo conocimiento, usuaria vista en Abril/2024 se solicitó estudio TAC (informado), está agendada 24/7 c/Dra. Hurtado, NSP. 29/7 se cita a usuaria para 29/7 12:00hrs, NSP. 19/8 se realiza agendamiento para el día 23/8 12:10hrs, evaluada, se indica Rx tórax y control en 2meses. P) CITAR EN OCTUBRE/2024. 23/10 se realiza agendamiento para el día 30/10 13:00hrs, evaluada se solicita control en 2 meses. 04/12 se cita para el día 13/12 11:40hrs, evaluada se estipula control en 3 meses. (Marzo/2025) c/TAC torax. 26/12 usuaria mal de salud, se agenda control el 30/12 14:10hrs, evaluada s/recidiva tórax, se mantiene tto y control en 2 meses .CITADa 12/02. evaluada dra. pide traer examenes de falp P) evaluar en 1 semana. se agenda 24/01 con dra. hurtado NSP. P) Reagendar y pedir examenes de falps // se agenda para 2-3 //2-4-25 EN CONTROL CON DRA HURTADO, CON PETCT DE 20-2 DE FALP Y ADEMAS  INDICA QUE TIENE CONTROL CONTROL EN FALP CON IMAGENES EN 3 MESES EN JUNIO. CITADA EL 04/06 CON dRA. HURTADO NO DEJA PERIODO DE PROXIMO CONTROL. SE CITA EL 25/08 DOCTORA DEJA TTO Y SOLICITA CONTROL EN 1 MES</t>
  </si>
  <si>
    <t>1 SEMANA</t>
  </si>
  <si>
    <t xml:space="preserve">CITAR  EN 3 MESES  </t>
  </si>
  <si>
    <t>Paciente en atenciones por HLS. Pendiente toma de EBUS, tramitado por HLS. El 19/02 se llama a gestora, no ocntesta. P) enviar correo. P) LLAMAR A PACTE Y VERIFICAR ESTADO DE PROCESO// 2-4-25 USUARIA REFIERE QUE SE ENCUENTRA EN SU 2° QUIMIO,  EL 8 DE ABRIL TIENE SU TERCERA QUIMIO. 15/05 PCTE AUN EN QMT. EL 14/07 SE CITA A CONTROL CON DRA. HURTADO, EVALUA Y CITARA CON RESULTADO DE SEGUNDO PET QUE SERA TOMADO EN AGOSTO</t>
  </si>
  <si>
    <t>CON RESULTADO</t>
  </si>
  <si>
    <t>DRA. URBINA</t>
  </si>
  <si>
    <t>P) CITAR CON RESULTADO DE PET-CT DE HLS</t>
  </si>
  <si>
    <t xml:space="preserve">HACER CONTACTO TELEFONCO CON PCTE </t>
  </si>
  <si>
    <t>HECTOR CORTES CORTES</t>
  </si>
  <si>
    <t>Tumor pulmonar</t>
  </si>
  <si>
    <t>no quiso diagnostico</t>
  </si>
  <si>
    <t>PCTE CON APERTURA GES DE PULMON p) espirometria, Pet-ct, y RM, 3-4-25 solicito priorizacion de IC cardio. 02/05 pcte con Tac TAP y eco cardio listo se cita para el 02/05. pcte evaluado por dra.hurtado oendiente definir conducta. 13/06 se solicita repetir TAC DE TORAX SIMPLE, PET-CT Y RNM CEREBRO. SE CITA PCTE A POLI, QUINE INDICA NO SE REALIZARA CIRUGIA SI ES CANDIDATO A RESOLUCION QUIRURGICA. SOLO SE MANTENDRA EN CONTROL CON IMAGENES</t>
  </si>
  <si>
    <t>P) VER PERIODOS DE SEGUIMIENTO CON TAC</t>
  </si>
  <si>
    <t>TAC OK OCN INFORME</t>
  </si>
  <si>
    <t xml:space="preserve">CITAR </t>
  </si>
  <si>
    <t>INGRID DEL CARMEN IZQUIERDO RAMOS</t>
  </si>
  <si>
    <t>ETAPICACION</t>
  </si>
  <si>
    <t>CIRUGIA + DLCO</t>
  </si>
  <si>
    <t xml:space="preserve">Seguimiento Enf: SE ENTREGA INFORME DE COMITÉ --&gt; 9/7 tomo conocimiento, usuario en controles con Dra. Hurtado, fue presentada a comité y se derivó a HLS con Dra. Urbina, se solicitó DLCO  para el 27/6 (pend resultado), pendiente toma de TAC torax en julio y evaluar en HLS para Intervención QX. 8/8 se recibe resultado DLCO, se consulta por informe TAC tórax (tomado 2/7 pero sin informe), se manda a priorizar informe. Corresponde con estudios enviar antecedentes a HLS. 19/8 se recibe estudio informado, se envía correo a gestoras HLS para eventual representación a comité de tórax, se recibe hora evaluación para el 28/8 15:00hrs c/dra. Urbina en HLS. P) CONSULTAR TORAX (16/10 se reconsulta por caso, 19/11 se vuelve a consultar) 20/11 2/9 se solicitó pabellón, control 7/10,. sE PROGRAMARÁ fines noviembre. 28/11 se recibe correo que se programará mediados diciembre, se solicita actualizar TAc tórax c/c (tomado 16/12, pend informe) + exs sangre y se entregan en modulo oncológico. 02/01 se envia TAc tórax informado + exs sangre. P) INT QX en HLS. pendiente seguimiento.pcte rechaza operacion  en hls, p) entregar papel renuncia. ver controles con dra. hurtado. pcte al interior de combarbala cuidando a papa, rechaza cirugia, no ha ido a firmar rechazo hoy 03/03//27-3 no ha firmado aun. 17/06 sin controles . pACIENTE VIENE A CONTROL Y DECIDE OPERARSE, SE INDICA TAC DE TORAX, PENDIENTE CITAR TAC OK// PACIENTE ETAPIFICACION </t>
  </si>
  <si>
    <t>P) PCTE QUIERE OPERARSE REETAPIFICAR</t>
  </si>
  <si>
    <t xml:space="preserve">TAC OK </t>
  </si>
  <si>
    <t>IVES DIAZ BUSTAMANTE</t>
  </si>
  <si>
    <t xml:space="preserve">SEGUIMIENTO CON IMÁGENES </t>
  </si>
  <si>
    <t>Seguimiento Enf: SIN EVIDENCIA DE RESIDIVA TUMORAL (19/4) // CONTROL EN JULIO 2024 --&gt; 9/7 tomo conocimiento, se indicó control en Julio/2024. P) Citar c/dra. Hurtado. 5/8 se realiza agendamiento para el 6/8 11:00hrs, evaluado, se solicita IC a dermatología (priorizada, se da hora 9/8 08:00hrs, evaluada, se indica Ic a cx menor, se prioriza, se recibe hora 4/9 09:00hrs P) resultado bp) y citar en 1 mes.P) CITAR EN SEPTIEMBRE c/Dra. HURTADO. 24/9 se realiza agendamiento para el día 4/10 11:30hrs., evaluado sin recidiva y estable, prox control 4 meses. P) CITAR en FEBRERO/2025. 23/01 se realiza agendamiento para el día 31/01 12:00hrs. ev por dra. hurtado, P citar en 1 mes. CITADO EL 12/03 EVALUADO POR DRA. HURTADO INDICA ECO ABDOMINAL Y CONTROL EN 3 MESES. 16/06 NO SE HA TOMADO ECO ABDOMINAL.</t>
  </si>
  <si>
    <t>HOV (Dra. Hurtado // Dr. OSMAN)</t>
  </si>
  <si>
    <t>p) CONTROL EN 3 MESES (DICIEMBRE)  CON TAC TORAX</t>
  </si>
  <si>
    <t>TAC OK</t>
  </si>
  <si>
    <t>JOELIO DEL ROSARIO CORTÉS TORRES</t>
  </si>
  <si>
    <t>Corresponde evaluacion en cirugia de torax. DLCO. Espirometria. Actualizacion de imagenes con TC TAP. Toma de biopsia de
adenopatias y nodulo pulmonar.</t>
  </si>
  <si>
    <t>Seguimiento Enf: PET LISTO-PENDIENTE EVA CON RESULTADOS, REPRESENTAR EN COMITÉ, DON JOELIO NO ESTA SEGURO DE ACEPTAR  RECIBIR TTO POR TU PULMON. AGENDADO EL 24-7-24, usuario evaluado, se evalúa pet-ct con evidencia de nodulos pulmonares, P) informe resonancia cerebral, dra. hurtado sugiere toma de EBUS, representar a comité y CITAR EN 2 SEMANAS. 2/8 se cita para informe comité el 3/8 09:00hrs 2/8 se cancela por agenda. P) PRESENTAR A COR TORAX VS CONSULTAR DRA HURTADO. 23/10 se presenta a comité tórax, se envia orden DLCO a HLS, se gestiona TAC TAP y se envía IC a cx tórax a HLS. 19/11 se envia TACTAP informado y se consulta por demás procesos cx torax (toma bp pulmon y ev. x cx torax) P) resultado DLCO y enviar a HLS. 09/12 se envian resultados a HLS y se solicita atención. P) Seguimiento Enero/2025. 13/01 seguimiento, aun no tiene atenciones para que lo operen, se reitera solicitud x correo, se intenta llamar pero catty no contesta. P) Seguimiento Febrero/2025 y LLAMAR A GESTORA HLS: --&gt; se recibe correo respuesta de citación en noviembre/2024 donde rechazo procedimiento ebus x alto riesgo cardiaco, luego se recibe correo con hora citación para el 21/01 c/Dra Urbina.  No lo ha evaluado doctora, se cancela hora, paciente en bcg con disnea al esfuerzo. se llam A GESTORA POR PACIENTE DICE QUE REVISARA CASO. SE AGENDA PACIENTE 02/04 15°° CON DRA. URBINA EN HLS. 19/06 se envia correo a gestora }hls, 23/06 se llama agestora HLS POR CONTROL PENDIENTE. SE LLAMA A HLS NUEVAMENTE PARA QUE DE HORA, CITAN PARA EL 28/07, LUEGO INDICAN NUEVA HORA PARA EL 14/07. EVALUADO POR DRA. URBINA QUIEN SOLICITA TAC DE TORAX</t>
  </si>
  <si>
    <t>p) EVALUACION EN HLS SOLICITA TAC DE TORAX</t>
  </si>
  <si>
    <t>PACIENTE SIN REEVALUACION POR HLS, NO SE HA REALIZADO TAC DE TORAX A LA FECHA</t>
  </si>
  <si>
    <t>JORGE BARRAZA PIZARRO</t>
  </si>
  <si>
    <t>PEDIR EXAMENES</t>
  </si>
  <si>
    <t>TOMO CONOCIMIENTO DE CASO 18/02/2025 SE SOLICITA TAC DE TORAX CONTROL PARA PRESENTAR A COR,  LOS NODULOS PULMONARES NO SON SUSCEPTIBLES DE BIOPSIAR A TRAVES DE BRONCOSCOPIA, SERIAN TOMA DE BIOPSIA QUIRURGICA, PERO SU FUNCIÓN CARDIACA CONTRAINDICARIA DICHO PROCEDIMIENTO.  SE TOMA CREA 21/02. EL 24/02 S EREVISA CREA  EN 3.18 P) VER POSIBILIDAD DE TAC S/C. SE TOMA EL 12/03 TAC DE TORAX S/C p) EVALUAR. se realiza eco cardio, se agenda para el 07/05 con cardiologo para pase peor no asiste. p) llamar. PCTE SE CONFUNDE CON DIA DE AGENDAMIENTO DE CARDIOLOGO, SE SOLICITARA NUEVA HORA. EVALUADO EL 09/07 CON CARDIOLOGO SOLICITA EVALUACION CON NEFROLOGO Y DOCUMENTOS DE CORONARIO O PROCEDIMEINTOS EN HLS</t>
  </si>
  <si>
    <t>CITADO 26/02</t>
  </si>
  <si>
    <t>JUAN EUGENIO RODRÍGUEZ RIVERA</t>
  </si>
  <si>
    <t>bp (+) renal</t>
  </si>
  <si>
    <t>CLINICA MEDS</t>
  </si>
  <si>
    <t>Seguimiento Enf:  (GARANTIA RETRASADA)14/5 PENDIENTE TOMA DE BP EN HLS. SE SOLICITA PRIORIZACIÓN A HLS. --&gt; 8/7 corresponde consultar por bp en HSP (26/7 aún no informada). P) consultar por bp, 22/8 se consulta a anatopato HSP y no tienen registro de biopsia de usuario. 30/8 se realiza seguimiento, usuario aun en espera de biopsia, me comunico con Catterine(hls) y me dice que está en lista de espera y se priorizará con nylenka, usuario ha empeorado su estado de salud levemente. Se realiza agendamiento para el 6/9 11:30hrs para evaluación, evaluado se solicita DLCO y espirometría  y citar en 1 mes. 13/9 Dra confecciona ordenes, se gestiona orden DLCO+IC a DanielaT. y se avisa a familiar que retire espirometria. y CITAR EN OCTUBRE/2024. (8/10 se consulta x resultado DLCO). 23/10 se recibe DLCO, se agenda para el día 28/10 09:20hrs, evaluado se solicita TAc tórax s/c y citar con resultados, además de Cx pendiente CONSULTAR EN HLS. 20/11 usuario fue evaluado el 16/11 evaluado, se indica presentar a comité TORAX x resultado DLCO, TAC tórax ya visto. 10/12 se envia correo a HLS con DLCO y resolución comité para programara INT. QX. 23/12 citado el 24/12 11:40hrs c/Dra Hurtado por cons. rep., evaluado con DLCO disminuido y aún fuma. 02/01 se gestiona exs sangre + ECG para preoperatorio cirugía torax HLS, con resultados enviar a HLS. P)resultados(07/01 se toman).  13/01 se envian resultado a HLS. P) INT QX. 21/01 SE RECIBE CORREO INFORMANDO QUE SE DERIVÓ A SEGUNDO PRESTADOR (CLINICA MEDS LA DEHESA,SANTIAGO). p) SEGUIMIENTO. 20/01 se llama contesta hija, refiere pcte se realiza examenes y resultado con MTT en cerebro, riñon, pulmon y cadera. bp en cadera para ver malignidad. se evaluara si derivan a RD o QMT. solicita ev x endocrinologa//26-3-25 SE REALIZO IPD DE DESCARTE. P) EVALUAR PERIODO DE CONTROLES. PCTE SE DERIVA CON MD PARA INDICACION DE INSULINA, SE CITA  PACIENTE A CONTROL CON DR.A HURTADO PARA EVALUAR INDICACION DE HIERRO SACAROSA. DRA. HURTADO REALIZA INDICACION POR SISTEMA EL 10/07. P) CONTROL</t>
  </si>
  <si>
    <t>VER PERIODO DE CONTROL</t>
  </si>
  <si>
    <t>REV  (JULIO)</t>
  </si>
  <si>
    <t>NO SE INDICA FECHA DE CONTROL</t>
  </si>
  <si>
    <t>JUAN LUNA OLIVARES</t>
  </si>
  <si>
    <t>OBS: NODULOS PULMONARES SOSPECHOSOS</t>
  </si>
  <si>
    <t>Paciente con MM diagnosticado en control con hematología, imagen pulmonar sospechoda de broncogenico primario vs silicoma. Se plantea por comité de tórax si no hay contraindicación por hematología, pruebas de funcion pulmonar para resección del mismo.</t>
  </si>
  <si>
    <t>Seguimiento Enf: 26/9 tomo conocimiento de caso,  derivado por hematóloga por sospecha de nodulos pulmonares en lobulos superiores derecho sin posibilidad de descartar lesión broncogénica primaria (según TAC TAP 28/8), quedó con indicación de traer imagenes previas y con cupo para el día 2/10 11:40hrs con broncopulmonar. Se realiza seguimiento me comunico vía telefónica con usuario, me informa que no tiene examenes previos ya que usuario siempre estuvo "sano" y que estará en espera de solicitud de TAC tórax. 7/10 fue evaluado el 2/10  se indicó presentar a COR tórax y se solicitó TAC tórax A.R. para noviembre/2024. P) CITAR c/RESULTADOS vs Presentar a COR TORAX 15/10 evaluado por consulta rep., se toma el TAC 28/10. 06/11 usuario presentado a COR tórax, se define pruebas de funcionpulmonar (DLCO) para resección, sin embargo primero se presentará a COR hematología por reciente mieloma multiple. P) presentación a COR hemato y solicitar estudios según resolución. 11/11 Dra solicita estudios por comité DLCO (tramitado con HLS), PET-CT + ecocardio + espirometria. P) citar c/resultados. 20/11 se prioriza PET-CT c/compra servicio. 22/11 evaluada x consulta rep. se define evaluación x cx torax? (se consulta Dra Hurtado) y IC a cardiologia (se prioriza). 18/12 evaluado x Dr Mavarez quien otorga pase cardiológico. P) Estudios (DLCO + PET) y enviar a HLS (pet ya evaluado, dlco solicitado). 13/01 se realiza seguimiento, usuaria acudió el 06/01 c/Dra Urbina, le solicitó toma de RMN cerebro (fecha el 31/01), luego con estudios tendra evaluación y tendra intervención quirúrgica. pendiente con resultado coordinar control x cx torax HLS (hablar a catterine) hablo con hija, inicio qmt 1 ciclo, 2 ciclo 18/02, 3° cilco 25/05. luego control 10/03. pcte en bcg, buena tolerancia a qmt. se tomaran examenes de sangre P) operacion,. SE EXEPTUA GARANTIA  EN ESPERA DE TTO.</t>
  </si>
  <si>
    <t>P) evaluar proceso en HLS</t>
  </si>
  <si>
    <t>PENDIENTE HACER CONTACTO TELEFONICO A PACIENTE Y GESTORA DE HLS</t>
  </si>
  <si>
    <t>LUIS ANÍBAL FUENZALIDA PUIG-MIR</t>
  </si>
  <si>
    <t xml:space="preserve">Seguimiento Enf: PRIMARIO HEPATICO- MT UNICA PULMONAR OPERADA. CONTROL DE SEGUMIENTO JULIO 2024/ AGENDADO 31-7-24 --&gt; Usuario no se presenta, corresponde reagendamiento para indicar seguimiento. 9/8 se realiza agendamiento para el 10/8 13:00hrs, evaluado, se evalua TAC anterior, se solicita TAC tórax c/C y citar en 2 meses. P) CITAR EN OCTUBRE/2024, CITADO para el 7/10 09:00hrs, evaluado se solicita exs sangre (perfil inmuno) y citar en 1 mes. P) CITAR en NOVIEMBRE/2024. (14/10 se prioriza IC a derma). 08/11 seguimiento, el 15/10 OPERADO DE HIGADO EN HLS, con drenaje, tiene citación 11/11 en HLS. P) citar broncopulmonar en diciembre/2024. // visto 12/11 x Dr. OSMAN, se solicita pabellón cx menor, se prioriza IC (hora el 21/11) 02/12 se derivará a HLS para atención drenaje con Dr. Lima en HLS, aún hospitalizado, tiene citación 12/12 con oncología HLS sin embargo en espera de traslado a HLS por gestion cama, se difiere control broncopulmonar para enero. 23/12 se realiza agendamiento para el día 27/12 11:40hrs, evaluado (sin indicaciones de control). P) Consultar Dra hurtado. consultar dra hurtado x indicaciones de controles. BP PIEL PECTORAL (+) CBC P) CITAR CON OSMAN citado el 11/03 evalua zona sin recidiva, se agenda para cx menor por queratosis de rostro.//CITAR CON DRA HURTADO. SE CITA CON DRA. POR SOLICITUD DE HLS SE PIDE ESPIROMETRIA. </t>
  </si>
  <si>
    <t>DRA HURTADO / DR OSMAN</t>
  </si>
  <si>
    <t>P) CITAR con osman</t>
  </si>
  <si>
    <t>PACIENTE DERIVADO A HLS PARA QMT POR DG DE CA DE COLON</t>
  </si>
  <si>
    <t>CITAR A CONTROL</t>
  </si>
  <si>
    <t>MARGARITA CORTÉS GARCÍA</t>
  </si>
  <si>
    <t>NODULO PULMONAR NEOPLASICO, TU BRONCOGÉNICO PRIMARIO</t>
  </si>
  <si>
    <t>Seguimiento Enf: Usuaria es presentada a comité tórax el 3/7 por Dra. Hurtado, por antecedentes se decide cuidados paliativos exclusivos (ya ingresada). Correpsonde citar entrega resolución. 5/7 es citada con Dra. Garcia (subrogante T) se entre resolución COR que indica CPE, además se solicita tomarse perfil PA y citar en 2 meses c/broncopulmonar. Se cita a usuaria para el 30/7 11:00hrs para entrega resolucion por Dra. Hurtado, es evaluada, se indica control en 1 mes (CITAR fines AGOSTO/2024. 4/9 se realiza agendamiento para el 11/9 13:00hrs, evaluada sin embargo se evalua EPOC y no nodulo pulmonar, se indica control en 2 meses. 12/9 se confirma TU pulmón y se excepciona etapificación TU pulmón.  P) CITAR EN NOVIEMBRE/2024 (c/toma RX torax previa). 28/10 se cita usuaria para el 06/11 13:00hrs, se tomará Rx tórax previo control, evaluada se mantiene nodulo estable, control 3 meses. P) CITAR EN FEBRERO/2025. 23/01 se realiza agendamiento para el día 31/01 11:20hrs, evaluada por dra quien indica examenes y control en 1 mes con rx torax y gasometria.  20/02 EVALUADA PCTE ESTABLE, CON CANSANCIO TOLERABLE, CONTROL EN 2 MESES. sE CITA EL 23/06 A LAS 11 HRS.</t>
  </si>
  <si>
    <t>P) SE CITA EL 23/06 A LAS 11</t>
  </si>
  <si>
    <t>PACIENTE CUIDADOS PALIATIVOS EXCLUSIVOS</t>
  </si>
  <si>
    <t>MARÍA GENOVEVA SOTO SIEMSEN</t>
  </si>
  <si>
    <t>SIN FECHA EXACTA</t>
  </si>
  <si>
    <t>CIRUGIA POR MULTIPLES NODULOS PULMONARES</t>
  </si>
  <si>
    <t>Seguimiento Enf: EN QMT ORAL EN HLS- PENDIENTE CIRUGIA DE TORAX ACTUAL, SE GESTIONA EXAMENES PREOPERATORIOS EN HOV- SE ENVIA PARACLINICOS A HLS 26/JUNIO 2024. PASE CARDIOLOGICO DE 26/JUNIO 2024. --&gt; corresponde seguimiento en Agosto por proceso HLS. 3/9 acude esposo de usuaria presencial, se sube epicrisis de servicio cirugía HLS, se realiza agendamiento para el 9/9 09:20hrs, evaluada, usuaria operada el 15/8 por nodulos en LSI, se le tomó biopsia. P) citar en 2 semanas y esperar resultado biopsia (P) priorizar). 11/9 se realiza agendamiento para el 30/9 09:20hrs, (ingreso IPD CPYAD 12/9, evaluada x dr. Aly). 4/10 fue evaluada el 30/9 se solicita control en 2 sem. P) CONSULTAR POR ATENCION c/DRA URBINA EN HLS. 8/10 se prioriza atencion con Dra Urbina en HLS. 10/10 se cita con Dra Hurtado 16/10 13:00hrs, evaluada en espera de resultado biopsia por VTC y cita en 2 semanas. 28/10 se realiza agendamiento para el 08/11 12:00hrs, evaluada estable se indica citar el 18/11 para extender receta (lista). P) resolución por HLS dra urbina. P) Seguimiento Diciembre. seguimiento x operación en cx torax HLS. presentan a COR el 27/05/25 indican Mantener en cuidados paliativos. Mantener Erlotinib</t>
  </si>
  <si>
    <t>CONTROL 2 MESES</t>
  </si>
  <si>
    <t>CITAR EN DICIEMBRE</t>
  </si>
  <si>
    <t>MARIELA FIGUEROA ACUÑA</t>
  </si>
  <si>
    <t>En vista de enfermedad ST IV (nodulo suprarrenal) PET-CT de base. Solicitar PDL-1. Corresponde tratamiento de quimioterapia paliativa. Cuidados paliativos.</t>
  </si>
  <si>
    <t>Seguimiento Enf: 29/8 tomo conocimiento de caso, usuaria evaluada por broncopulmonar, derivado de extrasistema por sospecha de neoplasia maligna de pulmon, se evalua TAC que evidencia lesión solida expansiva, se solicita toma de biopsia por fibrobroncoscopia, RMN cerebral (gestionada), PET, espirometria  y ecocardiograma. P) CITAR c/RESULTADOS (citar en 2 semanas). 23/9 RM cerebral lista y ecocardiograma, Pend. PET y fibrobronco (tomada 17/9). P) CITAR c/resultado. (18/10 se prioriza, aun pend.). 24/10 se recibe biopsia postivica para CA pulmon. P) agendamiento c/Dra Hurtado e IPD confirmación. 25/10 se cita para el 08/11 11:40hrs, evaluada se confirma TU de pulmón. 13/11 se presenta a comité oncológico, se define solicitar pdl-1(solicitado), derivar a QMT paliativa HLS (correo listo, p)hora)) y cuidados paliativos (IPD entregado), usuaria en conocimiento de resolución. P) evaluación onco para QMT HLS, 28/11. ya fue evaluada, se solicita bloques de inclusión y retiro de anatopato. 24/12 se recibe correo desde Santiago solicitando adendum de bp para enviar a estudio clínico a EEUU, dra Garzón en conocimiento, usuaria avisada debe traer bloques de inclusión para realizar adendum. 27/12 se recibe resultado adendum biopsia pulmonar, se sube a ficha y se envía a centro estudio clínico. P) seguimiento x estado de salud y proceso estudio clínico. p) pet ct2 en coquimbo.el 12 p) informe. evaluado en control telemedicina 18/02 solicito resultado para ver conducta, pcte con disnea leve al esfuerzo.  PCTE CON QMT EN HLS LLEVA 4 DE 6, SIN HORA EN POLI DEL DOLOR PEOR SIN DOLOR Y ATENCIONES CON PSICOLOGA. CITAR EN 3 MESES OCTUBRE/ 2025</t>
  </si>
  <si>
    <t xml:space="preserve">seguimiento por enfermeria </t>
  </si>
  <si>
    <t xml:space="preserve">MIRTHA ANGÉLICA ROBLES PORTILLA     </t>
  </si>
  <si>
    <t>RT+ TERAPIA SISTEMICA</t>
  </si>
  <si>
    <t>Seguimiento Enf: RT A MT CEREBRALES-Y TERAPIA SISTEMICA PALIATIVA EN HLS con citación el 5/6, es evaluada por Dra. Hurtado, se indica control en 1 mes. 31/7 se realiza agendamiento para el día 16/8 11:30hrs, se cancela poli y se reagenda para el día 3/8 09:00hrs, evaluada y estable (sin más indicaciones) citar en 1 mes. 4/9 se realiza agendamiento para el 13/9 11:30hrs, evaluada estable, citar en 2 meses. P) CITAR EN NOVIEMBRE/2024. 28/10 se realiza agendamiento para el 05/11 12:20hrs, evaluada se mantiene tto y control 2 meses. 02/01 se realiza agendamiento para el día 06/01 09:20hrs c/Dra hurtado, evaluada se mantiene tto y control en 2 meses (Marzo/2025). citada 07/03 evaluada por dra. indica control en 2 meses. 12/05 CITADA CON DRA HURTADO. P) VER PROXIMO CONTROL. EVALUADA EL 28/08 DOCTORA INDICA EVALUACION Y OBSERVACION . ´pcte evaluada en control en 20/10/25 pcte en inmunoterpia, control en 3 meses</t>
  </si>
  <si>
    <t>cada 3 meses</t>
  </si>
  <si>
    <t>PERIODOS DE CONTROL POR DRA. HURTADO</t>
  </si>
  <si>
    <t>citar control</t>
  </si>
  <si>
    <t>NELSON PIZARRO ASTUDILLO</t>
  </si>
  <si>
    <t>OVALLE / LASERENA?</t>
  </si>
  <si>
    <t>Seguimiento Enf: 30/12 tomo conocimiento de caso, usuario derivado desde servicio Urgencias HLS por sospecha de TU de pulmón con lesión expansiva en imagénes, es evaluado en consulta broncopulmonar se solicita RM cerebro, TAC abdomen y pelvis, examenes sanguíneos. Usuario acude a modulo oncológico para entregar ordenes. P) llamar a ges(no contesta, 02/01 se apertura garantia) para abrir garantia. P) encuesta RM cerebro. // 16/01 se reciben resultados RMN cerebro y TAc. Se cita para el día 20/01 09:00hrs, evaluado se indica citar a fibrobroncoscpia y subir imagenes tac torax a sistema?.. P) fibrobronco, se toma martes 18/02 9:30 P) bp. PCTE EVALUADO EL 07/03 SE ENTREGA DG CA DE PULMON, 26/3 presentado a comite con ihq, SOLICITAN PET CT URGENTE + MUTACIONES Y DRA SOLICITA  ESPIROMETRIA, DRA LLAMARA A USUARIO//usuario se tomara de forma particular pet, se envia correo con orden de mutaciones// hay una espirometria de enero en sidra// 1-4-25 se recibe mutaciones//2-4-25 tendra hora de petc ct mañana, envio mutaciones a gstora de hls. SEREALIZA PET-CT  SE ENVIA A DRA. HURTADO SE REPRESENTA A COR EL 16-04-25 INDICAN QMT PALIATIVA Y CPYAD. 17-04-25 SE ENVIA IC A GESTORA HLS PARA EV. CON ONCOLOGIA. SE CITA EL 21-04-25 SE ENTREGA RESOLUCION. CITADO EL 02/06 EVALUADO POR DRA. HURTADO EN QMT 2 SESIONES</t>
  </si>
  <si>
    <t>ODULIO DEL CARMEN ARAYA ACUÑA</t>
  </si>
  <si>
    <t xml:space="preserve">RT +QM </t>
  </si>
  <si>
    <t>Seguimiento Enf:EN ATENCIONES EN HLS // TAC CON LEVE AUMENTO DE LA MASA PULMONAR  // SE MANTIENE TTO / AGENDADO 26-7-2024. --&gt; usuario tenia control pendiente en junio, se citó para el 26/7, sin evolución. 2/8 se realiza seguimiento, usuario vio a doctora y le actualizó tto farmacológico, tiene cita el 5/8 en HLS para toma de prueba de captación O2, posteriormente tiene otro control para exámenes. Usuario fue citado el 25/7 con dra. hurtado (sin registro), le correspondia control en 1 mes, familiar acude a consultar a modulo por atención, se realiza agendamiento para el 4/9 14:00hrs, evaluado, se entregan medicamentos, se toma gases arteriales, se indica Oxigeno domiciliario y citar en 2 meses con Rx tórax. P) CITAR EN NOVIEMBRE/2024. 28/10 se cita a usuario para el 04/11 09:40hrs, evaluado se indica tto y control 2 meses. 27/12 se realiza agendamiento para el día 30/12 13:00hrs, evaluado, se mantiene tto y control en 1 mes (Enero/2025). 20/01 se realiza agendamiento para el 29/01 13:00hrs., evaluado en controles x HLS en cuidados paliativos. --&gt; control en 1 mes (fines febrero/2025). pcte postrado desde febrero en CPyAD. FAMILIA PIDE CONTROL. se agenda para el dia 27/06 a las 11</t>
  </si>
  <si>
    <t>P) mantener controles en CPYAD.</t>
  </si>
  <si>
    <t xml:space="preserve">ver si familiar quiere venir a control </t>
  </si>
  <si>
    <t>OSCAR PONCE CASTILLO</t>
  </si>
  <si>
    <t>NODULO PULMONAR / MTT pulmonar</t>
  </si>
  <si>
    <t>Seguimiento Enf: 18/7 tomo conocimiento de caso, usuario  con GARANTÍA GES RETRASADA (hasta 23-08) fue evaluado por Dra. Hurtado en Junio/2024, usuario con antecedentes de CA de laringe que actualmente se encuentra con traqueostomía, fue derivado por toma de TAC en consultorio que evidenció nodulo pulmonar, se solicitaron estudios TAC TAP y cerebro c/c (tramitado 9/7, listo ), ecocardiograma (pend.) y evaluación cardio (13/8 se realiza agendamiento para el día 30/8 11:20hrs c/ cardiologo) P) citar con resultados c/Dra. Hurtado. 28/8 se presenta a comité Tórax, se indica resolución quirurgica, apurar estudios y solicitar RM cerebral para enviar a HLS.  P) resultados y enviar a HLS. 9/10 se envian antecedentes a HLS. 17/10 se envia pase caridologico.  05/11 se recibe info de HLS que usuario se programará según disponibilidad de pabellón (en relación a reclamo realizado). Usuario se debe descartar porque corresponde a mtt pulmonar por Ca de laringe 2021. 15/11 se realiza agendamiento para el 18/11 14:10hrs, se decide resolución por cirugía torax hls, en programación. 21/11 caso visto x dra hurtado, se indica CITAR a CONTROL. 6/12 operado, 24/12 en HLS para retiro de drenaje, le tomaron biopsia, citado el 27/12 11:20hrs c/Dra Hurtado, evaluado ya operado en HLS, se solicitan imagenes x HLS y pendiente biopsia pulmonar (en HSP, consultar), control 2 meses (Febrero/2025) --&gt; 16/01 se consulta x resultado bp en HSP, se prioriza, podría estar el 20/01. luego citar a poli. 21/01 se conssulta anatopato HSP pero bp aun no lista.  presentado a COR torax 29/01, bp lista subida a sidra P) REPRESENTAR CON IMAGENES EN COMITE CYC HLS. SE TOMA TAC TORAX 10/02. P) REPRESENTAR HLS (EN TORAX O CYC). Se toma tac en HLS 10/02. Se representa en COR CyC 28/02/2025. SE INDICA TTF1, PET-CT, RNM CEREBRO Y PD-L1. EXAMENES TRAMITADOS POR HLS//1-4-25 SE PREGUNTA A GESTORA DE HLS POR LO PENDIENTE, Y REFIEREN QUE LO TIENEN AL TANTO, YA TRAMITARON EL PDL1. PCTE SE VA A CLINICA MEDS  COMOS EGUNDO PRESTADOR DONDE INDICAN QUE TUMOR ES MTT POR CA DE ALRINGE OPERADO. SE ENTREGA IPD DE DECSARTE 05/06. SE REALIZA IC A CyC, SIN PODER AGENDAR POR AUSENCIA DE POLI DE DR. OYARZUN... AUN ASI FAMILAIR INDICA QUE SEGUIRA ATENCIONES POR HLD. CON DR. SCARTON . pcte subido a plataforma comite para presentar eventualmente el 27/06</t>
  </si>
  <si>
    <t>Dra. Hurtado</t>
  </si>
  <si>
    <t>ESTA CON INMUNOTERAPIA EN HLS</t>
  </si>
  <si>
    <t>OTILIA PIZARRO LÓPEZ</t>
  </si>
  <si>
    <t xml:space="preserve">RESECCION BP INTRAOPERATORIA </t>
  </si>
  <si>
    <t>Seguimiento Enf: PENDIENTE BP EN HLS-SE ENTREGA RESOLUCION DE COMITÉ // SE EVIAN ATENCEDENTES A CX HLS --&gt; se realizó DCLO el 27/6, me informa que aún no la llaman por procedimiento, se reitera solicitud x correo a gestora HLS. Corresponde con resultado DCLO  (se prioriza resultado 19/8) y toma de biopsia por HLS representar a comité. 20/8 se recibe DLCO. P) CONSULTAR por BP. 26/8 se realiza agendamiento para el 30/8 12:10hrs, es evaluada, en espera de Cx tórax en HLS, se envía correo consultando a gestoras HLS, se prioriza IC a box adulto para pase y se prioriza IC a box kinesiología/rehab (hora para el 9/9), sen envian ambos correos. P) INT QX EN HLS. 20/11 me comunico con usuaria aun pendiente cx torax en HLS, se reconsulta via correo a gestoras HLS y se indica a usuaria presentar reclamo fonasa segundo prestador, usuaria en prehabilitación para cx tórax. 21/11 se actualiza TAC tórax s/c (se entrega en modulo). 12/12 se notifica resultado critico en TAC tórax, revisado con Dra Hurtado que indica nodulo remanente anterior, no es crítico. 18/12 desde HLS se colita colaboración para actualizar exs preoperatorios + ECG, se entregan en modulo oncológico para priorización, eventual programación por cirugía torax HLS. 23/12 se envía ECG, se toma exs el 26/12.02/01 se envian resultados examenes. P) INT QX cx torax. --&gt; se consulta a catterine, aun no es operada, está programable pero aún no es colocada en tabla, se prioriza, fecha tentativa cx el 24/01/25 . Aun no se opera dra. con vacaciones. HIJA DE PACIENTE MARIA GAMBOA, RECHAZA  IQ 23-01-2025 EN HLS, SE RESCATA MEAP Y SE CORROBORARÁ LA INFORMACION  CON PCTE Y FAMILIAR PARA REGULARIZACION.  CONTROL CON DRA. HURTADO EL 16/06 PCTE ESTABLE</t>
  </si>
  <si>
    <t>DRA HURTADO // CX torax HLS</t>
  </si>
  <si>
    <t>P) INT QX //PCTE RECHAZA CX POR EL MOMENTO.p) CONTROL EN 3 MESES</t>
  </si>
  <si>
    <t>VER PERIORICIDAD DE CONTROLES</t>
  </si>
  <si>
    <t>CITAAR!!</t>
  </si>
  <si>
    <t xml:space="preserve">PEDRO ENRIQUE TABILO ROJAS </t>
  </si>
  <si>
    <t>PETT-CT + RM CEREBRAL</t>
  </si>
  <si>
    <t>Seguimiento Enf: PCTE EN ATENCIONES ONCOLOGICAS EN STGO // CONTROL SEGUIMIENTO BRONCOPULMONAR EN   JULIO 2024 --&gt; Deberá ser citado a principios agosto por agenda en Julio llena. P) CITAR c/Dra. Hurtado. 5/7 usuario citado con Dra. Garcia (subrogante torax), sin embargo NSP. 31/7 se reagenda usuario para el día 9/8 09:30hrs c/dra. Hurtado, es evaluada, asintomatico respiratorio y estable, se indica control en 4 meses.29/11 se agenda para el día 02/12 08:30hrs, evaluado asintomático, citar en 3 meses y traiga tac actualizado. P) Citar en marzo/2025  gestionar orden tac torax en fines febrero y citar en marzo.</t>
  </si>
  <si>
    <t>P) CITAR EN MARZO/2025 // ver que paso con orden de tac</t>
  </si>
  <si>
    <t>VANESSA BELÉN CORTÉS JIMÉNEZ</t>
  </si>
  <si>
    <t>resolucion quirurgica, DLCO, Mutaciones geneticas</t>
  </si>
  <si>
    <t>02/05 SE ABRE GES, EVALUAD APOR DRA HURTADO. 05/05 SE TRAMITA DLCO. 12/05 EVALUADA POR DRA HURTADO INDICA EXAMENES. 13/05 SE TRAMITA EBUS, RNM CEREBRO. 14/05 SE PRESENTA A COR DE TORAX INDICAN RNM CEREBRO Y EBUS, REPRESENTAR. 22/05 SE TRAMITAN DOCUMENTOS REQUERIDOS POR CLINICA ALEMANA PARA TOMA DE EBUS. PCTE SE TOMA PET-CT POR EXTRASISTEMA. SE REPRESENTA A COR DE TORAX CON EBUS (+) 18/06 INDICAN RESOLUCION QUIRURGICA, MARCADORES TUMORALES ALK ROS1, EGFR Y PDL1. DLCO Y REPRESENTAR. 18/06 SE SOLICITAN MARCADORES TUMORALES. 19/06 PCTWE SE TOMA DLCO X EXTRASISTEMA SE SUBE INFORME A SISTEMA. p) ENVIAR CARPETA DE ANTECEDENTES . 19/06 SE ENVIA CARPETA DE ANTECEDENTES. 23/06 SE AVISA A GESTORA HLS DE DERIVACION</t>
  </si>
  <si>
    <t>EN INMUNOTERAPIA</t>
  </si>
  <si>
    <t>VESNA MARÍA MARTINAC BORIC</t>
  </si>
  <si>
    <t>NODULO PULMON</t>
  </si>
  <si>
    <t>si</t>
  </si>
  <si>
    <t>Reseccion genetica, pase cardiologo y DLCO</t>
  </si>
  <si>
    <t>SE ABRE CASO GES EL 23/04. el 09/05 se pide rnm cerebro, ecg ye cocardiograma. El 04/06 s epresenta a co se indica "Corresponde biopsia de la lesion (quirurgica) DLCO evalaucion pulmonar y cardiovascular", se solicita DLCO, 05/06 se ingresa a CPyAD, 23/06 se solicita priorizacion y hora de ecocardio. ECOCARDIO OK, EVALUADA POR CADIOLOGO QUIEN SOLICITA TAC, SE TRAMITA TAC PNEDIENTE TOMARSE EXAMEN Y REagendar  con cardiologo, se agenda para dlco en hls pero nsp</t>
  </si>
  <si>
    <t>VER IC A VASCULAR</t>
  </si>
  <si>
    <t>DLCO OK</t>
  </si>
  <si>
    <t>EN ATENCIONES POR HLS EN QMT, QUE SE SUSPENDE POR DISMINUCION DE LA AGUDEZA VISUAL. SE GESTIONAN EXAMENES Y EVALUACION CON OFTALMOLOGO AQUÍ EN OVALLE.. 15/07  SE ENTRWEGA INFORME DE EXAMENES DE OFTALMO Y SE DEJA EN UNDIAD D EONCOLOGAI PARA SU RETIRO.</t>
  </si>
  <si>
    <t>P) VER REINICIO DE TTO</t>
  </si>
  <si>
    <t>REVISAR CASO</t>
  </si>
  <si>
    <t xml:space="preserve">	
YOLANDA ACOSTANUÑEZ</t>
  </si>
  <si>
    <t>TUMOR DE PULMON</t>
  </si>
  <si>
    <t>PACIENTE EN CONFIRMACION DIAGNOSTICA, SE GESTIONA DLCO Y ESPIROMETRIA, ECOCOCADIOGRAMA, REEVALUAR CON RESULTADOS</t>
  </si>
  <si>
    <t>PENDIENTE EXAMENES</t>
  </si>
  <si>
    <t>ENRIQUE ROJAS ORMEÑO</t>
  </si>
  <si>
    <t>NODULO PULMONAR DERECHO</t>
  </si>
  <si>
    <t>PACIENTE EN CONFIRMACION DIAGNOSTICA, SE GESTIONA DLCO Y ESPIROMETRIA, ECOCOCADIOGRAMA, REEVALUAR CON RESULTADOS// SE IC A CIRUGIA DE HLS PARA EVALUACION</t>
  </si>
  <si>
    <t>SEGUIMIENTO ABRIL</t>
  </si>
  <si>
    <t>GLADYS YOVANOVIC FLORES</t>
  </si>
  <si>
    <t>SALAMANCA</t>
  </si>
  <si>
    <t>CONTROL EN UN MES, SE SOLICITAN EXAMENES DE ETAPIFICACION PET-CT FDG, SE PRESENTARA A COMITE PARA PUNCION TRANSTORACICA Y CUIDADOS PALEATIVOS</t>
  </si>
  <si>
    <t>30/02/2026</t>
  </si>
  <si>
    <t>REV OCTUBRE</t>
  </si>
  <si>
    <t>LUZMIRA SIERRA DUBO</t>
  </si>
  <si>
    <t>NO ADENOPATIAS EN CUELLO</t>
  </si>
  <si>
    <t>EN ESPERA DE CX EN HLS</t>
  </si>
  <si>
    <t>CONTRAREFERENCIA</t>
  </si>
  <si>
    <t>EVALUAR EN HLS</t>
  </si>
  <si>
    <t>GRACIELA ALFARO ARAYA</t>
  </si>
  <si>
    <t>SE INDICA PET CT Y RM DE CEREBRO</t>
  </si>
  <si>
    <t xml:space="preserve">PLAN: </t>
  </si>
  <si>
    <t>OPERADA // PEND BIOPSIA</t>
  </si>
  <si>
    <t>GABRIEL VALDERRAMA BARRAZA</t>
  </si>
  <si>
    <t>SE PLANTEA Dx DE TUMOR DE PULMON</t>
  </si>
  <si>
    <t>PENDIENTE RESULTADO DE BP</t>
  </si>
  <si>
    <t>EMILIANO PASTEN ASTUDILLO</t>
  </si>
  <si>
    <t>SE SOLICITA PET CT FDG</t>
  </si>
  <si>
    <t>PENDIENTE RESULTADO DE TAC TAP Y PETCT FDG</t>
  </si>
  <si>
    <t>PENDIENTE ORDEN DE TAC TAP</t>
  </si>
  <si>
    <t>WALDO ARAYA CASTILLO</t>
  </si>
  <si>
    <t>OBS TUMOR DE PULMON VS TUMOR DE MEDIASTINO</t>
  </si>
  <si>
    <t>EVALUACION POR CIRUGIA DE TORAX HLS</t>
  </si>
  <si>
    <t>SE PRESENTARA AL COMITE PARA EVALUAR PUNCION TRANSTORACICA</t>
  </si>
  <si>
    <t xml:space="preserve">PENDIENTE CIRUGIA </t>
  </si>
  <si>
    <t>SEGUIMIENTO POR CIRUGIA</t>
  </si>
  <si>
    <t>JACQUELINE ARAYA BOLBARAN</t>
  </si>
  <si>
    <t xml:space="preserve">CUIDADOS PALIATIVOS. </t>
  </si>
  <si>
    <t>PENDIENTE PET-CT 24/02</t>
  </si>
  <si>
    <t>PET 24/02</t>
  </si>
  <si>
    <t>FERNANDO PIZARRO ARAYA</t>
  </si>
  <si>
    <t>CITA EN 1 MES</t>
  </si>
  <si>
    <t>PENDIENTE PET-CT 23/02</t>
  </si>
  <si>
    <t>PET 23/02</t>
  </si>
  <si>
    <t>HILDA DONOSO ANGEL</t>
  </si>
  <si>
    <t>PACIENTE EN CONFIRMACION DIAGNOSTICA, SE INDICO TAC TAP, TORAX Y CEREBRO</t>
  </si>
  <si>
    <t>CONTROL 1 MES</t>
  </si>
  <si>
    <t>GUSTAVINA TABILO ROJAS</t>
  </si>
  <si>
    <t>TUMOR MEDIASTINO</t>
  </si>
  <si>
    <t>PACIENTE EVALUADA EN CONSULTA NUEVA, SE INDICO: TAC TORAX Y CONTROL EN 1 MES</t>
  </si>
  <si>
    <t>PENDIENTE TAC TORAX</t>
  </si>
  <si>
    <t>CITAR URGENTE</t>
  </si>
  <si>
    <t>ERNESTO JULIO TAPIA</t>
  </si>
  <si>
    <t>C/COMITÉ</t>
  </si>
  <si>
    <t>BIOPSIA EN HLS</t>
  </si>
  <si>
    <t>Vigente</t>
  </si>
  <si>
    <r>
      <t xml:space="preserve">PACIENTE PRESENTADO A COR 26-09-2025: SE INDICO </t>
    </r>
    <r>
      <rPr>
        <b/>
        <sz val="14"/>
        <color theme="1"/>
        <rFont val="Calibri Light"/>
        <scheme val="major"/>
      </rPr>
      <t>1) Con los siguientes exámenes: informe formal de biopsia
Cuidados paliativos servicio de origen.
Evaluación por oncología médica la serena
PDL1 a biopsia en servicio de origen.
Evaluar en comité de tórax la serena
Actualmente sin dolor que justifique RT paliativa. PACIENTE DERIVADO A HLS COMENZARA QMT EL 17/11 PRIMERA SESION</t>
    </r>
  </si>
  <si>
    <t>PEDRO JUAN RIOS CONTRERAS</t>
  </si>
  <si>
    <t>ELSA ADONIS CORTES</t>
  </si>
  <si>
    <t xml:space="preserve">CONTROL EN 1 MES Y EVALUACION POR CYC PARA TOMA DE BP DE MASA CERVICAL </t>
  </si>
  <si>
    <t>26702/2026</t>
  </si>
  <si>
    <t>EVALUACION DE CYC</t>
  </si>
  <si>
    <t>LUDIS ARAYA PONCE</t>
  </si>
  <si>
    <t>PRESENTAR A COMITE</t>
  </si>
  <si>
    <t>SE REALIZA INFORME PARA PRESENTAR AL COMITE ONCOLOGICO</t>
  </si>
  <si>
    <t>SOFIA DE JESUS AGUILERA</t>
  </si>
  <si>
    <t>OBS. TU PULMONAR</t>
  </si>
  <si>
    <t>CONTROL CON RESULTADOS SE SOLICITA PET CT, RMC, ECOCARDIOGRAMA, ESPIROMETRIA, POSTERIORMENTE DLCO</t>
  </si>
  <si>
    <t xml:space="preserve"> EMILIANO DEL ROSARIO PASTÉN ASTUDILLO</t>
  </si>
  <si>
    <t>ALFARO ALFARO, TERESA ROSARIO</t>
  </si>
  <si>
    <t xml:space="preserve">BESSABET DEL CARMEN CORTÉS VARAS, </t>
  </si>
  <si>
    <t>EUGENIO DEL CARMEN CORTÉS TELLO</t>
  </si>
  <si>
    <t>SIN COMITE</t>
  </si>
  <si>
    <t>PCTE EVALUADO QUIEN RECHAZA CIRUGIA O ALGUNA INTERVENCION QUIRURGICA DIAGNOSTICA. sE DEJA ES EGUIMIENTO Y SE EXCEPTUA GARANTIA. EVALUADO EL 26/01 POR BRONCO QUIEN DEJA OCNTROL EN 2 MESES</t>
  </si>
  <si>
    <t>REV(MARZO)</t>
  </si>
  <si>
    <t>RUN</t>
  </si>
  <si>
    <t>Nombre de pac</t>
  </si>
  <si>
    <t>Diagnóstico</t>
  </si>
  <si>
    <t>Etapa</t>
  </si>
  <si>
    <t xml:space="preserve">Exepción </t>
  </si>
  <si>
    <t>observaciones UGCO 26-03-2025</t>
  </si>
  <si>
    <t>JOELIO DEL ROSARIO CORTÉS TORRES</t>
  </si>
  <si>
    <t>Cáncer de Pulmón</t>
  </si>
  <si>
    <t>Confirmación Diagnóstica</t>
  </si>
  <si>
    <t>Postergación de la Prestación</t>
  </si>
  <si>
    <t>HORA EL 02/04 EN hls CON CIRUJANA DE TORAX</t>
  </si>
  <si>
    <t>Rut</t>
  </si>
  <si>
    <t>Nombre</t>
  </si>
  <si>
    <t>Fecha de Inicio</t>
  </si>
  <si>
    <t>Fecha Limite</t>
  </si>
  <si>
    <t>Nombre de la Garantía</t>
  </si>
  <si>
    <t>ESTADO</t>
  </si>
  <si>
    <t>Obsercavión UGCO</t>
  </si>
  <si>
    <t>FECHA DE TOMA DE BP</t>
  </si>
  <si>
    <t>INFORME</t>
  </si>
  <si>
    <t>MARTINAC BORIC, VESNA MARÍA</t>
  </si>
  <si>
    <t>VENCIDA</t>
  </si>
  <si>
    <t>PEND. EVALUACIÓN CIRUGÍA VASCULAR + PASE CARDIOLOGICO</t>
  </si>
  <si>
    <t xml:space="preserve">SOLICITAR EVALUACION VACULAR </t>
  </si>
  <si>
    <t> </t>
  </si>
  <si>
    <t>VEAS ARAYA, JUANA DEL CARMEN</t>
  </si>
  <si>
    <t>PEND. PET CT. REEVALUAR CON RESULTADOS</t>
  </si>
  <si>
    <t>ROJAS ORMEÑO, ENRIQUE DEL CARMEN</t>
  </si>
  <si>
    <t>PEND. PROGRAMACIÓN CIRUGÍA HLS</t>
  </si>
  <si>
    <t>SE PIDE TAC Y ESPIROMETRIA</t>
  </si>
  <si>
    <t>ARAYA CASTILLO, WALDO ENRIQUE</t>
  </si>
  <si>
    <t>ARAYA TORRES, ROBERTO DEL ROSARIO</t>
  </si>
  <si>
    <t>NO SE LOGRA TOMAR DLCO</t>
  </si>
  <si>
    <t> CITAR</t>
  </si>
  <si>
    <t>ARAYA BOLVARÁN, JACQUELINE MERCEDES</t>
  </si>
  <si>
    <t xml:space="preserve">PEND. PET CT </t>
  </si>
  <si>
    <t>ALFARO ARAYA, GRACIELA CATIBEL</t>
  </si>
  <si>
    <t>OPERADA PENDIENTE RESULTADO</t>
  </si>
  <si>
    <t>IZQUIERDO RAMOS, INGRID DEL CARMEN</t>
  </si>
  <si>
    <t>PEND. TACTAP Y REPRESENTAR</t>
  </si>
  <si>
    <t>SIERRA DUBO, LUZMIRA DEL CARMEN</t>
  </si>
  <si>
    <t>PEND PETCT. (CUENTA CON BP-PEND DOCUMENTO DE CONFIRMACIÓN 5-2-26).</t>
  </si>
  <si>
    <t>PIZARRO ARAYA, FERNANDO DEL CARMEN</t>
  </si>
  <si>
    <t>PEND DLCO</t>
  </si>
  <si>
    <t>JULIO TAPIA, ERNESTO DEL ROSARIO</t>
  </si>
  <si>
    <t>CORTÉS BARRAZA, MARÍA BEATRIZ</t>
  </si>
  <si>
    <t>PEND.RESULTADO BP</t>
  </si>
  <si>
    <t>AGUILERA  , SOFÍA DE JESÚS</t>
  </si>
  <si>
    <t>PEND. PET CT  + RNM. PRESENTAR A COMITÉ</t>
  </si>
  <si>
    <t>PET 24/02 // RNM NO TRAMITADA???</t>
  </si>
  <si>
    <t>MUÑOZ BARRAZA, DIONISIO DEL CARMEN</t>
  </si>
  <si>
    <t>PEND DLCO // PET-CT 23/02</t>
  </si>
  <si>
    <t>ARAYA PONCE, LUDIS SOLEDAD</t>
  </si>
  <si>
    <t xml:space="preserve">PEND. PRESENTAR A COMITÉ </t>
  </si>
  <si>
    <t>citada lunes02/03</t>
  </si>
  <si>
    <t>JAMETT LÓPEZ, RENÉ GUILLERMO</t>
  </si>
  <si>
    <t>VIGENTE</t>
  </si>
  <si>
    <t>PEND. TOMA BP CYC</t>
  </si>
  <si>
    <t>LÓPEZ ROJO, VITAL DEL ROSARIO</t>
  </si>
  <si>
    <t>EN ESPERA REPETIR DLCO</t>
  </si>
  <si>
    <t>PRESENTRA A CPE</t>
  </si>
  <si>
    <t>GONZÁLEZ CORTÉS, JORGE SEBASTIÁN</t>
  </si>
  <si>
    <t>PEND. REAGENDAMIENTO GES</t>
  </si>
  <si>
    <t>BARRAZA UBILLO, HERIBERTO ANTONIO</t>
  </si>
  <si>
    <t>GONZÁLEZ CORTÉS, JORGE ULISES</t>
  </si>
  <si>
    <t>PEND. INMUNOHISTOQUIMICA BP DERRAME PLEURAL</t>
  </si>
  <si>
    <t>ANGEL MILLA, MARÍA AÍDA</t>
  </si>
  <si>
    <t>Etapificación</t>
  </si>
  <si>
    <t>PEND. DLCO HLS + RNM CEREBRAL HOV</t>
  </si>
  <si>
    <t>URQUIETA ROJAS, ISMELDA DEL ROSARIO</t>
  </si>
  <si>
    <t>REAGENDAR CON RESULTADO TAC TORAX</t>
  </si>
  <si>
    <t>ASTUDILLO ROJAS, NOBEL DEL TRÁNSITO</t>
  </si>
  <si>
    <t>REAGENDAR CON RESULTADO BP EXTRASISTEMA</t>
  </si>
  <si>
    <t>BARRAZA PIZARRO, JORGE LUIS</t>
  </si>
  <si>
    <t>CITAAAAR!!!</t>
  </si>
  <si>
    <t>YOVANOVIC FLORES, GLADYS</t>
  </si>
  <si>
    <t>CORTÉS TELLO, EUGENIO DEL CARMEN</t>
  </si>
  <si>
    <t>EXCEPCION GARANTIA ENTREGADA</t>
  </si>
  <si>
    <t>Estado</t>
  </si>
  <si>
    <t>Observación UGCO</t>
  </si>
  <si>
    <t>Fecha toma de Biopsia</t>
  </si>
  <si>
    <t xml:space="preserve">Informe de Biopsia </t>
  </si>
  <si>
    <t>Retrasada</t>
  </si>
  <si>
    <t> PCTE CON REEVALUACION POR CARDIOLOGIA. SE PREGUNTARA SI DESEA INTERVENCION QX</t>
  </si>
  <si>
    <t xml:space="preserve">SIN BIOPSIA </t>
  </si>
  <si>
    <t> SE PRESENTARA A COMITE CON INFORME DE PET-CT</t>
  </si>
  <si>
    <t>EN ESPERA DE CIRUGIA HLS</t>
  </si>
  <si>
    <t>EVALAUCION CON BROCNOPULMONAR, NO LOGRO REALIZAR EXAMENES PREOPERATORIOS CON EXITO</t>
  </si>
  <si>
    <t>SE AGENDARA CON DR. HURTADO CON RESULTADOS DE ETAPIFICACION</t>
  </si>
  <si>
    <t>EN ESPERA DE RESULTADO DE BIOPSIA EN HLS</t>
  </si>
  <si>
    <t>SE DERIVA A CIRUGIA HLS</t>
  </si>
  <si>
    <t> SE AGENDO CON DR. HURTADO CON RESULTADOS DE ETAPIFICACION</t>
  </si>
  <si>
    <t>EN ESPERA DE RESULTADO DE BIOPSIA EN HSP</t>
  </si>
  <si>
    <t>  SE AGENDO CON DR. HURTADO CON RESULTADOS DE ETAPIFICACION</t>
  </si>
  <si>
    <t>GUERRERO GUERRERO, SEGISMUNDO DEL CARMEN</t>
  </si>
  <si>
    <t xml:space="preserve">SE DERIVA A ONCOLOGIA HLS </t>
  </si>
  <si>
    <t>SE AGENDARA CON DR. HURTADO CON RESULTADOS DE EXAMENES</t>
  </si>
  <si>
    <t> NO HA TENIDO PRIMERA CONSULTA CON DRA. HURTADO</t>
  </si>
  <si>
    <t> SE PRESENTA A COMITE:  INDICA ESTUDIO DE BIOLOGIA MOLECULAR</t>
  </si>
  <si>
    <t>EN ESPERA DE RESULTADOS DE ETAPIFICACION // BIOPSIA DE EXTRASISTEMA SE SOLICITARA INFORME PARA REALIZAR IPD CONFIRMACION</t>
  </si>
  <si>
    <t xml:space="preserve"> SIN BIOPSIA </t>
  </si>
  <si>
    <t> EN ESPERA DE RESULTADO DE BIOPSIA TOMADA EN EXTRTASISTEMA</t>
  </si>
  <si>
    <t> PENDIENTE DEFINIR CONDUCTA</t>
  </si>
  <si>
    <t>ROA RIVERA, JORGE LUIS</t>
  </si>
  <si>
    <t>PACIENTE FALLECIDO</t>
  </si>
  <si>
    <t>OYANADEL FARÍAS, MIRIAM ELENA</t>
  </si>
  <si>
    <t>CAMPUSANO MUJICA, HERMINDA CLAUDIA</t>
  </si>
  <si>
    <t>NO HA TENIDO PRIMERA CONSULTA CON DRA. HURTADO</t>
  </si>
  <si>
    <t>CORTÉS , LUIS GUSTAVO</t>
  </si>
  <si>
    <t>GAHONA  , MALVA NORMA</t>
  </si>
  <si>
    <t>BARRAZA VALDES, MARINA IRLANDA</t>
  </si>
  <si>
    <t> PACIENTE FALLECIDA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</si>
</sst>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charset val="134"/>
      <scheme val="minor"/>
    </font>
    <font>
      <sz val="11"/>
      <color theme="1"/>
      <name val="Calibri"/>
      <family val="2"/>
      <scheme val="minor"/>
    </font>
    <font>
      <b/>
      <sz val="11"/>
      <color theme="1"/>
      <name val="Calibri"/>
      <family val="2"/>
      <scheme val="minor"/>
    </font>
    <font>
      <sz val="12"/>
      <color theme="1"/>
      <name val="Calibri"/>
      <family val="2"/>
      <scheme val="minor"/>
    </font>
    <font>
      <b/>
      <sz val="36"/>
      <color theme="0"/>
      <name val="Calibri"/>
      <family val="2"/>
      <scheme val="minor"/>
    </font>
    <font>
      <sz val="12"/>
      <color rgb="FFFF0000"/>
      <name val="Calibri"/>
      <family val="2"/>
      <scheme val="minor"/>
    </font>
    <font>
      <sz val="11"/>
      <name val="Calibri"/>
      <family val="2"/>
      <scheme val="minor"/>
    </font>
    <font>
      <b/>
      <sz val="12"/>
      <color theme="1"/>
      <name val="Calibri"/>
      <family val="2"/>
      <scheme val="minor"/>
    </font>
    <font>
      <sz val="12"/>
      <color rgb="FF00B0F0"/>
      <name val="Calibri"/>
      <family val="2"/>
      <scheme val="minor"/>
    </font>
    <font>
      <sz val="12"/>
      <name val="Calibri"/>
      <family val="2"/>
      <scheme val="minor"/>
    </font>
    <font>
      <b/>
      <sz val="12"/>
      <color theme="4"/>
      <name val="Calibri"/>
      <family val="2"/>
      <scheme val="minor"/>
    </font>
    <font>
      <b/>
      <sz val="12"/>
      <color rgb="FF000000"/>
      <name val="Calibri"/>
      <family val="2"/>
      <scheme val="minor"/>
    </font>
    <font>
      <sz val="10"/>
      <color theme="1"/>
      <name val="Calibri"/>
      <family val="2"/>
      <scheme val="minor"/>
    </font>
    <font>
      <sz val="14"/>
      <color theme="1"/>
      <name val="Calibri"/>
      <family val="2"/>
      <scheme val="minor"/>
    </font>
    <font>
      <b/>
      <sz val="16"/>
      <color theme="1"/>
      <name val="Calibri"/>
      <family val="2"/>
      <scheme val="minor"/>
    </font>
    <font>
      <b/>
      <sz val="12"/>
      <color rgb="FF00B0F0"/>
      <name val="Calibri"/>
      <family val="2"/>
      <scheme val="minor"/>
    </font>
    <font>
      <sz val="11"/>
      <color rgb="FF00B0F0"/>
      <name val="Calibri"/>
      <family val="2"/>
      <scheme val="minor"/>
    </font>
    <font>
      <b/>
      <sz val="12"/>
      <color theme="3"/>
      <name val="Calibri"/>
      <family val="2"/>
      <scheme val="minor"/>
    </font>
    <font>
      <b/>
      <sz val="11"/>
      <name val="Calibri"/>
      <family val="2"/>
      <scheme val="minor"/>
    </font>
    <font>
      <b/>
      <sz val="11"/>
      <color theme="4"/>
      <name val="Calibri"/>
      <family val="2"/>
      <scheme val="minor"/>
    </font>
    <font>
      <b/>
      <sz val="11"/>
      <color rgb="FF00B0F0"/>
      <name val="Calibri"/>
      <family val="2"/>
      <scheme val="minor"/>
    </font>
    <font>
      <sz val="12"/>
      <color theme="4"/>
      <name val="Calibri"/>
      <family val="2"/>
      <scheme val="minor"/>
    </font>
    <font>
      <b/>
      <u/>
      <sz val="12"/>
      <color rgb="FF00B0F0"/>
      <name val="Calibri"/>
      <family val="2"/>
      <scheme val="minor"/>
    </font>
    <font>
      <sz val="11"/>
      <color rgb="FFFFFFFF"/>
      <name val="Calibri"/>
      <family val="2"/>
      <scheme val="minor"/>
    </font>
    <font>
      <b/>
      <sz val="12"/>
      <name val="Calibri"/>
      <family val="2"/>
      <scheme val="minor"/>
    </font>
    <font>
      <sz val="10"/>
      <color rgb="FF4B4B4B"/>
      <name val="Arial"/>
      <family val="2"/>
    </font>
    <font>
      <b/>
      <sz val="12"/>
      <color theme="1"/>
      <name val="Aptos"/>
      <family val="2"/>
    </font>
    <font>
      <sz val="12"/>
      <color theme="1"/>
      <name val="Aptos"/>
      <family val="2"/>
    </font>
    <font>
      <b/>
      <sz val="12"/>
      <name val="Aptos"/>
      <family val="2"/>
    </font>
    <font>
      <b/>
      <sz val="12"/>
      <color rgb="FF000000"/>
      <name val="Aptos"/>
      <family val="2"/>
    </font>
    <font>
      <sz val="14"/>
      <color theme="1"/>
      <name val="Aptos"/>
      <family val="2"/>
    </font>
    <font>
      <sz val="12"/>
      <name val="Aptos"/>
      <family val="2"/>
    </font>
    <font>
      <sz val="12"/>
      <color rgb="FF4B4B4B"/>
      <name val="Aptos"/>
      <family val="2"/>
    </font>
    <font>
      <b/>
      <sz val="11"/>
      <color rgb="FF000000"/>
      <name val="Calibri"/>
      <family val="2"/>
    </font>
    <font>
      <sz val="11"/>
      <color rgb="FF000000"/>
      <name val="Calibri"/>
      <family val="2"/>
    </font>
    <font>
      <sz val="10"/>
      <color rgb="FF4B4B4B"/>
      <name val="Arial"/>
      <family val="2"/>
      <charset val="1"/>
    </font>
    <font>
      <sz val="12"/>
      <color rgb="FF000000"/>
      <name val="Calibri"/>
      <scheme val="minor"/>
    </font>
    <font>
      <sz val="11"/>
      <color theme="1"/>
      <name val="Aptos"/>
      <family val="2"/>
      <charset val="1"/>
    </font>
    <font>
      <sz val="14"/>
      <color theme="1"/>
      <name val="Calibri Light"/>
      <scheme val="major"/>
    </font>
    <font>
      <b/>
      <sz val="14"/>
      <color theme="0"/>
      <name val="Calibri Light"/>
      <scheme val="major"/>
    </font>
    <font>
      <b/>
      <sz val="14"/>
      <color theme="1"/>
      <name val="Calibri Light"/>
      <scheme val="major"/>
    </font>
    <font>
      <sz val="14"/>
      <color rgb="FF000000"/>
      <name val="Calibri Light"/>
      <scheme val="major"/>
    </font>
    <font>
      <sz val="14"/>
      <color rgb="FF4B4B4B"/>
      <name val="Calibri Light"/>
      <scheme val="major"/>
    </font>
    <font>
      <sz val="14"/>
      <name val="Calibri Light"/>
      <scheme val="major"/>
    </font>
    <font>
      <b/>
      <sz val="11"/>
      <name val="Calibri"/>
      <family val="2"/>
    </font>
    <font>
      <b/>
      <sz val="11"/>
      <color rgb="FFFFFFFF"/>
      <name val="Calibri"/>
      <family val="2"/>
    </font>
  </fonts>
  <fills count="39">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theme="9" tint="0.59999389629810485"/>
        <bgColor indexed="64"/>
      </patternFill>
    </fill>
    <fill>
      <patternFill patternType="solid">
        <fgColor theme="0"/>
        <bgColor indexed="64"/>
      </patternFill>
    </fill>
    <fill>
      <patternFill patternType="solid">
        <fgColor rgb="FFFF0000"/>
        <bgColor indexed="64"/>
      </patternFill>
    </fill>
    <fill>
      <patternFill patternType="solid">
        <fgColor rgb="FF002060"/>
        <bgColor indexed="64"/>
      </patternFill>
    </fill>
    <fill>
      <patternFill patternType="solid">
        <fgColor theme="6" tint="0.59999389629810485"/>
        <bgColor indexed="64"/>
      </patternFill>
    </fill>
    <fill>
      <patternFill patternType="solid">
        <fgColor theme="6" tint="0.59999389629810485"/>
        <bgColor rgb="FFDAE3F3"/>
      </patternFill>
    </fill>
    <fill>
      <patternFill patternType="solid">
        <fgColor rgb="FFFFFF00"/>
        <bgColor indexed="64"/>
      </patternFill>
    </fill>
    <fill>
      <patternFill patternType="solid">
        <fgColor rgb="FFFFC000"/>
        <bgColor indexed="64"/>
      </patternFill>
    </fill>
    <fill>
      <patternFill patternType="solid">
        <fgColor theme="8" tint="0.79995117038483843"/>
        <bgColor theme="8" tint="0.79995117038483843"/>
      </patternFill>
    </fill>
    <fill>
      <patternFill patternType="solid">
        <fgColor rgb="FF00B0F0"/>
        <bgColor indexed="64"/>
      </patternFill>
    </fill>
    <fill>
      <patternFill patternType="solid">
        <fgColor theme="6" tint="0.59999389629810485"/>
        <bgColor rgb="FF00A933"/>
      </patternFill>
    </fill>
    <fill>
      <patternFill patternType="solid">
        <fgColor theme="0"/>
        <bgColor rgb="FFFFC7CE"/>
      </patternFill>
    </fill>
    <fill>
      <patternFill patternType="solid">
        <fgColor rgb="FF0070C0"/>
        <bgColor indexed="64"/>
      </patternFill>
    </fill>
    <fill>
      <patternFill patternType="solid">
        <fgColor theme="9" tint="0.59999389629810485"/>
        <bgColor theme="8" tint="0.79995117038483843"/>
      </patternFill>
    </fill>
    <fill>
      <patternFill patternType="solid">
        <fgColor theme="7" tint="0.79998168889431442"/>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9" tint="0.79998168889431442"/>
        <bgColor theme="8" tint="0.79995117038483843"/>
      </patternFill>
    </fill>
    <fill>
      <patternFill patternType="solid">
        <fgColor theme="5" tint="0.79998168889431442"/>
        <bgColor theme="8" tint="0.79995117038483843"/>
      </patternFill>
    </fill>
    <fill>
      <patternFill patternType="solid">
        <fgColor theme="9" tint="0.79998168889431442"/>
        <bgColor indexed="64"/>
      </patternFill>
    </fill>
    <fill>
      <patternFill patternType="solid">
        <fgColor rgb="FF66FFFF"/>
        <bgColor indexed="64"/>
      </patternFill>
    </fill>
    <fill>
      <patternFill patternType="solid">
        <fgColor rgb="FFFF0000"/>
        <bgColor theme="8" tint="0.79995117038483843"/>
      </patternFill>
    </fill>
    <fill>
      <patternFill patternType="solid">
        <fgColor theme="7" tint="0.79998168889431442"/>
        <bgColor theme="8" tint="0.79995117038483843"/>
      </patternFill>
    </fill>
    <fill>
      <patternFill patternType="solid">
        <fgColor theme="0"/>
        <bgColor rgb="FFFFF2CC"/>
      </patternFill>
    </fill>
    <fill>
      <patternFill patternType="solid">
        <fgColor theme="7" tint="0.79998168889431442"/>
        <bgColor theme="8" tint="0.59999389629810485"/>
      </patternFill>
    </fill>
    <fill>
      <patternFill patternType="solid">
        <fgColor rgb="FFFFFFFF"/>
        <bgColor rgb="FF000000"/>
      </patternFill>
    </fill>
    <fill>
      <patternFill patternType="solid">
        <fgColor rgb="FFD9E1F2"/>
        <bgColor rgb="FF000000"/>
      </patternFill>
    </fill>
    <fill>
      <patternFill patternType="solid">
        <fgColor rgb="FF70AD47"/>
        <bgColor rgb="FF000000"/>
      </patternFill>
    </fill>
    <fill>
      <patternFill patternType="solid">
        <fgColor rgb="FFF4B084"/>
        <bgColor rgb="FF000000"/>
      </patternFill>
    </fill>
    <fill>
      <patternFill patternType="solid">
        <fgColor rgb="FFFFFF00"/>
        <bgColor rgb="FF000000"/>
      </patternFill>
    </fill>
    <fill>
      <patternFill patternType="solid">
        <fgColor rgb="FFFCE4D6"/>
        <bgColor rgb="FF000000"/>
      </patternFill>
    </fill>
    <fill>
      <patternFill patternType="solid">
        <fgColor rgb="FF6CADED"/>
        <bgColor rgb="FF000000"/>
      </patternFill>
    </fill>
    <fill>
      <patternFill patternType="solid">
        <fgColor rgb="FF4472C4"/>
        <bgColor rgb="FF000000"/>
      </patternFill>
    </fill>
    <fill>
      <patternFill patternType="solid">
        <fgColor rgb="FF1F4E78"/>
        <bgColor rgb="FF000000"/>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top style="thin">
        <color auto="1"/>
      </top>
      <bottom style="thin">
        <color auto="1"/>
      </bottom>
      <diagonal/>
    </border>
    <border>
      <left/>
      <right/>
      <top/>
      <bottom style="thin">
        <color auto="1"/>
      </bottom>
      <diagonal/>
    </border>
    <border>
      <left style="thin">
        <color rgb="FF4472C4"/>
      </left>
      <right style="thin">
        <color rgb="FF4472C4"/>
      </right>
      <top style="thin">
        <color rgb="FF4472C4"/>
      </top>
      <bottom style="thin">
        <color rgb="FF4472C4"/>
      </bottom>
      <diagonal/>
    </border>
    <border>
      <left/>
      <right style="thin">
        <color rgb="FF4472C4"/>
      </right>
      <top style="thin">
        <color rgb="FF4472C4"/>
      </top>
      <bottom style="thin">
        <color rgb="FF4472C4"/>
      </bottom>
      <diagonal/>
    </border>
    <border>
      <left/>
      <right style="thin">
        <color rgb="FF4472C4"/>
      </right>
      <top/>
      <bottom style="thin">
        <color rgb="FF4472C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29">
    <xf numFmtId="0" fontId="0" fillId="0" borderId="0" xfId="0"/>
    <xf numFmtId="0" fontId="0" fillId="0" borderId="1" xfId="0" applyBorder="1"/>
    <xf numFmtId="0" fontId="0" fillId="0" borderId="1" xfId="0" applyBorder="1" applyAlignment="1">
      <alignment horizontal="center"/>
    </xf>
    <xf numFmtId="0" fontId="0" fillId="2"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horizontal="center" vertical="center" wrapText="1"/>
    </xf>
    <xf numFmtId="0" fontId="3" fillId="5" borderId="0" xfId="0" applyFont="1" applyFill="1" applyAlignment="1">
      <alignment vertical="center" wrapText="1"/>
    </xf>
    <xf numFmtId="0" fontId="3" fillId="0" borderId="0" xfId="0" applyFont="1" applyAlignment="1">
      <alignment horizontal="left" wrapText="1"/>
    </xf>
    <xf numFmtId="0" fontId="0" fillId="0" borderId="0" xfId="0" applyAlignment="1">
      <alignment horizontal="left" wrapText="1"/>
    </xf>
    <xf numFmtId="0" fontId="3" fillId="5" borderId="0" xfId="0" applyFont="1" applyFill="1" applyAlignment="1">
      <alignment horizontal="left" wrapText="1"/>
    </xf>
    <xf numFmtId="0" fontId="3" fillId="0" borderId="1" xfId="0" applyFont="1" applyBorder="1" applyAlignment="1">
      <alignment horizontal="left" vertical="center" wrapText="1"/>
    </xf>
    <xf numFmtId="0" fontId="3" fillId="0" borderId="0" xfId="0" applyFont="1" applyAlignment="1">
      <alignment vertical="center" wrapText="1"/>
    </xf>
    <xf numFmtId="0" fontId="3" fillId="0" borderId="0" xfId="0" applyFont="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2" fillId="8" borderId="1" xfId="0" applyFont="1" applyFill="1" applyBorder="1" applyAlignment="1">
      <alignment horizontal="left" wrapText="1"/>
    </xf>
    <xf numFmtId="0" fontId="0" fillId="10" borderId="1" xfId="0" applyFill="1" applyBorder="1" applyAlignment="1">
      <alignment horizontal="left" wrapText="1"/>
    </xf>
    <xf numFmtId="0" fontId="0" fillId="0" borderId="1" xfId="0" applyBorder="1" applyAlignment="1">
      <alignment horizontal="left" wrapText="1"/>
    </xf>
    <xf numFmtId="0" fontId="3" fillId="0" borderId="1" xfId="0" applyFont="1" applyBorder="1" applyAlignment="1">
      <alignment horizontal="left" wrapText="1"/>
    </xf>
    <xf numFmtId="0" fontId="3" fillId="10" borderId="1" xfId="0" applyFont="1" applyFill="1" applyBorder="1" applyAlignment="1">
      <alignment horizontal="left" wrapText="1"/>
    </xf>
    <xf numFmtId="0" fontId="5" fillId="0" borderId="1" xfId="0" applyFont="1" applyBorder="1" applyAlignment="1">
      <alignment horizontal="left" wrapText="1"/>
    </xf>
    <xf numFmtId="0" fontId="0" fillId="11" borderId="1" xfId="0" applyFill="1" applyBorder="1" applyAlignment="1">
      <alignment horizontal="left" wrapText="1"/>
    </xf>
    <xf numFmtId="0" fontId="0" fillId="5" borderId="1" xfId="0" applyFill="1" applyBorder="1" applyAlignment="1">
      <alignment horizontal="left" wrapText="1"/>
    </xf>
    <xf numFmtId="0" fontId="3" fillId="11" borderId="1" xfId="0" applyFont="1" applyFill="1" applyBorder="1" applyAlignment="1">
      <alignment horizontal="left" wrapText="1"/>
    </xf>
    <xf numFmtId="0" fontId="3" fillId="0" borderId="1" xfId="0" applyFont="1" applyBorder="1" applyAlignment="1">
      <alignment vertical="center" wrapText="1"/>
    </xf>
    <xf numFmtId="0" fontId="3" fillId="0" borderId="1" xfId="0" applyFont="1" applyBorder="1" applyAlignment="1">
      <alignment horizontal="right" vertical="center" wrapText="1"/>
    </xf>
    <xf numFmtId="0" fontId="6" fillId="5" borderId="1" xfId="0" applyFont="1" applyFill="1" applyBorder="1" applyAlignment="1">
      <alignment horizontal="left" wrapText="1"/>
    </xf>
    <xf numFmtId="14" fontId="0" fillId="0" borderId="1" xfId="0" applyNumberFormat="1" applyBorder="1" applyAlignment="1">
      <alignment horizontal="left" wrapText="1"/>
    </xf>
    <xf numFmtId="14" fontId="3" fillId="0" borderId="1" xfId="0" applyNumberFormat="1" applyFont="1" applyBorder="1" applyAlignment="1">
      <alignment horizontal="left" wrapText="1"/>
    </xf>
    <xf numFmtId="14" fontId="0" fillId="5" borderId="1" xfId="0" applyNumberFormat="1" applyFill="1" applyBorder="1" applyAlignment="1">
      <alignment horizontal="left" wrapText="1"/>
    </xf>
    <xf numFmtId="0" fontId="3" fillId="0" borderId="1" xfId="0" applyFont="1" applyBorder="1" applyAlignment="1">
      <alignment horizontal="center" vertical="center" wrapText="1"/>
    </xf>
    <xf numFmtId="0" fontId="0" fillId="12" borderId="1" xfId="0" applyFill="1" applyBorder="1" applyAlignment="1">
      <alignment horizontal="left" wrapText="1"/>
    </xf>
    <xf numFmtId="0" fontId="7" fillId="0" borderId="1" xfId="0" applyFont="1" applyBorder="1" applyAlignment="1">
      <alignment horizontal="left" wrapText="1"/>
    </xf>
    <xf numFmtId="0" fontId="8" fillId="0" borderId="1" xfId="0" applyFont="1" applyBorder="1" applyAlignment="1">
      <alignment horizontal="left" wrapText="1"/>
    </xf>
    <xf numFmtId="14" fontId="3" fillId="0" borderId="1" xfId="0" applyNumberFormat="1" applyFont="1" applyBorder="1" applyAlignment="1">
      <alignment vertical="center" wrapText="1"/>
    </xf>
    <xf numFmtId="0" fontId="3" fillId="6" borderId="0" xfId="0" applyFont="1" applyFill="1" applyAlignment="1">
      <alignment horizontal="left" wrapText="1"/>
    </xf>
    <xf numFmtId="0" fontId="0" fillId="0" borderId="0" xfId="0" applyAlignment="1">
      <alignment wrapText="1"/>
    </xf>
    <xf numFmtId="0" fontId="3" fillId="13" borderId="1" xfId="0" applyFont="1" applyFill="1" applyBorder="1" applyAlignment="1">
      <alignment horizontal="left" wrapText="1"/>
    </xf>
    <xf numFmtId="0" fontId="3" fillId="5" borderId="1" xfId="0" applyFont="1" applyFill="1" applyBorder="1" applyAlignment="1">
      <alignment horizontal="left" wrapText="1"/>
    </xf>
    <xf numFmtId="0" fontId="3" fillId="0" borderId="0" xfId="0" applyFont="1" applyAlignment="1">
      <alignment vertical="center"/>
    </xf>
    <xf numFmtId="0" fontId="3" fillId="8" borderId="1" xfId="0" applyFont="1" applyFill="1" applyBorder="1" applyAlignment="1">
      <alignment vertical="center" wrapText="1"/>
    </xf>
    <xf numFmtId="0" fontId="7" fillId="9" borderId="1" xfId="0" applyFont="1" applyFill="1" applyBorder="1" applyAlignment="1">
      <alignment vertical="center" wrapText="1"/>
    </xf>
    <xf numFmtId="0" fontId="7" fillId="9" borderId="1" xfId="0" applyFont="1" applyFill="1" applyBorder="1" applyAlignment="1">
      <alignment horizontal="right" vertical="center" wrapText="1"/>
    </xf>
    <xf numFmtId="0" fontId="7" fillId="8" borderId="1" xfId="0" applyFont="1" applyFill="1" applyBorder="1" applyAlignment="1">
      <alignment horizontal="left" vertical="center" wrapText="1"/>
    </xf>
    <xf numFmtId="0" fontId="3" fillId="0" borderId="2" xfId="0" applyFont="1" applyBorder="1" applyAlignment="1">
      <alignment vertical="center" wrapText="1"/>
    </xf>
    <xf numFmtId="0" fontId="3" fillId="5" borderId="3" xfId="0" applyFont="1" applyFill="1" applyBorder="1" applyAlignment="1">
      <alignment horizontal="left" vertical="center" wrapText="1"/>
    </xf>
    <xf numFmtId="0" fontId="3" fillId="5" borderId="3" xfId="0" applyFont="1" applyFill="1" applyBorder="1" applyAlignment="1">
      <alignment horizontal="right" vertical="center" wrapText="1"/>
    </xf>
    <xf numFmtId="0" fontId="3" fillId="5" borderId="3" xfId="0" applyFont="1" applyFill="1" applyBorder="1" applyAlignment="1">
      <alignment vertical="center" wrapText="1"/>
    </xf>
    <xf numFmtId="0" fontId="3" fillId="0" borderId="6" xfId="0" applyFont="1" applyBorder="1" applyAlignment="1">
      <alignment vertical="center" wrapText="1"/>
    </xf>
    <xf numFmtId="0" fontId="3" fillId="5" borderId="1" xfId="0" applyFont="1" applyFill="1" applyBorder="1" applyAlignment="1">
      <alignment horizontal="left" vertical="center" wrapText="1"/>
    </xf>
    <xf numFmtId="0" fontId="3" fillId="5" borderId="1" xfId="0" applyFont="1" applyFill="1" applyBorder="1" applyAlignment="1">
      <alignment horizontal="right" vertical="center" wrapText="1"/>
    </xf>
    <xf numFmtId="1" fontId="3" fillId="5" borderId="1" xfId="0" applyNumberFormat="1" applyFont="1" applyFill="1" applyBorder="1" applyAlignment="1">
      <alignment horizontal="left" vertical="center" wrapText="1"/>
    </xf>
    <xf numFmtId="0" fontId="3" fillId="5" borderId="1" xfId="0" applyFont="1" applyFill="1" applyBorder="1" applyAlignment="1">
      <alignment vertical="center" wrapText="1"/>
    </xf>
    <xf numFmtId="0" fontId="3" fillId="0" borderId="6" xfId="0" applyFont="1" applyBorder="1" applyAlignment="1">
      <alignment vertical="center"/>
    </xf>
    <xf numFmtId="0" fontId="3" fillId="5" borderId="1" xfId="0" applyFont="1" applyFill="1" applyBorder="1" applyAlignment="1">
      <alignment horizontal="right" vertical="center"/>
    </xf>
    <xf numFmtId="0" fontId="3" fillId="5" borderId="1" xfId="0" applyFont="1" applyFill="1" applyBorder="1" applyAlignment="1">
      <alignment horizontal="left" vertical="center"/>
    </xf>
    <xf numFmtId="0" fontId="3" fillId="5" borderId="6" xfId="0" applyFont="1" applyFill="1" applyBorder="1" applyAlignment="1">
      <alignment vertical="center" wrapText="1"/>
    </xf>
    <xf numFmtId="0" fontId="3" fillId="5" borderId="7" xfId="0" applyFont="1" applyFill="1" applyBorder="1" applyAlignment="1">
      <alignment vertical="center" wrapText="1"/>
    </xf>
    <xf numFmtId="0" fontId="3" fillId="5" borderId="6" xfId="0" applyFont="1" applyFill="1" applyBorder="1" applyAlignment="1">
      <alignment horizontal="right" vertical="center"/>
    </xf>
    <xf numFmtId="0" fontId="3" fillId="5" borderId="6" xfId="0" applyFont="1" applyFill="1" applyBorder="1" applyAlignment="1">
      <alignment horizontal="right" vertical="center" wrapText="1"/>
    </xf>
    <xf numFmtId="0" fontId="3" fillId="0" borderId="5" xfId="0" applyFont="1" applyBorder="1" applyAlignment="1">
      <alignment vertical="center" wrapText="1"/>
    </xf>
    <xf numFmtId="0" fontId="3" fillId="5" borderId="4" xfId="0" applyFont="1" applyFill="1" applyBorder="1" applyAlignment="1">
      <alignment vertical="center" wrapText="1"/>
    </xf>
    <xf numFmtId="0" fontId="3" fillId="5" borderId="5" xfId="0" applyFont="1" applyFill="1" applyBorder="1" applyAlignment="1">
      <alignment horizontal="right" vertical="center" wrapText="1"/>
    </xf>
    <xf numFmtId="0" fontId="3" fillId="5" borderId="8" xfId="0" applyFont="1" applyFill="1" applyBorder="1" applyAlignment="1">
      <alignment horizontal="left" vertical="center" wrapText="1"/>
    </xf>
    <xf numFmtId="0" fontId="3" fillId="5" borderId="8" xfId="0" applyFont="1" applyFill="1" applyBorder="1" applyAlignment="1">
      <alignment vertical="center" wrapText="1"/>
    </xf>
    <xf numFmtId="0" fontId="3" fillId="5" borderId="8" xfId="0" applyFont="1" applyFill="1" applyBorder="1" applyAlignment="1">
      <alignment horizontal="right" vertical="center" wrapText="1"/>
    </xf>
    <xf numFmtId="0" fontId="7" fillId="9"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14" fontId="3" fillId="5" borderId="3" xfId="0" applyNumberFormat="1" applyFont="1" applyFill="1" applyBorder="1" applyAlignment="1">
      <alignment horizontal="center" vertical="center" wrapText="1"/>
    </xf>
    <xf numFmtId="0" fontId="3" fillId="5" borderId="3" xfId="0" applyFont="1" applyFill="1" applyBorder="1" applyAlignment="1">
      <alignment horizontal="center" vertical="center" wrapText="1"/>
    </xf>
    <xf numFmtId="0" fontId="9" fillId="5" borderId="3" xfId="0" applyFont="1" applyFill="1" applyBorder="1" applyAlignment="1">
      <alignment horizontal="left" vertical="center" wrapText="1"/>
    </xf>
    <xf numFmtId="14" fontId="3" fillId="5" borderId="3" xfId="0" applyNumberFormat="1" applyFont="1" applyFill="1" applyBorder="1" applyAlignment="1">
      <alignment vertical="center" wrapText="1"/>
    </xf>
    <xf numFmtId="14" fontId="3" fillId="5"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9" fillId="5" borderId="1" xfId="0" applyFont="1" applyFill="1" applyBorder="1" applyAlignment="1">
      <alignment horizontal="left" vertical="center" wrapText="1"/>
    </xf>
    <xf numFmtId="0" fontId="3" fillId="5" borderId="1" xfId="0" applyFont="1" applyFill="1" applyBorder="1" applyAlignment="1">
      <alignment vertical="center"/>
    </xf>
    <xf numFmtId="14" fontId="3" fillId="5" borderId="1" xfId="0" applyNumberFormat="1" applyFont="1" applyFill="1" applyBorder="1" applyAlignment="1">
      <alignment horizontal="center" vertical="center"/>
    </xf>
    <xf numFmtId="0" fontId="3" fillId="5" borderId="0" xfId="0" applyFont="1" applyFill="1" applyAlignment="1">
      <alignment horizontal="center" vertical="center" wrapText="1"/>
    </xf>
    <xf numFmtId="14" fontId="3" fillId="5" borderId="1" xfId="0" applyNumberFormat="1" applyFont="1" applyFill="1" applyBorder="1" applyAlignment="1">
      <alignment vertical="center" wrapText="1"/>
    </xf>
    <xf numFmtId="14"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11" fillId="9" borderId="1" xfId="0" applyFont="1" applyFill="1" applyBorder="1" applyAlignment="1">
      <alignment vertical="center" wrapText="1"/>
    </xf>
    <xf numFmtId="0" fontId="3" fillId="5" borderId="7" xfId="0" applyFont="1" applyFill="1" applyBorder="1" applyAlignment="1">
      <alignment horizontal="left" vertical="center" wrapText="1"/>
    </xf>
    <xf numFmtId="0" fontId="3" fillId="0" borderId="7" xfId="0" applyFont="1" applyBorder="1" applyAlignment="1">
      <alignment vertical="center" wrapText="1"/>
    </xf>
    <xf numFmtId="0" fontId="3" fillId="0" borderId="6" xfId="0" applyFont="1" applyBorder="1" applyAlignment="1">
      <alignment horizontal="right" vertical="center" wrapText="1"/>
    </xf>
    <xf numFmtId="14" fontId="12" fillId="5" borderId="8" xfId="0" applyNumberFormat="1" applyFont="1" applyFill="1" applyBorder="1" applyAlignment="1">
      <alignment wrapText="1"/>
    </xf>
    <xf numFmtId="0" fontId="3" fillId="0" borderId="8" xfId="0" applyFont="1" applyBorder="1" applyAlignment="1">
      <alignment horizontal="right" vertical="center" wrapText="1"/>
    </xf>
    <xf numFmtId="0" fontId="3" fillId="0" borderId="8" xfId="0" applyFont="1" applyBorder="1" applyAlignment="1">
      <alignment vertical="center" wrapText="1"/>
    </xf>
    <xf numFmtId="0" fontId="13" fillId="5" borderId="1" xfId="0" applyFont="1" applyFill="1" applyBorder="1" applyAlignment="1">
      <alignment horizontal="left" wrapText="1"/>
    </xf>
    <xf numFmtId="0" fontId="0" fillId="10" borderId="6" xfId="0" applyFill="1" applyBorder="1" applyAlignment="1">
      <alignment horizontal="left" wrapText="1"/>
    </xf>
    <xf numFmtId="0" fontId="0" fillId="5" borderId="7" xfId="0" applyFill="1" applyBorder="1" applyAlignment="1">
      <alignment horizontal="left" wrapText="1"/>
    </xf>
    <xf numFmtId="0" fontId="0" fillId="5" borderId="6" xfId="0" applyFill="1" applyBorder="1" applyAlignment="1">
      <alignment horizontal="left" wrapText="1"/>
    </xf>
    <xf numFmtId="14" fontId="9" fillId="5" borderId="1"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0" fontId="3" fillId="0" borderId="8" xfId="0" applyFont="1" applyBorder="1" applyAlignment="1">
      <alignment horizontal="center" vertical="center" wrapText="1"/>
    </xf>
    <xf numFmtId="14" fontId="3" fillId="0" borderId="8"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1" fontId="0" fillId="5" borderId="1" xfId="0" applyNumberFormat="1" applyFill="1" applyBorder="1" applyAlignment="1">
      <alignment horizontal="left" wrapText="1"/>
    </xf>
    <xf numFmtId="0" fontId="3" fillId="11" borderId="1" xfId="0" applyFont="1" applyFill="1" applyBorder="1" applyAlignment="1">
      <alignment vertical="center" wrapText="1"/>
    </xf>
    <xf numFmtId="17" fontId="3" fillId="0" borderId="1" xfId="0" applyNumberFormat="1" applyFont="1" applyBorder="1" applyAlignment="1">
      <alignment horizontal="left" wrapText="1"/>
    </xf>
    <xf numFmtId="0" fontId="2" fillId="0" borderId="1" xfId="0" applyFont="1" applyBorder="1" applyAlignment="1">
      <alignment horizontal="left" wrapText="1"/>
    </xf>
    <xf numFmtId="0" fontId="3" fillId="16" borderId="1" xfId="0" applyFont="1" applyFill="1" applyBorder="1" applyAlignment="1">
      <alignment horizontal="left" wrapText="1"/>
    </xf>
    <xf numFmtId="0" fontId="0" fillId="4" borderId="1" xfId="0" applyFill="1" applyBorder="1" applyAlignment="1">
      <alignment horizontal="left" wrapText="1"/>
    </xf>
    <xf numFmtId="0" fontId="0" fillId="17" borderId="1" xfId="0" applyFill="1" applyBorder="1" applyAlignment="1">
      <alignment horizontal="left" wrapText="1"/>
    </xf>
    <xf numFmtId="0" fontId="10" fillId="0" borderId="1" xfId="0" applyFont="1" applyBorder="1" applyAlignment="1">
      <alignment vertical="center" wrapText="1"/>
    </xf>
    <xf numFmtId="0" fontId="3" fillId="6" borderId="1" xfId="0" applyFont="1" applyFill="1" applyBorder="1" applyAlignment="1">
      <alignment horizontal="left" wrapText="1"/>
    </xf>
    <xf numFmtId="0" fontId="0" fillId="0" borderId="1" xfId="0" applyBorder="1" applyAlignment="1">
      <alignment horizontal="left"/>
    </xf>
    <xf numFmtId="14" fontId="3" fillId="0" borderId="1" xfId="0" applyNumberFormat="1" applyFont="1" applyBorder="1" applyAlignment="1">
      <alignment horizontal="left" vertical="center" wrapText="1"/>
    </xf>
    <xf numFmtId="14" fontId="3" fillId="0" borderId="0" xfId="0" applyNumberFormat="1" applyFont="1" applyAlignment="1">
      <alignment horizontal="left" vertical="center" wrapText="1"/>
    </xf>
    <xf numFmtId="0" fontId="0" fillId="5" borderId="1" xfId="0" applyFill="1" applyBorder="1" applyAlignment="1">
      <alignment horizontal="left" vertical="center" wrapText="1"/>
    </xf>
    <xf numFmtId="14" fontId="0" fillId="5" borderId="1" xfId="0" applyNumberFormat="1" applyFill="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24"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0" borderId="0" xfId="0" applyFont="1" applyAlignment="1">
      <alignment horizontal="left" vertical="center" wrapText="1"/>
    </xf>
    <xf numFmtId="0" fontId="7" fillId="20" borderId="1" xfId="0" applyFont="1" applyFill="1" applyBorder="1" applyAlignment="1">
      <alignment horizontal="left" wrapText="1"/>
    </xf>
    <xf numFmtId="0" fontId="7" fillId="20" borderId="1" xfId="0" applyFont="1" applyFill="1" applyBorder="1" applyAlignment="1">
      <alignment horizontal="left" vertical="center" wrapText="1"/>
    </xf>
    <xf numFmtId="0" fontId="3" fillId="6" borderId="1" xfId="0" applyFont="1" applyFill="1" applyBorder="1" applyAlignment="1">
      <alignment vertical="center" wrapText="1"/>
    </xf>
    <xf numFmtId="0" fontId="24" fillId="0" borderId="1" xfId="0" applyFont="1" applyBorder="1" applyAlignment="1">
      <alignment vertical="center" wrapText="1"/>
    </xf>
    <xf numFmtId="0" fontId="0" fillId="22" borderId="1" xfId="0" applyFill="1" applyBorder="1" applyAlignment="1">
      <alignment horizontal="left" vertical="center" wrapText="1"/>
    </xf>
    <xf numFmtId="0" fontId="0" fillId="23" borderId="1" xfId="0" applyFill="1" applyBorder="1" applyAlignment="1">
      <alignment horizontal="left" vertical="center" wrapText="1"/>
    </xf>
    <xf numFmtId="0" fontId="18" fillId="5" borderId="1" xfId="0" applyFont="1" applyFill="1" applyBorder="1" applyAlignment="1">
      <alignment horizontal="left" wrapText="1"/>
    </xf>
    <xf numFmtId="0" fontId="25" fillId="0" borderId="1" xfId="0" applyFont="1" applyBorder="1" applyAlignment="1">
      <alignment horizontal="left" vertical="center"/>
    </xf>
    <xf numFmtId="0" fontId="14" fillId="0" borderId="1" xfId="0" applyFont="1" applyBorder="1" applyAlignment="1">
      <alignment vertical="center" wrapText="1"/>
    </xf>
    <xf numFmtId="0" fontId="27" fillId="0" borderId="1" xfId="0" applyFont="1" applyBorder="1" applyAlignment="1">
      <alignment horizontal="left" wrapText="1"/>
    </xf>
    <xf numFmtId="0" fontId="27" fillId="5" borderId="1" xfId="0" applyFont="1" applyFill="1" applyBorder="1" applyAlignment="1">
      <alignment horizontal="left" wrapText="1"/>
    </xf>
    <xf numFmtId="14" fontId="27" fillId="5" borderId="1" xfId="0" applyNumberFormat="1" applyFont="1" applyFill="1" applyBorder="1" applyAlignment="1">
      <alignment horizontal="left" wrapText="1"/>
    </xf>
    <xf numFmtId="0" fontId="27" fillId="20" borderId="1" xfId="0" applyFont="1" applyFill="1" applyBorder="1" applyAlignment="1">
      <alignment horizontal="left" wrapText="1"/>
    </xf>
    <xf numFmtId="0" fontId="26" fillId="25" borderId="1" xfId="0" applyFont="1" applyFill="1" applyBorder="1" applyAlignment="1">
      <alignment horizontal="center" wrapText="1"/>
    </xf>
    <xf numFmtId="0" fontId="26" fillId="25" borderId="1" xfId="0" applyFont="1" applyFill="1" applyBorder="1" applyAlignment="1">
      <alignment horizontal="center" vertical="center" wrapText="1"/>
    </xf>
    <xf numFmtId="0" fontId="29" fillId="25" borderId="1" xfId="0" applyFont="1" applyFill="1" applyBorder="1" applyAlignment="1">
      <alignment horizontal="center" wrapText="1"/>
    </xf>
    <xf numFmtId="14" fontId="26" fillId="25" borderId="1" xfId="0" applyNumberFormat="1" applyFont="1" applyFill="1" applyBorder="1" applyAlignment="1">
      <alignment horizontal="center" vertical="center" wrapText="1"/>
    </xf>
    <xf numFmtId="0" fontId="28" fillId="25" borderId="1" xfId="0" applyFont="1" applyFill="1" applyBorder="1" applyAlignment="1">
      <alignment horizontal="center" wrapText="1"/>
    </xf>
    <xf numFmtId="14" fontId="27" fillId="0" borderId="1" xfId="0" applyNumberFormat="1" applyFont="1" applyBorder="1" applyAlignment="1">
      <alignment horizontal="left" wrapText="1"/>
    </xf>
    <xf numFmtId="0" fontId="27" fillId="6" borderId="1" xfId="0" applyFont="1" applyFill="1" applyBorder="1" applyAlignment="1">
      <alignment horizontal="left" wrapText="1"/>
    </xf>
    <xf numFmtId="0" fontId="27" fillId="23" borderId="1" xfId="0" applyFont="1" applyFill="1" applyBorder="1" applyAlignment="1">
      <alignment horizontal="left" wrapText="1"/>
    </xf>
    <xf numFmtId="0" fontId="27" fillId="18" borderId="1" xfId="0" applyFont="1" applyFill="1" applyBorder="1" applyAlignment="1">
      <alignment horizontal="left" wrapText="1"/>
    </xf>
    <xf numFmtId="0" fontId="27" fillId="24" borderId="1" xfId="0" applyFont="1" applyFill="1" applyBorder="1" applyAlignment="1">
      <alignment horizontal="left" wrapText="1"/>
    </xf>
    <xf numFmtId="14" fontId="27" fillId="24" borderId="1" xfId="0" applyNumberFormat="1" applyFont="1" applyFill="1" applyBorder="1" applyAlignment="1">
      <alignment horizontal="left" wrapText="1"/>
    </xf>
    <xf numFmtId="0" fontId="30" fillId="24" borderId="1" xfId="0" applyFont="1" applyFill="1" applyBorder="1" applyAlignment="1">
      <alignment horizontal="left" wrapText="1"/>
    </xf>
    <xf numFmtId="0" fontId="30" fillId="22" borderId="1" xfId="0" applyFont="1" applyFill="1" applyBorder="1" applyAlignment="1">
      <alignment horizontal="left" wrapText="1"/>
    </xf>
    <xf numFmtId="0" fontId="27" fillId="26" borderId="1" xfId="0" applyFont="1" applyFill="1" applyBorder="1" applyAlignment="1">
      <alignment horizontal="left" wrapText="1"/>
    </xf>
    <xf numFmtId="0" fontId="27" fillId="5" borderId="1" xfId="0" applyFont="1" applyFill="1" applyBorder="1" applyAlignment="1">
      <alignment horizontal="left"/>
    </xf>
    <xf numFmtId="0" fontId="31" fillId="18" borderId="1" xfId="0" applyFont="1" applyFill="1" applyBorder="1" applyAlignment="1">
      <alignment horizontal="left" wrapText="1"/>
    </xf>
    <xf numFmtId="0" fontId="31" fillId="27" borderId="1" xfId="0" applyFont="1" applyFill="1" applyBorder="1" applyAlignment="1">
      <alignment horizontal="left" wrapText="1"/>
    </xf>
    <xf numFmtId="0" fontId="27" fillId="0" borderId="1" xfId="0" applyFont="1" applyBorder="1" applyAlignment="1">
      <alignment wrapText="1"/>
    </xf>
    <xf numFmtId="0" fontId="27" fillId="0" borderId="1" xfId="0" applyFont="1" applyBorder="1" applyAlignment="1">
      <alignment horizontal="center" wrapText="1"/>
    </xf>
    <xf numFmtId="0" fontId="3" fillId="0" borderId="1" xfId="0" applyFont="1" applyBorder="1" applyAlignment="1">
      <alignment wrapText="1"/>
    </xf>
    <xf numFmtId="0" fontId="2" fillId="8" borderId="1" xfId="0" applyFont="1" applyFill="1" applyBorder="1" applyAlignment="1">
      <alignment horizontal="left"/>
    </xf>
    <xf numFmtId="0" fontId="0" fillId="10" borderId="6" xfId="0" applyFill="1" applyBorder="1" applyAlignment="1">
      <alignment horizontal="left"/>
    </xf>
    <xf numFmtId="0" fontId="0" fillId="5" borderId="7" xfId="0" applyFill="1" applyBorder="1" applyAlignment="1">
      <alignment horizontal="left"/>
    </xf>
    <xf numFmtId="0" fontId="0" fillId="5" borderId="1" xfId="0" applyFill="1" applyBorder="1" applyAlignment="1">
      <alignment horizontal="left"/>
    </xf>
    <xf numFmtId="0" fontId="0" fillId="5" borderId="6" xfId="0" applyFill="1" applyBorder="1" applyAlignment="1">
      <alignment horizontal="left"/>
    </xf>
    <xf numFmtId="0" fontId="3" fillId="0" borderId="0" xfId="0" applyFont="1" applyAlignment="1">
      <alignment horizontal="left"/>
    </xf>
    <xf numFmtId="0" fontId="0" fillId="5" borderId="0" xfId="0" applyFill="1" applyAlignment="1">
      <alignment horizontal="left" wrapText="1"/>
    </xf>
    <xf numFmtId="14" fontId="0" fillId="5" borderId="0" xfId="0" applyNumberFormat="1" applyFill="1" applyAlignment="1">
      <alignment horizontal="left" wrapText="1"/>
    </xf>
    <xf numFmtId="0" fontId="0" fillId="5" borderId="0" xfId="0" applyFill="1" applyAlignment="1">
      <alignment horizontal="left"/>
    </xf>
    <xf numFmtId="14" fontId="0" fillId="5" borderId="0" xfId="0" applyNumberFormat="1" applyFill="1" applyAlignment="1">
      <alignment horizontal="left"/>
    </xf>
    <xf numFmtId="0" fontId="0" fillId="0" borderId="0" xfId="0" applyAlignment="1">
      <alignment horizontal="left"/>
    </xf>
    <xf numFmtId="0" fontId="2" fillId="5" borderId="1" xfId="0" applyFont="1" applyFill="1" applyBorder="1" applyAlignment="1">
      <alignment horizontal="left" wrapText="1"/>
    </xf>
    <xf numFmtId="0" fontId="18" fillId="15" borderId="1" xfId="0" applyFont="1" applyFill="1" applyBorder="1" applyAlignment="1">
      <alignment horizontal="left" wrapText="1"/>
    </xf>
    <xf numFmtId="0" fontId="7" fillId="0" borderId="1" xfId="0" applyFont="1" applyBorder="1" applyAlignment="1">
      <alignment vertical="center" wrapText="1"/>
    </xf>
    <xf numFmtId="0" fontId="16" fillId="5" borderId="1" xfId="0" applyFont="1" applyFill="1" applyBorder="1" applyAlignment="1">
      <alignment horizontal="left" wrapText="1"/>
    </xf>
    <xf numFmtId="0" fontId="20" fillId="5" borderId="1" xfId="0" applyFont="1" applyFill="1" applyBorder="1" applyAlignment="1">
      <alignment horizontal="left" wrapText="1"/>
    </xf>
    <xf numFmtId="0" fontId="15" fillId="0" borderId="1" xfId="0" applyFont="1" applyBorder="1" applyAlignment="1">
      <alignment horizontal="left" wrapText="1"/>
    </xf>
    <xf numFmtId="0" fontId="32" fillId="2" borderId="1" xfId="0" applyFont="1" applyFill="1" applyBorder="1" applyAlignment="1">
      <alignment wrapText="1"/>
    </xf>
    <xf numFmtId="0" fontId="27" fillId="8" borderId="1" xfId="0" applyFont="1" applyFill="1" applyBorder="1" applyAlignment="1">
      <alignment horizontal="left" wrapText="1"/>
    </xf>
    <xf numFmtId="0" fontId="3" fillId="0" borderId="3" xfId="0" applyFont="1" applyBorder="1" applyAlignment="1">
      <alignment horizontal="left" vertical="center" wrapText="1"/>
    </xf>
    <xf numFmtId="0" fontId="1" fillId="5" borderId="1" xfId="0" applyFont="1" applyFill="1" applyBorder="1" applyAlignment="1">
      <alignment horizontal="left"/>
    </xf>
    <xf numFmtId="0" fontId="1" fillId="5" borderId="1" xfId="0" applyFont="1" applyFill="1" applyBorder="1" applyAlignment="1">
      <alignment horizontal="left" wrapText="1"/>
    </xf>
    <xf numFmtId="0" fontId="1" fillId="0" borderId="1" xfId="0" applyFont="1" applyBorder="1" applyAlignment="1">
      <alignment horizontal="left" wrapText="1"/>
    </xf>
    <xf numFmtId="0" fontId="34" fillId="0" borderId="2" xfId="0" applyFont="1" applyBorder="1"/>
    <xf numFmtId="14" fontId="34" fillId="0" borderId="2" xfId="0" applyNumberFormat="1" applyFont="1" applyBorder="1"/>
    <xf numFmtId="0" fontId="34" fillId="0" borderId="2" xfId="0" applyFont="1" applyBorder="1" applyAlignment="1">
      <alignment wrapText="1"/>
    </xf>
    <xf numFmtId="0" fontId="34" fillId="30" borderId="2" xfId="0" applyFont="1" applyFill="1" applyBorder="1" applyAlignment="1">
      <alignment wrapText="1"/>
    </xf>
    <xf numFmtId="0" fontId="34" fillId="10" borderId="9" xfId="0" applyFont="1" applyFill="1" applyBorder="1" applyAlignment="1">
      <alignment wrapText="1"/>
    </xf>
    <xf numFmtId="0" fontId="35" fillId="0" borderId="0" xfId="0" applyFont="1"/>
    <xf numFmtId="0" fontId="36" fillId="0" borderId="0" xfId="0" applyFont="1" applyAlignment="1">
      <alignment horizontal="left" vertical="center" wrapText="1"/>
    </xf>
    <xf numFmtId="0" fontId="37" fillId="0" borderId="0" xfId="0" applyFont="1"/>
    <xf numFmtId="0" fontId="33" fillId="0" borderId="6" xfId="0" applyFont="1" applyBorder="1"/>
    <xf numFmtId="0" fontId="33" fillId="31" borderId="6" xfId="0" applyFont="1" applyFill="1" applyBorder="1" applyAlignment="1">
      <alignment wrapText="1"/>
    </xf>
    <xf numFmtId="0" fontId="33" fillId="32" borderId="6" xfId="0" applyFont="1" applyFill="1" applyBorder="1"/>
    <xf numFmtId="0" fontId="33" fillId="33" borderId="6" xfId="0" applyFont="1" applyFill="1" applyBorder="1"/>
    <xf numFmtId="0" fontId="34" fillId="34" borderId="2" xfId="0" applyFont="1" applyFill="1" applyBorder="1"/>
    <xf numFmtId="14" fontId="34" fillId="34" borderId="2" xfId="0" applyNumberFormat="1" applyFont="1" applyFill="1" applyBorder="1"/>
    <xf numFmtId="0" fontId="33" fillId="0" borderId="6" xfId="0" applyFont="1" applyBorder="1" applyAlignment="1">
      <alignment wrapText="1"/>
    </xf>
    <xf numFmtId="0" fontId="0" fillId="29" borderId="10" xfId="0" applyFill="1" applyBorder="1" applyAlignment="1">
      <alignment horizontal="left" wrapText="1"/>
    </xf>
    <xf numFmtId="0" fontId="3" fillId="0" borderId="10" xfId="0" applyFont="1" applyBorder="1" applyAlignment="1">
      <alignment vertical="center" wrapText="1"/>
    </xf>
    <xf numFmtId="0" fontId="0" fillId="0" borderId="6" xfId="0" applyBorder="1"/>
    <xf numFmtId="0" fontId="3" fillId="0" borderId="8" xfId="0" applyFont="1" applyBorder="1" applyAlignment="1">
      <alignment horizontal="left" vertical="center" wrapText="1"/>
    </xf>
    <xf numFmtId="0" fontId="34" fillId="10" borderId="3" xfId="0" applyFont="1" applyFill="1" applyBorder="1"/>
    <xf numFmtId="0" fontId="34" fillId="10" borderId="11" xfId="0" applyFont="1" applyFill="1" applyBorder="1" applyAlignment="1">
      <alignment horizontal="center"/>
    </xf>
    <xf numFmtId="14" fontId="34" fillId="10" borderId="9" xfId="0" applyNumberFormat="1" applyFont="1" applyFill="1" applyBorder="1"/>
    <xf numFmtId="0" fontId="34" fillId="10" borderId="9" xfId="0" applyFont="1" applyFill="1" applyBorder="1"/>
    <xf numFmtId="0" fontId="0" fillId="10" borderId="9" xfId="0" applyFill="1" applyBorder="1"/>
    <xf numFmtId="0" fontId="0" fillId="10" borderId="0" xfId="0" applyFill="1"/>
    <xf numFmtId="0" fontId="34" fillId="0" borderId="3" xfId="0" applyFont="1" applyBorder="1"/>
    <xf numFmtId="0" fontId="34" fillId="0" borderId="11" xfId="0" applyFont="1" applyBorder="1" applyAlignment="1">
      <alignment horizontal="center"/>
    </xf>
    <xf numFmtId="0" fontId="34" fillId="0" borderId="9" xfId="0" applyFont="1" applyBorder="1" applyAlignment="1">
      <alignment wrapText="1"/>
    </xf>
    <xf numFmtId="14" fontId="34" fillId="0" borderId="9" xfId="0" applyNumberFormat="1" applyFont="1" applyBorder="1"/>
    <xf numFmtId="0" fontId="34" fillId="0" borderId="9" xfId="0" applyFont="1" applyBorder="1"/>
    <xf numFmtId="0" fontId="0" fillId="0" borderId="9" xfId="0" applyBorder="1"/>
    <xf numFmtId="0" fontId="38" fillId="5" borderId="1" xfId="0" applyFont="1" applyFill="1" applyBorder="1" applyAlignment="1">
      <alignment horizontal="left" wrapText="1"/>
    </xf>
    <xf numFmtId="0" fontId="40" fillId="25" borderId="1" xfId="0" applyFont="1" applyFill="1" applyBorder="1" applyAlignment="1">
      <alignment horizontal="center" vertical="center" wrapText="1"/>
    </xf>
    <xf numFmtId="0" fontId="38" fillId="0" borderId="1" xfId="0" applyFont="1" applyBorder="1" applyAlignment="1">
      <alignment horizontal="left" wrapText="1"/>
    </xf>
    <xf numFmtId="0" fontId="38" fillId="0" borderId="8" xfId="0" applyFont="1" applyBorder="1" applyAlignment="1">
      <alignment horizontal="left" wrapText="1"/>
    </xf>
    <xf numFmtId="0" fontId="38" fillId="0" borderId="9" xfId="0" applyFont="1" applyBorder="1"/>
    <xf numFmtId="0" fontId="38" fillId="0" borderId="9" xfId="0" applyFont="1" applyBorder="1" applyAlignment="1">
      <alignment horizontal="left" vertical="center" wrapText="1"/>
    </xf>
    <xf numFmtId="0" fontId="40" fillId="0" borderId="0" xfId="0" applyFont="1" applyAlignment="1">
      <alignment horizontal="left" vertical="center" wrapText="1"/>
    </xf>
    <xf numFmtId="14" fontId="38" fillId="5" borderId="1" xfId="0" applyNumberFormat="1" applyFont="1" applyFill="1" applyBorder="1" applyAlignment="1">
      <alignment horizontal="left" wrapText="1"/>
    </xf>
    <xf numFmtId="0" fontId="38" fillId="22" borderId="1" xfId="0" applyFont="1" applyFill="1" applyBorder="1" applyAlignment="1">
      <alignment horizontal="left" wrapText="1"/>
    </xf>
    <xf numFmtId="0" fontId="38" fillId="26" borderId="1" xfId="0" applyFont="1" applyFill="1" applyBorder="1" applyAlignment="1">
      <alignment horizontal="left" wrapText="1"/>
    </xf>
    <xf numFmtId="0" fontId="38" fillId="20" borderId="1" xfId="0" applyFont="1" applyFill="1" applyBorder="1" applyAlignment="1">
      <alignment horizontal="left" wrapText="1"/>
    </xf>
    <xf numFmtId="0" fontId="38" fillId="5" borderId="1" xfId="0" applyFont="1" applyFill="1" applyBorder="1" applyAlignment="1">
      <alignment horizontal="left"/>
    </xf>
    <xf numFmtId="0" fontId="42" fillId="5" borderId="0" xfId="0" applyFont="1" applyFill="1" applyAlignment="1">
      <alignment horizontal="left"/>
    </xf>
    <xf numFmtId="0" fontId="38" fillId="0" borderId="1" xfId="0" applyFont="1" applyBorder="1" applyAlignment="1">
      <alignment wrapText="1"/>
    </xf>
    <xf numFmtId="0" fontId="38" fillId="0" borderId="1" xfId="0" applyFont="1" applyBorder="1" applyAlignment="1">
      <alignment horizontal="left"/>
    </xf>
    <xf numFmtId="0" fontId="42" fillId="0" borderId="1" xfId="0" applyFont="1" applyBorder="1" applyAlignment="1">
      <alignment horizontal="left"/>
    </xf>
    <xf numFmtId="0" fontId="38" fillId="0" borderId="8" xfId="0" applyFont="1" applyBorder="1" applyAlignment="1">
      <alignment wrapText="1"/>
    </xf>
    <xf numFmtId="0" fontId="38" fillId="0" borderId="0" xfId="0" applyFont="1" applyAlignment="1">
      <alignment horizontal="left" wrapText="1"/>
    </xf>
    <xf numFmtId="0" fontId="38" fillId="27" borderId="1" xfId="0" applyFont="1" applyFill="1" applyBorder="1" applyAlignment="1">
      <alignment horizontal="left" wrapText="1"/>
    </xf>
    <xf numFmtId="0" fontId="38" fillId="5" borderId="0" xfId="0" applyFont="1" applyFill="1" applyAlignment="1">
      <alignment horizontal="left" wrapText="1"/>
    </xf>
    <xf numFmtId="0" fontId="38" fillId="6" borderId="1" xfId="0" applyFont="1" applyFill="1" applyBorder="1" applyAlignment="1">
      <alignment horizontal="left" wrapText="1"/>
    </xf>
    <xf numFmtId="0" fontId="38" fillId="24" borderId="1" xfId="0" applyFont="1" applyFill="1" applyBorder="1" applyAlignment="1">
      <alignment horizontal="left" wrapText="1"/>
    </xf>
    <xf numFmtId="0" fontId="38" fillId="0" borderId="1" xfId="0" applyFont="1" applyBorder="1" applyAlignment="1">
      <alignment vertical="center" wrapText="1"/>
    </xf>
    <xf numFmtId="0" fontId="38" fillId="0" borderId="0" xfId="0" applyFont="1" applyAlignment="1">
      <alignment vertical="center" wrapText="1"/>
    </xf>
    <xf numFmtId="0" fontId="38" fillId="18" borderId="1" xfId="0" applyFont="1" applyFill="1" applyBorder="1" applyAlignment="1">
      <alignment horizontal="left" wrapText="1"/>
    </xf>
    <xf numFmtId="0" fontId="38" fillId="0" borderId="1" xfId="0" applyFont="1" applyBorder="1"/>
    <xf numFmtId="0" fontId="38" fillId="0" borderId="0" xfId="0" applyFont="1"/>
    <xf numFmtId="0" fontId="43" fillId="6" borderId="1" xfId="0" applyFont="1" applyFill="1" applyBorder="1" applyAlignment="1">
      <alignment horizontal="left" wrapText="1"/>
    </xf>
    <xf numFmtId="0" fontId="38" fillId="5" borderId="1" xfId="0" applyFont="1" applyFill="1" applyBorder="1" applyAlignment="1">
      <alignment vertical="center" wrapText="1"/>
    </xf>
    <xf numFmtId="0" fontId="38" fillId="5" borderId="0" xfId="0" applyFont="1" applyFill="1" applyAlignment="1">
      <alignment vertical="center" wrapText="1"/>
    </xf>
    <xf numFmtId="0" fontId="38" fillId="6" borderId="0" xfId="0" applyFont="1" applyFill="1" applyAlignment="1">
      <alignment vertical="center" wrapText="1"/>
    </xf>
    <xf numFmtId="0" fontId="43" fillId="26" borderId="1" xfId="0" applyFont="1" applyFill="1" applyBorder="1" applyAlignment="1">
      <alignment horizontal="left" wrapText="1"/>
    </xf>
    <xf numFmtId="14" fontId="38" fillId="0" borderId="1" xfId="0" applyNumberFormat="1" applyFont="1" applyBorder="1" applyAlignment="1">
      <alignment horizontal="left" wrapText="1"/>
    </xf>
    <xf numFmtId="0" fontId="38" fillId="0" borderId="0" xfId="0" applyFont="1" applyAlignment="1">
      <alignment wrapText="1"/>
    </xf>
    <xf numFmtId="0" fontId="38" fillId="10" borderId="1" xfId="0" applyFont="1" applyFill="1" applyBorder="1" applyAlignment="1">
      <alignment wrapText="1"/>
    </xf>
    <xf numFmtId="0" fontId="38" fillId="0" borderId="1" xfId="0" applyFont="1" applyBorder="1" applyAlignment="1">
      <alignment horizontal="right" wrapText="1"/>
    </xf>
    <xf numFmtId="0" fontId="40" fillId="19" borderId="1" xfId="0" applyFont="1" applyFill="1" applyBorder="1" applyAlignment="1">
      <alignment horizontal="left" wrapText="1"/>
    </xf>
    <xf numFmtId="0" fontId="38" fillId="0" borderId="9" xfId="0" applyFont="1" applyBorder="1" applyAlignment="1">
      <alignment wrapText="1"/>
    </xf>
    <xf numFmtId="0" fontId="38" fillId="5" borderId="9" xfId="0" applyFont="1" applyFill="1" applyBorder="1" applyAlignment="1">
      <alignment horizontal="left" wrapText="1"/>
    </xf>
    <xf numFmtId="0" fontId="38" fillId="0" borderId="9" xfId="0" applyFont="1" applyBorder="1" applyAlignment="1">
      <alignment vertical="center" wrapText="1"/>
    </xf>
    <xf numFmtId="14" fontId="38" fillId="0" borderId="8" xfId="0" applyNumberFormat="1" applyFont="1" applyBorder="1" applyAlignment="1">
      <alignment horizontal="left" wrapText="1"/>
    </xf>
    <xf numFmtId="14" fontId="38" fillId="0" borderId="9" xfId="0" applyNumberFormat="1" applyFont="1" applyBorder="1" applyAlignment="1">
      <alignment horizontal="left" vertical="center" wrapText="1"/>
    </xf>
    <xf numFmtId="0" fontId="38" fillId="0" borderId="9" xfId="0" applyFont="1" applyBorder="1" applyAlignment="1">
      <alignment horizontal="left" wrapText="1"/>
    </xf>
    <xf numFmtId="0" fontId="40" fillId="4" borderId="9" xfId="0" applyFont="1" applyFill="1" applyBorder="1" applyAlignment="1">
      <alignment horizontal="left" wrapText="1"/>
    </xf>
    <xf numFmtId="0" fontId="40" fillId="0" borderId="9" xfId="0" applyFont="1" applyBorder="1" applyAlignment="1">
      <alignment horizontal="left" vertical="center" wrapText="1"/>
    </xf>
    <xf numFmtId="0" fontId="26" fillId="25" borderId="1" xfId="0" applyFont="1" applyFill="1" applyBorder="1" applyAlignment="1">
      <alignment horizontal="right" vertical="center" wrapText="1"/>
    </xf>
    <xf numFmtId="0" fontId="38" fillId="5" borderId="1" xfId="0" applyFont="1" applyFill="1" applyBorder="1" applyAlignment="1">
      <alignment horizontal="right" wrapText="1"/>
    </xf>
    <xf numFmtId="0" fontId="38" fillId="5" borderId="1" xfId="0" applyFont="1" applyFill="1" applyBorder="1" applyAlignment="1">
      <alignment horizontal="right"/>
    </xf>
    <xf numFmtId="0" fontId="38" fillId="0" borderId="8" xfId="0" applyFont="1" applyBorder="1" applyAlignment="1">
      <alignment horizontal="right" wrapText="1"/>
    </xf>
    <xf numFmtId="0" fontId="38" fillId="0" borderId="9" xfId="0" applyFont="1" applyBorder="1" applyAlignment="1">
      <alignment horizontal="right" vertical="center" wrapText="1"/>
    </xf>
    <xf numFmtId="0" fontId="26" fillId="25" borderId="1" xfId="0" applyFont="1" applyFill="1" applyBorder="1" applyAlignment="1">
      <alignment vertical="center" wrapText="1"/>
    </xf>
    <xf numFmtId="0" fontId="38" fillId="5" borderId="1" xfId="0" applyFont="1" applyFill="1" applyBorder="1" applyAlignment="1">
      <alignment wrapText="1"/>
    </xf>
    <xf numFmtId="14" fontId="38" fillId="5" borderId="1" xfId="0" applyNumberFormat="1" applyFont="1" applyFill="1" applyBorder="1" applyAlignment="1">
      <alignment horizontal="right" wrapText="1"/>
    </xf>
    <xf numFmtId="14" fontId="38" fillId="28" borderId="1" xfId="0" applyNumberFormat="1" applyFont="1" applyFill="1" applyBorder="1" applyAlignment="1">
      <alignment horizontal="right" wrapText="1"/>
    </xf>
    <xf numFmtId="16" fontId="38" fillId="5" borderId="1" xfId="0" applyNumberFormat="1" applyFont="1" applyFill="1" applyBorder="1" applyAlignment="1">
      <alignment horizontal="right" wrapText="1"/>
    </xf>
    <xf numFmtId="14" fontId="38" fillId="0" borderId="1" xfId="0" applyNumberFormat="1" applyFont="1" applyBorder="1" applyAlignment="1">
      <alignment horizontal="right" wrapText="1"/>
    </xf>
    <xf numFmtId="0" fontId="38" fillId="0" borderId="9" xfId="0" applyFont="1" applyBorder="1" applyAlignment="1">
      <alignment horizontal="right" wrapText="1"/>
    </xf>
    <xf numFmtId="0" fontId="7" fillId="25" borderId="1" xfId="0" applyFont="1" applyFill="1" applyBorder="1" applyAlignment="1">
      <alignment wrapText="1"/>
    </xf>
    <xf numFmtId="0" fontId="3" fillId="21" borderId="0" xfId="0" applyFont="1" applyFill="1" applyAlignment="1">
      <alignment vertical="center" wrapText="1"/>
    </xf>
    <xf numFmtId="0" fontId="3" fillId="21" borderId="1" xfId="0" applyFont="1" applyFill="1" applyBorder="1" applyAlignment="1">
      <alignment vertical="center" wrapText="1"/>
    </xf>
    <xf numFmtId="0" fontId="41" fillId="0" borderId="9" xfId="0" applyFont="1" applyBorder="1"/>
    <xf numFmtId="0" fontId="41" fillId="0" borderId="9" xfId="0" applyFont="1" applyBorder="1" applyAlignment="1">
      <alignment horizontal="right"/>
    </xf>
    <xf numFmtId="0" fontId="34" fillId="35" borderId="13" xfId="0" applyFont="1" applyFill="1" applyBorder="1"/>
    <xf numFmtId="14" fontId="34" fillId="35" borderId="13" xfId="0" applyNumberFormat="1" applyFont="1" applyFill="1" applyBorder="1"/>
    <xf numFmtId="0" fontId="34" fillId="35" borderId="14" xfId="0" applyFont="1" applyFill="1" applyBorder="1"/>
    <xf numFmtId="14" fontId="34" fillId="35" borderId="14" xfId="0" applyNumberFormat="1" applyFont="1" applyFill="1" applyBorder="1"/>
    <xf numFmtId="0" fontId="34" fillId="30" borderId="14" xfId="0" applyFont="1" applyFill="1" applyBorder="1"/>
    <xf numFmtId="14" fontId="34" fillId="30" borderId="14" xfId="0" applyNumberFormat="1" applyFont="1" applyFill="1" applyBorder="1"/>
    <xf numFmtId="0" fontId="34" fillId="35" borderId="13" xfId="0" applyFont="1" applyFill="1" applyBorder="1" applyAlignment="1">
      <alignment horizontal="center"/>
    </xf>
    <xf numFmtId="0" fontId="34" fillId="35" borderId="14" xfId="0" applyFont="1" applyFill="1" applyBorder="1" applyAlignment="1">
      <alignment horizontal="center"/>
    </xf>
    <xf numFmtId="0" fontId="34" fillId="30" borderId="14" xfId="0" applyFont="1" applyFill="1" applyBorder="1" applyAlignment="1">
      <alignment horizontal="center"/>
    </xf>
    <xf numFmtId="0" fontId="0" fillId="0" borderId="0" xfId="0" applyAlignment="1">
      <alignment horizontal="center"/>
    </xf>
    <xf numFmtId="0" fontId="34" fillId="35" borderId="13" xfId="0" applyFont="1" applyFill="1" applyBorder="1" applyAlignment="1">
      <alignment wrapText="1"/>
    </xf>
    <xf numFmtId="0" fontId="34" fillId="35" borderId="14" xfId="0" applyFont="1" applyFill="1" applyBorder="1" applyAlignment="1">
      <alignment wrapText="1"/>
    </xf>
    <xf numFmtId="0" fontId="34" fillId="30" borderId="14" xfId="0" applyFont="1" applyFill="1" applyBorder="1" applyAlignment="1">
      <alignment wrapText="1"/>
    </xf>
    <xf numFmtId="0" fontId="44" fillId="36" borderId="12" xfId="0" applyFont="1" applyFill="1" applyBorder="1"/>
    <xf numFmtId="0" fontId="44" fillId="36" borderId="13" xfId="0" applyFont="1" applyFill="1" applyBorder="1"/>
    <xf numFmtId="0" fontId="45" fillId="38" borderId="13" xfId="0" applyFont="1" applyFill="1" applyBorder="1"/>
    <xf numFmtId="0" fontId="45" fillId="37" borderId="13" xfId="0" applyFont="1" applyFill="1" applyBorder="1" applyAlignment="1">
      <alignment wrapText="1"/>
    </xf>
    <xf numFmtId="0" fontId="45" fillId="38" borderId="13" xfId="0" applyFont="1" applyFill="1" applyBorder="1" applyAlignment="1">
      <alignment horizontal="right"/>
    </xf>
    <xf numFmtId="0" fontId="34" fillId="35" borderId="13" xfId="0" applyFont="1" applyFill="1" applyBorder="1" applyAlignment="1">
      <alignment horizontal="right"/>
    </xf>
    <xf numFmtId="14" fontId="34" fillId="35" borderId="14" xfId="0" applyNumberFormat="1" applyFont="1" applyFill="1" applyBorder="1" applyAlignment="1">
      <alignment horizontal="right"/>
    </xf>
    <xf numFmtId="0" fontId="34" fillId="30" borderId="14" xfId="0" applyFont="1" applyFill="1" applyBorder="1" applyAlignment="1">
      <alignment horizontal="right"/>
    </xf>
    <xf numFmtId="0" fontId="0" fillId="0" borderId="0" xfId="0" applyAlignment="1">
      <alignment horizontal="right"/>
    </xf>
    <xf numFmtId="0" fontId="38" fillId="20" borderId="9" xfId="0" applyFont="1" applyFill="1" applyBorder="1" applyAlignment="1">
      <alignment horizontal="left" wrapText="1"/>
    </xf>
    <xf numFmtId="14" fontId="38" fillId="0" borderId="9" xfId="0" applyNumberFormat="1" applyFont="1" applyBorder="1" applyAlignment="1">
      <alignment horizontal="left" wrapText="1"/>
    </xf>
    <xf numFmtId="0" fontId="38" fillId="18" borderId="9" xfId="0" applyFont="1" applyFill="1" applyBorder="1" applyAlignment="1">
      <alignment horizontal="left" wrapText="1"/>
    </xf>
    <xf numFmtId="0" fontId="3" fillId="0" borderId="9" xfId="0" applyFont="1" applyBorder="1" applyAlignment="1">
      <alignment horizontal="left" vertical="center" wrapText="1"/>
    </xf>
    <xf numFmtId="0" fontId="3" fillId="0" borderId="9" xfId="0" applyFont="1" applyBorder="1" applyAlignment="1">
      <alignment vertical="center" wrapText="1"/>
    </xf>
    <xf numFmtId="0" fontId="3" fillId="0" borderId="9" xfId="0" applyFont="1" applyBorder="1" applyAlignment="1">
      <alignment horizontal="right" vertical="center" wrapText="1"/>
    </xf>
    <xf numFmtId="14" fontId="3" fillId="0" borderId="9" xfId="0" applyNumberFormat="1" applyFont="1" applyBorder="1" applyAlignment="1">
      <alignment horizontal="left" vertical="center" wrapText="1"/>
    </xf>
    <xf numFmtId="0" fontId="3" fillId="0" borderId="7" xfId="0" applyFont="1" applyBorder="1" applyAlignment="1">
      <alignment wrapText="1"/>
    </xf>
    <xf numFmtId="0" fontId="3" fillId="0" borderId="10" xfId="0" applyFont="1" applyBorder="1" applyAlignment="1">
      <alignment wrapText="1"/>
    </xf>
    <xf numFmtId="0" fontId="3" fillId="0" borderId="6" xfId="0" applyFont="1" applyBorder="1" applyAlignment="1">
      <alignment wrapText="1"/>
    </xf>
    <xf numFmtId="0" fontId="38" fillId="20" borderId="8" xfId="0" applyFont="1" applyFill="1" applyBorder="1" applyAlignment="1">
      <alignment horizontal="left" wrapText="1"/>
    </xf>
    <xf numFmtId="0" fontId="38" fillId="24" borderId="8" xfId="0" applyFont="1" applyFill="1" applyBorder="1" applyAlignment="1">
      <alignment horizontal="left" wrapText="1"/>
    </xf>
    <xf numFmtId="0" fontId="38" fillId="5" borderId="8" xfId="0" applyFont="1" applyFill="1" applyBorder="1" applyAlignment="1">
      <alignment horizontal="left" wrapText="1"/>
    </xf>
    <xf numFmtId="0" fontId="38" fillId="0" borderId="8" xfId="0" applyFont="1" applyBorder="1" applyAlignment="1">
      <alignment vertical="center" wrapText="1"/>
    </xf>
    <xf numFmtId="0" fontId="38" fillId="0" borderId="15" xfId="0" applyFont="1" applyBorder="1" applyAlignment="1">
      <alignment vertical="center" wrapText="1"/>
    </xf>
    <xf numFmtId="0" fontId="41" fillId="0" borderId="15" xfId="0" applyFont="1" applyBorder="1" applyAlignment="1">
      <alignment wrapText="1"/>
    </xf>
    <xf numFmtId="0" fontId="41" fillId="0" borderId="15" xfId="0" applyFont="1" applyBorder="1"/>
    <xf numFmtId="0" fontId="41" fillId="0" borderId="15" xfId="0" applyFont="1" applyBorder="1" applyAlignment="1">
      <alignment horizontal="right"/>
    </xf>
    <xf numFmtId="0" fontId="38" fillId="0" borderId="15" xfId="0" applyFont="1" applyBorder="1" applyAlignment="1">
      <alignment horizontal="right" vertical="center" wrapText="1"/>
    </xf>
    <xf numFmtId="0" fontId="38" fillId="0" borderId="15" xfId="0" applyFont="1" applyBorder="1" applyAlignment="1">
      <alignment horizontal="left" vertical="center" wrapText="1"/>
    </xf>
    <xf numFmtId="14" fontId="38" fillId="0" borderId="15" xfId="0" applyNumberFormat="1" applyFont="1" applyBorder="1" applyAlignment="1">
      <alignment horizontal="left" vertical="center" wrapText="1"/>
    </xf>
    <xf numFmtId="0" fontId="40" fillId="0" borderId="15" xfId="0" applyFont="1" applyBorder="1" applyAlignment="1">
      <alignment horizontal="left" vertical="center" wrapText="1"/>
    </xf>
    <xf numFmtId="0" fontId="38" fillId="5" borderId="15" xfId="0" applyFont="1" applyFill="1" applyBorder="1" applyAlignment="1">
      <alignment horizontal="left" wrapText="1"/>
    </xf>
    <xf numFmtId="0" fontId="38" fillId="20" borderId="3" xfId="0" applyFont="1" applyFill="1" applyBorder="1" applyAlignment="1">
      <alignment horizontal="left" wrapText="1"/>
    </xf>
    <xf numFmtId="0" fontId="38" fillId="18" borderId="16" xfId="0" applyFont="1" applyFill="1" applyBorder="1"/>
    <xf numFmtId="0" fontId="38" fillId="0" borderId="16" xfId="0" applyFont="1" applyBorder="1"/>
    <xf numFmtId="0" fontId="38" fillId="0" borderId="16" xfId="0" applyFont="1" applyBorder="1" applyAlignment="1">
      <alignment horizontal="right"/>
    </xf>
    <xf numFmtId="0" fontId="38" fillId="0" borderId="16" xfId="0" applyFont="1" applyBorder="1" applyAlignment="1">
      <alignment wrapText="1"/>
    </xf>
    <xf numFmtId="0" fontId="38" fillId="0" borderId="16" xfId="0" applyFont="1" applyBorder="1" applyAlignment="1">
      <alignment horizontal="right" wrapText="1"/>
    </xf>
    <xf numFmtId="14" fontId="38" fillId="0" borderId="16" xfId="0" applyNumberFormat="1" applyFont="1" applyBorder="1"/>
    <xf numFmtId="0" fontId="38" fillId="5" borderId="16" xfId="0" applyFont="1" applyFill="1" applyBorder="1" applyAlignment="1">
      <alignment horizontal="left" wrapText="1"/>
    </xf>
    <xf numFmtId="14" fontId="38" fillId="0" borderId="16" xfId="0" applyNumberFormat="1" applyFont="1" applyBorder="1" applyAlignment="1">
      <alignment horizontal="left" vertical="center" wrapText="1"/>
    </xf>
    <xf numFmtId="0" fontId="38" fillId="0" borderId="16" xfId="0" applyFont="1" applyBorder="1" applyAlignment="1">
      <alignment horizontal="left" wrapText="1"/>
    </xf>
    <xf numFmtId="0" fontId="40" fillId="4" borderId="16" xfId="0" applyFont="1" applyFill="1" applyBorder="1" applyAlignment="1">
      <alignment horizontal="left" wrapText="1"/>
    </xf>
    <xf numFmtId="0" fontId="38" fillId="5" borderId="3" xfId="0" applyFont="1" applyFill="1" applyBorder="1" applyAlignment="1">
      <alignment horizontal="left" wrapText="1"/>
    </xf>
    <xf numFmtId="0" fontId="38" fillId="0" borderId="16" xfId="0" applyFont="1" applyBorder="1" applyAlignment="1">
      <alignment vertical="center" wrapText="1"/>
    </xf>
    <xf numFmtId="0" fontId="4" fillId="7" borderId="0" xfId="0" applyFont="1" applyFill="1" applyAlignment="1">
      <alignment horizontal="center" vertical="center" wrapText="1"/>
    </xf>
    <xf numFmtId="0" fontId="4" fillId="21" borderId="1" xfId="0" applyFont="1" applyFill="1" applyBorder="1" applyAlignment="1">
      <alignment horizontal="center" vertical="center" wrapText="1"/>
    </xf>
    <xf numFmtId="0" fontId="39" fillId="21" borderId="1" xfId="0" applyFont="1" applyFill="1" applyBorder="1" applyAlignment="1">
      <alignment horizontal="center" vertical="center" wrapText="1"/>
    </xf>
    <xf numFmtId="0" fontId="4" fillId="21" borderId="1" xfId="0" applyFont="1" applyFill="1" applyBorder="1" applyAlignment="1">
      <alignment horizontal="right" vertical="center" wrapText="1"/>
    </xf>
    <xf numFmtId="0" fontId="4" fillId="21" borderId="1" xfId="0" applyFont="1" applyFill="1" applyBorder="1" applyAlignment="1">
      <alignment vertical="center" wrapText="1"/>
    </xf>
  </cellXfs>
  <cellStyles count="1">
    <cellStyle name="Normal" xfId="0" builtinId="0"/>
  </cellStyles>
  <dxfs count="38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66FFFF"/>
      <color rgb="FFFF66FF"/>
      <color rgb="FFFFA9A7"/>
      <color rgb="FF003366"/>
      <color rgb="FFFF9999"/>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25</xdr:col>
      <xdr:colOff>0</xdr:colOff>
      <xdr:row>201</xdr:row>
      <xdr:rowOff>0</xdr:rowOff>
    </xdr:from>
    <xdr:ext cx="914400" cy="228600"/>
    <xdr:pic>
      <xdr:nvPicPr>
        <xdr:cNvPr id="122" name="Control 4" hidden="1">
          <a:extLst>
            <a:ext uri="{FF2B5EF4-FFF2-40B4-BE49-F238E27FC236}">
              <a16:creationId xmlns:a16="http://schemas.microsoft.com/office/drawing/2014/main" id="{00000000-0008-0000-0100-00007A000000}"/>
            </a:ext>
          </a:extLst>
        </xdr:cNvPr>
        <xdr:cNvPicPr>
          <a:picLocks noChangeAspect="1"/>
        </xdr:cNvPicPr>
      </xdr:nvPicPr>
      <xdr:blipFill>
        <a:blip xmlns:r="http://schemas.openxmlformats.org/officeDocument/2006/relationships" r:embed="rId1"/>
        <a:stretch>
          <a:fillRect/>
        </a:stretch>
      </xdr:blipFill>
      <xdr:spPr>
        <a:xfrm>
          <a:off x="22107525" y="216255600"/>
          <a:ext cx="914400" cy="228600"/>
        </a:xfrm>
        <a:prstGeom prst="rect">
          <a:avLst/>
        </a:prstGeom>
      </xdr:spPr>
    </xdr:pic>
    <xdr:clientData/>
  </xdr:oneCellAnchor>
  <xdr:oneCellAnchor>
    <xdr:from>
      <xdr:col>25</xdr:col>
      <xdr:colOff>0</xdr:colOff>
      <xdr:row>201</xdr:row>
      <xdr:rowOff>0</xdr:rowOff>
    </xdr:from>
    <xdr:ext cx="914400" cy="228600"/>
    <xdr:pic>
      <xdr:nvPicPr>
        <xdr:cNvPr id="123" name="Control 5" hidden="1">
          <a:extLst>
            <a:ext uri="{FF2B5EF4-FFF2-40B4-BE49-F238E27FC236}">
              <a16:creationId xmlns:a16="http://schemas.microsoft.com/office/drawing/2014/main" id="{00000000-0008-0000-0100-00007B000000}"/>
            </a:ext>
          </a:extLst>
        </xdr:cNvPr>
        <xdr:cNvPicPr>
          <a:picLocks noChangeAspect="1"/>
        </xdr:cNvPicPr>
      </xdr:nvPicPr>
      <xdr:blipFill>
        <a:blip xmlns:r="http://schemas.openxmlformats.org/officeDocument/2006/relationships" r:embed="rId2"/>
        <a:stretch>
          <a:fillRect/>
        </a:stretch>
      </xdr:blipFill>
      <xdr:spPr>
        <a:xfrm>
          <a:off x="22107525" y="216255600"/>
          <a:ext cx="914400" cy="228600"/>
        </a:xfrm>
        <a:prstGeom prst="rect">
          <a:avLst/>
        </a:prstGeom>
      </xdr:spPr>
    </xdr:pic>
    <xdr:clientData/>
  </xdr:oneCellAnchor>
  <xdr:oneCellAnchor>
    <xdr:from>
      <xdr:col>25</xdr:col>
      <xdr:colOff>0</xdr:colOff>
      <xdr:row>201</xdr:row>
      <xdr:rowOff>0</xdr:rowOff>
    </xdr:from>
    <xdr:ext cx="914400" cy="228600"/>
    <xdr:pic>
      <xdr:nvPicPr>
        <xdr:cNvPr id="124" name="Control 6" hidden="1">
          <a:extLst>
            <a:ext uri="{FF2B5EF4-FFF2-40B4-BE49-F238E27FC236}">
              <a16:creationId xmlns:a16="http://schemas.microsoft.com/office/drawing/2014/main" id="{00000000-0008-0000-0100-00007C000000}"/>
            </a:ext>
          </a:extLst>
        </xdr:cNvPr>
        <xdr:cNvPicPr>
          <a:picLocks noChangeAspect="1"/>
        </xdr:cNvPicPr>
      </xdr:nvPicPr>
      <xdr:blipFill>
        <a:blip xmlns:r="http://schemas.openxmlformats.org/officeDocument/2006/relationships" r:embed="rId3"/>
        <a:stretch>
          <a:fillRect/>
        </a:stretch>
      </xdr:blipFill>
      <xdr:spPr>
        <a:xfrm>
          <a:off x="22107525" y="216255600"/>
          <a:ext cx="914400" cy="228600"/>
        </a:xfrm>
        <a:prstGeom prst="rect">
          <a:avLst/>
        </a:prstGeom>
      </xdr:spPr>
    </xdr:pic>
    <xdr:clientData/>
  </xdr:oneCellAnchor>
  <xdr:oneCellAnchor>
    <xdr:from>
      <xdr:col>25</xdr:col>
      <xdr:colOff>0</xdr:colOff>
      <xdr:row>201</xdr:row>
      <xdr:rowOff>0</xdr:rowOff>
    </xdr:from>
    <xdr:ext cx="914400" cy="228600"/>
    <xdr:pic>
      <xdr:nvPicPr>
        <xdr:cNvPr id="125" name="Control 7" hidden="1">
          <a:extLst>
            <a:ext uri="{FF2B5EF4-FFF2-40B4-BE49-F238E27FC236}">
              <a16:creationId xmlns:a16="http://schemas.microsoft.com/office/drawing/2014/main" id="{00000000-0008-0000-0100-00007D000000}"/>
            </a:ext>
          </a:extLst>
        </xdr:cNvPr>
        <xdr:cNvPicPr>
          <a:picLocks noChangeAspect="1"/>
        </xdr:cNvPicPr>
      </xdr:nvPicPr>
      <xdr:blipFill>
        <a:blip xmlns:r="http://schemas.openxmlformats.org/officeDocument/2006/relationships" r:embed="rId4"/>
        <a:stretch>
          <a:fillRect/>
        </a:stretch>
      </xdr:blipFill>
      <xdr:spPr>
        <a:xfrm>
          <a:off x="22107525" y="216255600"/>
          <a:ext cx="914400" cy="228600"/>
        </a:xfrm>
        <a:prstGeom prst="rect">
          <a:avLst/>
        </a:prstGeom>
      </xdr:spPr>
    </xdr:pic>
    <xdr:clientData/>
  </xdr:oneCellAnchor>
  <xdr:oneCellAnchor>
    <xdr:from>
      <xdr:col>25</xdr:col>
      <xdr:colOff>0</xdr:colOff>
      <xdr:row>201</xdr:row>
      <xdr:rowOff>0</xdr:rowOff>
    </xdr:from>
    <xdr:ext cx="914400" cy="228600"/>
    <xdr:pic>
      <xdr:nvPicPr>
        <xdr:cNvPr id="126" name="Control 8" hidden="1">
          <a:extLst>
            <a:ext uri="{FF2B5EF4-FFF2-40B4-BE49-F238E27FC236}">
              <a16:creationId xmlns:a16="http://schemas.microsoft.com/office/drawing/2014/main" id="{00000000-0008-0000-0100-00007E000000}"/>
            </a:ext>
          </a:extLst>
        </xdr:cNvPr>
        <xdr:cNvPicPr>
          <a:picLocks noChangeAspect="1"/>
        </xdr:cNvPicPr>
      </xdr:nvPicPr>
      <xdr:blipFill>
        <a:blip xmlns:r="http://schemas.openxmlformats.org/officeDocument/2006/relationships" r:embed="rId5"/>
        <a:stretch>
          <a:fillRect/>
        </a:stretch>
      </xdr:blipFill>
      <xdr:spPr>
        <a:xfrm>
          <a:off x="22107525" y="216255600"/>
          <a:ext cx="914400" cy="228600"/>
        </a:xfrm>
        <a:prstGeom prst="rect">
          <a:avLst/>
        </a:prstGeom>
      </xdr:spPr>
    </xdr:pic>
    <xdr:clientData/>
  </xdr:oneCellAnchor>
  <xdr:oneCellAnchor>
    <xdr:from>
      <xdr:col>26</xdr:col>
      <xdr:colOff>0</xdr:colOff>
      <xdr:row>201</xdr:row>
      <xdr:rowOff>0</xdr:rowOff>
    </xdr:from>
    <xdr:ext cx="914400" cy="228600"/>
    <xdr:pic>
      <xdr:nvPicPr>
        <xdr:cNvPr id="182" name="Control 4" hidden="1">
          <a:extLst>
            <a:ext uri="{FF2B5EF4-FFF2-40B4-BE49-F238E27FC236}">
              <a16:creationId xmlns:a16="http://schemas.microsoft.com/office/drawing/2014/main" id="{00000000-0008-0000-0100-0000B6000000}"/>
            </a:ext>
          </a:extLst>
        </xdr:cNvPr>
        <xdr:cNvPicPr>
          <a:picLocks noChangeAspect="1"/>
        </xdr:cNvPicPr>
      </xdr:nvPicPr>
      <xdr:blipFill>
        <a:blip xmlns:r="http://schemas.openxmlformats.org/officeDocument/2006/relationships" r:embed="rId1"/>
        <a:stretch>
          <a:fillRect/>
        </a:stretch>
      </xdr:blipFill>
      <xdr:spPr>
        <a:xfrm>
          <a:off x="22869525" y="216255600"/>
          <a:ext cx="914400" cy="228600"/>
        </a:xfrm>
        <a:prstGeom prst="rect">
          <a:avLst/>
        </a:prstGeom>
      </xdr:spPr>
    </xdr:pic>
    <xdr:clientData/>
  </xdr:oneCellAnchor>
  <xdr:oneCellAnchor>
    <xdr:from>
      <xdr:col>26</xdr:col>
      <xdr:colOff>0</xdr:colOff>
      <xdr:row>201</xdr:row>
      <xdr:rowOff>0</xdr:rowOff>
    </xdr:from>
    <xdr:ext cx="914400" cy="228600"/>
    <xdr:pic>
      <xdr:nvPicPr>
        <xdr:cNvPr id="183" name="Control 5" hidden="1">
          <a:extLst>
            <a:ext uri="{FF2B5EF4-FFF2-40B4-BE49-F238E27FC236}">
              <a16:creationId xmlns:a16="http://schemas.microsoft.com/office/drawing/2014/main" id="{00000000-0008-0000-0100-0000B7000000}"/>
            </a:ext>
          </a:extLst>
        </xdr:cNvPr>
        <xdr:cNvPicPr>
          <a:picLocks noChangeAspect="1"/>
        </xdr:cNvPicPr>
      </xdr:nvPicPr>
      <xdr:blipFill>
        <a:blip xmlns:r="http://schemas.openxmlformats.org/officeDocument/2006/relationships" r:embed="rId2"/>
        <a:stretch>
          <a:fillRect/>
        </a:stretch>
      </xdr:blipFill>
      <xdr:spPr>
        <a:xfrm>
          <a:off x="22869525" y="216255600"/>
          <a:ext cx="914400" cy="228600"/>
        </a:xfrm>
        <a:prstGeom prst="rect">
          <a:avLst/>
        </a:prstGeom>
      </xdr:spPr>
    </xdr:pic>
    <xdr:clientData/>
  </xdr:oneCellAnchor>
  <xdr:oneCellAnchor>
    <xdr:from>
      <xdr:col>26</xdr:col>
      <xdr:colOff>0</xdr:colOff>
      <xdr:row>201</xdr:row>
      <xdr:rowOff>0</xdr:rowOff>
    </xdr:from>
    <xdr:ext cx="914400" cy="228600"/>
    <xdr:pic>
      <xdr:nvPicPr>
        <xdr:cNvPr id="184" name="Control 6" hidden="1">
          <a:extLst>
            <a:ext uri="{FF2B5EF4-FFF2-40B4-BE49-F238E27FC236}">
              <a16:creationId xmlns:a16="http://schemas.microsoft.com/office/drawing/2014/main" id="{00000000-0008-0000-0100-0000B8000000}"/>
            </a:ext>
          </a:extLst>
        </xdr:cNvPr>
        <xdr:cNvPicPr>
          <a:picLocks noChangeAspect="1"/>
        </xdr:cNvPicPr>
      </xdr:nvPicPr>
      <xdr:blipFill>
        <a:blip xmlns:r="http://schemas.openxmlformats.org/officeDocument/2006/relationships" r:embed="rId3"/>
        <a:stretch>
          <a:fillRect/>
        </a:stretch>
      </xdr:blipFill>
      <xdr:spPr>
        <a:xfrm>
          <a:off x="22869525" y="216255600"/>
          <a:ext cx="914400" cy="228600"/>
        </a:xfrm>
        <a:prstGeom prst="rect">
          <a:avLst/>
        </a:prstGeom>
      </xdr:spPr>
    </xdr:pic>
    <xdr:clientData/>
  </xdr:oneCellAnchor>
  <xdr:oneCellAnchor>
    <xdr:from>
      <xdr:col>26</xdr:col>
      <xdr:colOff>0</xdr:colOff>
      <xdr:row>201</xdr:row>
      <xdr:rowOff>0</xdr:rowOff>
    </xdr:from>
    <xdr:ext cx="914400" cy="228600"/>
    <xdr:pic>
      <xdr:nvPicPr>
        <xdr:cNvPr id="185" name="Control 7" hidden="1">
          <a:extLst>
            <a:ext uri="{FF2B5EF4-FFF2-40B4-BE49-F238E27FC236}">
              <a16:creationId xmlns:a16="http://schemas.microsoft.com/office/drawing/2014/main" id="{00000000-0008-0000-0100-0000B9000000}"/>
            </a:ext>
          </a:extLst>
        </xdr:cNvPr>
        <xdr:cNvPicPr>
          <a:picLocks noChangeAspect="1"/>
        </xdr:cNvPicPr>
      </xdr:nvPicPr>
      <xdr:blipFill>
        <a:blip xmlns:r="http://schemas.openxmlformats.org/officeDocument/2006/relationships" r:embed="rId4"/>
        <a:stretch>
          <a:fillRect/>
        </a:stretch>
      </xdr:blipFill>
      <xdr:spPr>
        <a:xfrm>
          <a:off x="22869525" y="216255600"/>
          <a:ext cx="914400" cy="228600"/>
        </a:xfrm>
        <a:prstGeom prst="rect">
          <a:avLst/>
        </a:prstGeom>
      </xdr:spPr>
    </xdr:pic>
    <xdr:clientData/>
  </xdr:oneCellAnchor>
  <xdr:oneCellAnchor>
    <xdr:from>
      <xdr:col>26</xdr:col>
      <xdr:colOff>0</xdr:colOff>
      <xdr:row>201</xdr:row>
      <xdr:rowOff>0</xdr:rowOff>
    </xdr:from>
    <xdr:ext cx="914400" cy="228600"/>
    <xdr:pic>
      <xdr:nvPicPr>
        <xdr:cNvPr id="186" name="Control 8" hidden="1">
          <a:extLst>
            <a:ext uri="{FF2B5EF4-FFF2-40B4-BE49-F238E27FC236}">
              <a16:creationId xmlns:a16="http://schemas.microsoft.com/office/drawing/2014/main" id="{00000000-0008-0000-0100-0000BA000000}"/>
            </a:ext>
          </a:extLst>
        </xdr:cNvPr>
        <xdr:cNvPicPr>
          <a:picLocks noChangeAspect="1"/>
        </xdr:cNvPicPr>
      </xdr:nvPicPr>
      <xdr:blipFill>
        <a:blip xmlns:r="http://schemas.openxmlformats.org/officeDocument/2006/relationships" r:embed="rId5"/>
        <a:stretch>
          <a:fillRect/>
        </a:stretch>
      </xdr:blipFill>
      <xdr:spPr>
        <a:xfrm>
          <a:off x="22869525" y="216255600"/>
          <a:ext cx="914400" cy="228600"/>
        </a:xfrm>
        <a:prstGeom prst="rect">
          <a:avLst/>
        </a:prstGeom>
      </xdr:spPr>
    </xdr:pic>
    <xdr:clientData/>
  </xdr:oneCellAnchor>
  <xdr:oneCellAnchor>
    <xdr:from>
      <xdr:col>25</xdr:col>
      <xdr:colOff>0</xdr:colOff>
      <xdr:row>202</xdr:row>
      <xdr:rowOff>0</xdr:rowOff>
    </xdr:from>
    <xdr:ext cx="914400" cy="228600"/>
    <xdr:pic>
      <xdr:nvPicPr>
        <xdr:cNvPr id="2" name="Control 4" hidden="1">
          <a:extLst>
            <a:ext uri="{FF2B5EF4-FFF2-40B4-BE49-F238E27FC236}">
              <a16:creationId xmlns:a16="http://schemas.microsoft.com/office/drawing/2014/main" id="{5982F2E0-40F6-4A93-8122-9B737D0950B0}"/>
            </a:ext>
          </a:extLst>
        </xdr:cNvPr>
        <xdr:cNvPicPr>
          <a:picLocks noChangeAspect="1"/>
        </xdr:cNvPicPr>
      </xdr:nvPicPr>
      <xdr:blipFill>
        <a:blip xmlns:r="http://schemas.openxmlformats.org/officeDocument/2006/relationships" r:embed="rId1"/>
        <a:stretch>
          <a:fillRect/>
        </a:stretch>
      </xdr:blipFill>
      <xdr:spPr>
        <a:xfrm>
          <a:off x="22152429" y="3075214"/>
          <a:ext cx="914400" cy="228600"/>
        </a:xfrm>
        <a:prstGeom prst="rect">
          <a:avLst/>
        </a:prstGeom>
      </xdr:spPr>
    </xdr:pic>
    <xdr:clientData/>
  </xdr:oneCellAnchor>
  <xdr:oneCellAnchor>
    <xdr:from>
      <xdr:col>25</xdr:col>
      <xdr:colOff>0</xdr:colOff>
      <xdr:row>202</xdr:row>
      <xdr:rowOff>0</xdr:rowOff>
    </xdr:from>
    <xdr:ext cx="914400" cy="228600"/>
    <xdr:pic>
      <xdr:nvPicPr>
        <xdr:cNvPr id="3" name="Control 5" hidden="1">
          <a:extLst>
            <a:ext uri="{FF2B5EF4-FFF2-40B4-BE49-F238E27FC236}">
              <a16:creationId xmlns:a16="http://schemas.microsoft.com/office/drawing/2014/main" id="{D22C79A3-08C3-45CA-B613-7FF5848580C8}"/>
            </a:ext>
          </a:extLst>
        </xdr:cNvPr>
        <xdr:cNvPicPr>
          <a:picLocks noChangeAspect="1"/>
        </xdr:cNvPicPr>
      </xdr:nvPicPr>
      <xdr:blipFill>
        <a:blip xmlns:r="http://schemas.openxmlformats.org/officeDocument/2006/relationships" r:embed="rId2"/>
        <a:stretch>
          <a:fillRect/>
        </a:stretch>
      </xdr:blipFill>
      <xdr:spPr>
        <a:xfrm>
          <a:off x="22152429" y="3075214"/>
          <a:ext cx="914400" cy="228600"/>
        </a:xfrm>
        <a:prstGeom prst="rect">
          <a:avLst/>
        </a:prstGeom>
      </xdr:spPr>
    </xdr:pic>
    <xdr:clientData/>
  </xdr:oneCellAnchor>
  <xdr:oneCellAnchor>
    <xdr:from>
      <xdr:col>25</xdr:col>
      <xdr:colOff>0</xdr:colOff>
      <xdr:row>202</xdr:row>
      <xdr:rowOff>0</xdr:rowOff>
    </xdr:from>
    <xdr:ext cx="914400" cy="228600"/>
    <xdr:pic>
      <xdr:nvPicPr>
        <xdr:cNvPr id="4" name="Control 6" hidden="1">
          <a:extLst>
            <a:ext uri="{FF2B5EF4-FFF2-40B4-BE49-F238E27FC236}">
              <a16:creationId xmlns:a16="http://schemas.microsoft.com/office/drawing/2014/main" id="{706827A1-E598-4CA6-AC20-82D90B386C8D}"/>
            </a:ext>
          </a:extLst>
        </xdr:cNvPr>
        <xdr:cNvPicPr>
          <a:picLocks noChangeAspect="1"/>
        </xdr:cNvPicPr>
      </xdr:nvPicPr>
      <xdr:blipFill>
        <a:blip xmlns:r="http://schemas.openxmlformats.org/officeDocument/2006/relationships" r:embed="rId3"/>
        <a:stretch>
          <a:fillRect/>
        </a:stretch>
      </xdr:blipFill>
      <xdr:spPr>
        <a:xfrm>
          <a:off x="22152429" y="3075214"/>
          <a:ext cx="914400" cy="228600"/>
        </a:xfrm>
        <a:prstGeom prst="rect">
          <a:avLst/>
        </a:prstGeom>
      </xdr:spPr>
    </xdr:pic>
    <xdr:clientData/>
  </xdr:oneCellAnchor>
  <xdr:oneCellAnchor>
    <xdr:from>
      <xdr:col>25</xdr:col>
      <xdr:colOff>0</xdr:colOff>
      <xdr:row>202</xdr:row>
      <xdr:rowOff>0</xdr:rowOff>
    </xdr:from>
    <xdr:ext cx="914400" cy="228600"/>
    <xdr:pic>
      <xdr:nvPicPr>
        <xdr:cNvPr id="5" name="Control 7" hidden="1">
          <a:extLst>
            <a:ext uri="{FF2B5EF4-FFF2-40B4-BE49-F238E27FC236}">
              <a16:creationId xmlns:a16="http://schemas.microsoft.com/office/drawing/2014/main" id="{3B78319A-9A47-40E2-B89A-827B1C5D39B6}"/>
            </a:ext>
          </a:extLst>
        </xdr:cNvPr>
        <xdr:cNvPicPr>
          <a:picLocks noChangeAspect="1"/>
        </xdr:cNvPicPr>
      </xdr:nvPicPr>
      <xdr:blipFill>
        <a:blip xmlns:r="http://schemas.openxmlformats.org/officeDocument/2006/relationships" r:embed="rId4"/>
        <a:stretch>
          <a:fillRect/>
        </a:stretch>
      </xdr:blipFill>
      <xdr:spPr>
        <a:xfrm>
          <a:off x="22152429" y="3075214"/>
          <a:ext cx="914400" cy="228600"/>
        </a:xfrm>
        <a:prstGeom prst="rect">
          <a:avLst/>
        </a:prstGeom>
      </xdr:spPr>
    </xdr:pic>
    <xdr:clientData/>
  </xdr:oneCellAnchor>
  <xdr:oneCellAnchor>
    <xdr:from>
      <xdr:col>25</xdr:col>
      <xdr:colOff>0</xdr:colOff>
      <xdr:row>202</xdr:row>
      <xdr:rowOff>0</xdr:rowOff>
    </xdr:from>
    <xdr:ext cx="914400" cy="228600"/>
    <xdr:pic>
      <xdr:nvPicPr>
        <xdr:cNvPr id="6" name="Control 8" hidden="1">
          <a:extLst>
            <a:ext uri="{FF2B5EF4-FFF2-40B4-BE49-F238E27FC236}">
              <a16:creationId xmlns:a16="http://schemas.microsoft.com/office/drawing/2014/main" id="{2F97C6A4-701B-480A-8DEC-B04DE42D7E4D}"/>
            </a:ext>
          </a:extLst>
        </xdr:cNvPr>
        <xdr:cNvPicPr>
          <a:picLocks noChangeAspect="1"/>
        </xdr:cNvPicPr>
      </xdr:nvPicPr>
      <xdr:blipFill>
        <a:blip xmlns:r="http://schemas.openxmlformats.org/officeDocument/2006/relationships" r:embed="rId5"/>
        <a:stretch>
          <a:fillRect/>
        </a:stretch>
      </xdr:blipFill>
      <xdr:spPr>
        <a:xfrm>
          <a:off x="22152429" y="3075214"/>
          <a:ext cx="914400" cy="228600"/>
        </a:xfrm>
        <a:prstGeom prst="rect">
          <a:avLst/>
        </a:prstGeom>
      </xdr:spPr>
    </xdr:pic>
    <xdr:clientData/>
  </xdr:oneCellAnchor>
  <xdr:oneCellAnchor>
    <xdr:from>
      <xdr:col>25</xdr:col>
      <xdr:colOff>0</xdr:colOff>
      <xdr:row>208</xdr:row>
      <xdr:rowOff>0</xdr:rowOff>
    </xdr:from>
    <xdr:ext cx="914400" cy="228600"/>
    <xdr:pic>
      <xdr:nvPicPr>
        <xdr:cNvPr id="7" name="Control 4" hidden="1">
          <a:extLst>
            <a:ext uri="{FF2B5EF4-FFF2-40B4-BE49-F238E27FC236}">
              <a16:creationId xmlns:a16="http://schemas.microsoft.com/office/drawing/2014/main" id="{F7ED44E5-E0EB-498E-9131-86915B469EDB}"/>
            </a:ext>
          </a:extLst>
        </xdr:cNvPr>
        <xdr:cNvPicPr>
          <a:picLocks noChangeAspect="1"/>
        </xdr:cNvPicPr>
      </xdr:nvPicPr>
      <xdr:blipFill>
        <a:blip xmlns:r="http://schemas.openxmlformats.org/officeDocument/2006/relationships" r:embed="rId1"/>
        <a:stretch>
          <a:fillRect/>
        </a:stretch>
      </xdr:blipFill>
      <xdr:spPr>
        <a:xfrm>
          <a:off x="19697700" y="23202900"/>
          <a:ext cx="914400" cy="228600"/>
        </a:xfrm>
        <a:prstGeom prst="rect">
          <a:avLst/>
        </a:prstGeom>
      </xdr:spPr>
    </xdr:pic>
    <xdr:clientData/>
  </xdr:oneCellAnchor>
  <xdr:oneCellAnchor>
    <xdr:from>
      <xdr:col>25</xdr:col>
      <xdr:colOff>0</xdr:colOff>
      <xdr:row>208</xdr:row>
      <xdr:rowOff>0</xdr:rowOff>
    </xdr:from>
    <xdr:ext cx="914400" cy="228600"/>
    <xdr:pic>
      <xdr:nvPicPr>
        <xdr:cNvPr id="8" name="Control 5" hidden="1">
          <a:extLst>
            <a:ext uri="{FF2B5EF4-FFF2-40B4-BE49-F238E27FC236}">
              <a16:creationId xmlns:a16="http://schemas.microsoft.com/office/drawing/2014/main" id="{A1E4D856-E488-4F5A-9E4B-8A797C46075C}"/>
            </a:ext>
          </a:extLst>
        </xdr:cNvPr>
        <xdr:cNvPicPr>
          <a:picLocks noChangeAspect="1"/>
        </xdr:cNvPicPr>
      </xdr:nvPicPr>
      <xdr:blipFill>
        <a:blip xmlns:r="http://schemas.openxmlformats.org/officeDocument/2006/relationships" r:embed="rId2"/>
        <a:stretch>
          <a:fillRect/>
        </a:stretch>
      </xdr:blipFill>
      <xdr:spPr>
        <a:xfrm>
          <a:off x="19697700" y="23202900"/>
          <a:ext cx="914400" cy="228600"/>
        </a:xfrm>
        <a:prstGeom prst="rect">
          <a:avLst/>
        </a:prstGeom>
      </xdr:spPr>
    </xdr:pic>
    <xdr:clientData/>
  </xdr:oneCellAnchor>
  <xdr:oneCellAnchor>
    <xdr:from>
      <xdr:col>25</xdr:col>
      <xdr:colOff>0</xdr:colOff>
      <xdr:row>208</xdr:row>
      <xdr:rowOff>0</xdr:rowOff>
    </xdr:from>
    <xdr:ext cx="914400" cy="228600"/>
    <xdr:pic>
      <xdr:nvPicPr>
        <xdr:cNvPr id="9" name="Control 6" hidden="1">
          <a:extLst>
            <a:ext uri="{FF2B5EF4-FFF2-40B4-BE49-F238E27FC236}">
              <a16:creationId xmlns:a16="http://schemas.microsoft.com/office/drawing/2014/main" id="{09FEEC78-32D2-42D5-8EA8-FEF6A8408240}"/>
            </a:ext>
          </a:extLst>
        </xdr:cNvPr>
        <xdr:cNvPicPr>
          <a:picLocks noChangeAspect="1"/>
        </xdr:cNvPicPr>
      </xdr:nvPicPr>
      <xdr:blipFill>
        <a:blip xmlns:r="http://schemas.openxmlformats.org/officeDocument/2006/relationships" r:embed="rId3"/>
        <a:stretch>
          <a:fillRect/>
        </a:stretch>
      </xdr:blipFill>
      <xdr:spPr>
        <a:xfrm>
          <a:off x="19697700" y="23202900"/>
          <a:ext cx="914400" cy="228600"/>
        </a:xfrm>
        <a:prstGeom prst="rect">
          <a:avLst/>
        </a:prstGeom>
      </xdr:spPr>
    </xdr:pic>
    <xdr:clientData/>
  </xdr:oneCellAnchor>
  <xdr:oneCellAnchor>
    <xdr:from>
      <xdr:col>25</xdr:col>
      <xdr:colOff>0</xdr:colOff>
      <xdr:row>208</xdr:row>
      <xdr:rowOff>0</xdr:rowOff>
    </xdr:from>
    <xdr:ext cx="914400" cy="228600"/>
    <xdr:pic>
      <xdr:nvPicPr>
        <xdr:cNvPr id="10" name="Control 7" hidden="1">
          <a:extLst>
            <a:ext uri="{FF2B5EF4-FFF2-40B4-BE49-F238E27FC236}">
              <a16:creationId xmlns:a16="http://schemas.microsoft.com/office/drawing/2014/main" id="{2D41606C-C102-47E1-81AA-6BAC6D4CAE5F}"/>
            </a:ext>
          </a:extLst>
        </xdr:cNvPr>
        <xdr:cNvPicPr>
          <a:picLocks noChangeAspect="1"/>
        </xdr:cNvPicPr>
      </xdr:nvPicPr>
      <xdr:blipFill>
        <a:blip xmlns:r="http://schemas.openxmlformats.org/officeDocument/2006/relationships" r:embed="rId4"/>
        <a:stretch>
          <a:fillRect/>
        </a:stretch>
      </xdr:blipFill>
      <xdr:spPr>
        <a:xfrm>
          <a:off x="19697700" y="23202900"/>
          <a:ext cx="914400" cy="228600"/>
        </a:xfrm>
        <a:prstGeom prst="rect">
          <a:avLst/>
        </a:prstGeom>
      </xdr:spPr>
    </xdr:pic>
    <xdr:clientData/>
  </xdr:oneCellAnchor>
  <xdr:oneCellAnchor>
    <xdr:from>
      <xdr:col>25</xdr:col>
      <xdr:colOff>0</xdr:colOff>
      <xdr:row>208</xdr:row>
      <xdr:rowOff>0</xdr:rowOff>
    </xdr:from>
    <xdr:ext cx="914400" cy="228600"/>
    <xdr:pic>
      <xdr:nvPicPr>
        <xdr:cNvPr id="11" name="Control 8" hidden="1">
          <a:extLst>
            <a:ext uri="{FF2B5EF4-FFF2-40B4-BE49-F238E27FC236}">
              <a16:creationId xmlns:a16="http://schemas.microsoft.com/office/drawing/2014/main" id="{1F19F3B2-6038-4438-BB3C-4F0AC678BF23}"/>
            </a:ext>
          </a:extLst>
        </xdr:cNvPr>
        <xdr:cNvPicPr>
          <a:picLocks noChangeAspect="1"/>
        </xdr:cNvPicPr>
      </xdr:nvPicPr>
      <xdr:blipFill>
        <a:blip xmlns:r="http://schemas.openxmlformats.org/officeDocument/2006/relationships" r:embed="rId5"/>
        <a:stretch>
          <a:fillRect/>
        </a:stretch>
      </xdr:blipFill>
      <xdr:spPr>
        <a:xfrm>
          <a:off x="19697700" y="23202900"/>
          <a:ext cx="914400" cy="228600"/>
        </a:xfrm>
        <a:prstGeom prst="rect">
          <a:avLst/>
        </a:prstGeom>
      </xdr:spPr>
    </xdr:pic>
    <xdr:clientData/>
  </xdr:oneCellAnchor>
  <xdr:oneCellAnchor>
    <xdr:from>
      <xdr:col>22</xdr:col>
      <xdr:colOff>0</xdr:colOff>
      <xdr:row>175</xdr:row>
      <xdr:rowOff>0</xdr:rowOff>
    </xdr:from>
    <xdr:ext cx="914400" cy="228600"/>
    <xdr:pic>
      <xdr:nvPicPr>
        <xdr:cNvPr id="12" name="Control 4" hidden="1">
          <a:extLst>
            <a:ext uri="{FF2B5EF4-FFF2-40B4-BE49-F238E27FC236}">
              <a16:creationId xmlns:a16="http://schemas.microsoft.com/office/drawing/2014/main" id="{BF7C62F3-F04E-4886-A2A8-15729AF12110}"/>
            </a:ext>
          </a:extLst>
        </xdr:cNvPr>
        <xdr:cNvPicPr>
          <a:picLocks noChangeAspect="1"/>
        </xdr:cNvPicPr>
      </xdr:nvPicPr>
      <xdr:blipFill>
        <a:blip xmlns:r="http://schemas.openxmlformats.org/officeDocument/2006/relationships" r:embed="rId1"/>
        <a:stretch>
          <a:fillRect/>
        </a:stretch>
      </xdr:blipFill>
      <xdr:spPr>
        <a:xfrm>
          <a:off x="29165550" y="1143000"/>
          <a:ext cx="914400" cy="228600"/>
        </a:xfrm>
        <a:prstGeom prst="rect">
          <a:avLst/>
        </a:prstGeom>
      </xdr:spPr>
    </xdr:pic>
    <xdr:clientData/>
  </xdr:oneCellAnchor>
  <xdr:oneCellAnchor>
    <xdr:from>
      <xdr:col>22</xdr:col>
      <xdr:colOff>0</xdr:colOff>
      <xdr:row>175</xdr:row>
      <xdr:rowOff>0</xdr:rowOff>
    </xdr:from>
    <xdr:ext cx="914400" cy="228600"/>
    <xdr:pic>
      <xdr:nvPicPr>
        <xdr:cNvPr id="13" name="Control 5" hidden="1">
          <a:extLst>
            <a:ext uri="{FF2B5EF4-FFF2-40B4-BE49-F238E27FC236}">
              <a16:creationId xmlns:a16="http://schemas.microsoft.com/office/drawing/2014/main" id="{C0E5FC09-7423-40FB-9978-37DCCF7658B2}"/>
            </a:ext>
          </a:extLst>
        </xdr:cNvPr>
        <xdr:cNvPicPr>
          <a:picLocks noChangeAspect="1"/>
        </xdr:cNvPicPr>
      </xdr:nvPicPr>
      <xdr:blipFill>
        <a:blip xmlns:r="http://schemas.openxmlformats.org/officeDocument/2006/relationships" r:embed="rId2"/>
        <a:stretch>
          <a:fillRect/>
        </a:stretch>
      </xdr:blipFill>
      <xdr:spPr>
        <a:xfrm>
          <a:off x="29165550" y="1143000"/>
          <a:ext cx="914400" cy="228600"/>
        </a:xfrm>
        <a:prstGeom prst="rect">
          <a:avLst/>
        </a:prstGeom>
      </xdr:spPr>
    </xdr:pic>
    <xdr:clientData/>
  </xdr:oneCellAnchor>
  <xdr:oneCellAnchor>
    <xdr:from>
      <xdr:col>22</xdr:col>
      <xdr:colOff>0</xdr:colOff>
      <xdr:row>175</xdr:row>
      <xdr:rowOff>0</xdr:rowOff>
    </xdr:from>
    <xdr:ext cx="914400" cy="228600"/>
    <xdr:pic>
      <xdr:nvPicPr>
        <xdr:cNvPr id="14" name="Control 6" hidden="1">
          <a:extLst>
            <a:ext uri="{FF2B5EF4-FFF2-40B4-BE49-F238E27FC236}">
              <a16:creationId xmlns:a16="http://schemas.microsoft.com/office/drawing/2014/main" id="{1709DDBF-016E-43B7-A404-41F5AB6C8163}"/>
            </a:ext>
          </a:extLst>
        </xdr:cNvPr>
        <xdr:cNvPicPr>
          <a:picLocks noChangeAspect="1"/>
        </xdr:cNvPicPr>
      </xdr:nvPicPr>
      <xdr:blipFill>
        <a:blip xmlns:r="http://schemas.openxmlformats.org/officeDocument/2006/relationships" r:embed="rId3"/>
        <a:stretch>
          <a:fillRect/>
        </a:stretch>
      </xdr:blipFill>
      <xdr:spPr>
        <a:xfrm>
          <a:off x="29165550" y="1143000"/>
          <a:ext cx="914400" cy="228600"/>
        </a:xfrm>
        <a:prstGeom prst="rect">
          <a:avLst/>
        </a:prstGeom>
      </xdr:spPr>
    </xdr:pic>
    <xdr:clientData/>
  </xdr:oneCellAnchor>
  <xdr:oneCellAnchor>
    <xdr:from>
      <xdr:col>22</xdr:col>
      <xdr:colOff>0</xdr:colOff>
      <xdr:row>175</xdr:row>
      <xdr:rowOff>0</xdr:rowOff>
    </xdr:from>
    <xdr:ext cx="914400" cy="228600"/>
    <xdr:pic>
      <xdr:nvPicPr>
        <xdr:cNvPr id="15" name="Control 7" hidden="1">
          <a:extLst>
            <a:ext uri="{FF2B5EF4-FFF2-40B4-BE49-F238E27FC236}">
              <a16:creationId xmlns:a16="http://schemas.microsoft.com/office/drawing/2014/main" id="{4930EDE0-AFA7-4FF9-BE70-B980F958742A}"/>
            </a:ext>
          </a:extLst>
        </xdr:cNvPr>
        <xdr:cNvPicPr>
          <a:picLocks noChangeAspect="1"/>
        </xdr:cNvPicPr>
      </xdr:nvPicPr>
      <xdr:blipFill>
        <a:blip xmlns:r="http://schemas.openxmlformats.org/officeDocument/2006/relationships" r:embed="rId4"/>
        <a:stretch>
          <a:fillRect/>
        </a:stretch>
      </xdr:blipFill>
      <xdr:spPr>
        <a:xfrm>
          <a:off x="29165550" y="1143000"/>
          <a:ext cx="914400" cy="228600"/>
        </a:xfrm>
        <a:prstGeom prst="rect">
          <a:avLst/>
        </a:prstGeom>
      </xdr:spPr>
    </xdr:pic>
    <xdr:clientData/>
  </xdr:oneCellAnchor>
  <xdr:oneCellAnchor>
    <xdr:from>
      <xdr:col>22</xdr:col>
      <xdr:colOff>0</xdr:colOff>
      <xdr:row>175</xdr:row>
      <xdr:rowOff>0</xdr:rowOff>
    </xdr:from>
    <xdr:ext cx="914400" cy="228600"/>
    <xdr:pic>
      <xdr:nvPicPr>
        <xdr:cNvPr id="16" name="Control 8" hidden="1">
          <a:extLst>
            <a:ext uri="{FF2B5EF4-FFF2-40B4-BE49-F238E27FC236}">
              <a16:creationId xmlns:a16="http://schemas.microsoft.com/office/drawing/2014/main" id="{288BBBB9-0568-4279-88AC-2D2E32994C38}"/>
            </a:ext>
          </a:extLst>
        </xdr:cNvPr>
        <xdr:cNvPicPr>
          <a:picLocks noChangeAspect="1"/>
        </xdr:cNvPicPr>
      </xdr:nvPicPr>
      <xdr:blipFill>
        <a:blip xmlns:r="http://schemas.openxmlformats.org/officeDocument/2006/relationships" r:embed="rId5"/>
        <a:stretch>
          <a:fillRect/>
        </a:stretch>
      </xdr:blipFill>
      <xdr:spPr>
        <a:xfrm>
          <a:off x="29165550" y="1143000"/>
          <a:ext cx="914400" cy="228600"/>
        </a:xfrm>
        <a:prstGeom prst="rect">
          <a:avLst/>
        </a:prstGeom>
      </xdr:spPr>
    </xdr:pic>
    <xdr:clientData/>
  </xdr:oneCellAnchor>
  <xdr:oneCellAnchor>
    <xdr:from>
      <xdr:col>23</xdr:col>
      <xdr:colOff>0</xdr:colOff>
      <xdr:row>175</xdr:row>
      <xdr:rowOff>0</xdr:rowOff>
    </xdr:from>
    <xdr:ext cx="914400" cy="228600"/>
    <xdr:pic>
      <xdr:nvPicPr>
        <xdr:cNvPr id="17" name="Control 4" hidden="1">
          <a:extLst>
            <a:ext uri="{FF2B5EF4-FFF2-40B4-BE49-F238E27FC236}">
              <a16:creationId xmlns:a16="http://schemas.microsoft.com/office/drawing/2014/main" id="{380AF9D1-156B-42DE-A564-0F3D51FC9F29}"/>
            </a:ext>
          </a:extLst>
        </xdr:cNvPr>
        <xdr:cNvPicPr>
          <a:picLocks noChangeAspect="1"/>
        </xdr:cNvPicPr>
      </xdr:nvPicPr>
      <xdr:blipFill>
        <a:blip xmlns:r="http://schemas.openxmlformats.org/officeDocument/2006/relationships" r:embed="rId1"/>
        <a:stretch>
          <a:fillRect/>
        </a:stretch>
      </xdr:blipFill>
      <xdr:spPr>
        <a:xfrm>
          <a:off x="30384750" y="1143000"/>
          <a:ext cx="914400" cy="228600"/>
        </a:xfrm>
        <a:prstGeom prst="rect">
          <a:avLst/>
        </a:prstGeom>
      </xdr:spPr>
    </xdr:pic>
    <xdr:clientData/>
  </xdr:oneCellAnchor>
  <xdr:oneCellAnchor>
    <xdr:from>
      <xdr:col>23</xdr:col>
      <xdr:colOff>0</xdr:colOff>
      <xdr:row>175</xdr:row>
      <xdr:rowOff>0</xdr:rowOff>
    </xdr:from>
    <xdr:ext cx="914400" cy="228600"/>
    <xdr:pic>
      <xdr:nvPicPr>
        <xdr:cNvPr id="18" name="Control 5" hidden="1">
          <a:extLst>
            <a:ext uri="{FF2B5EF4-FFF2-40B4-BE49-F238E27FC236}">
              <a16:creationId xmlns:a16="http://schemas.microsoft.com/office/drawing/2014/main" id="{6C9E1536-2B68-4D0E-A5C1-E70552E184B5}"/>
            </a:ext>
          </a:extLst>
        </xdr:cNvPr>
        <xdr:cNvPicPr>
          <a:picLocks noChangeAspect="1"/>
        </xdr:cNvPicPr>
      </xdr:nvPicPr>
      <xdr:blipFill>
        <a:blip xmlns:r="http://schemas.openxmlformats.org/officeDocument/2006/relationships" r:embed="rId2"/>
        <a:stretch>
          <a:fillRect/>
        </a:stretch>
      </xdr:blipFill>
      <xdr:spPr>
        <a:xfrm>
          <a:off x="30384750" y="1143000"/>
          <a:ext cx="914400" cy="228600"/>
        </a:xfrm>
        <a:prstGeom prst="rect">
          <a:avLst/>
        </a:prstGeom>
      </xdr:spPr>
    </xdr:pic>
    <xdr:clientData/>
  </xdr:oneCellAnchor>
  <xdr:oneCellAnchor>
    <xdr:from>
      <xdr:col>23</xdr:col>
      <xdr:colOff>0</xdr:colOff>
      <xdr:row>175</xdr:row>
      <xdr:rowOff>0</xdr:rowOff>
    </xdr:from>
    <xdr:ext cx="914400" cy="228600"/>
    <xdr:pic>
      <xdr:nvPicPr>
        <xdr:cNvPr id="19" name="Control 6" hidden="1">
          <a:extLst>
            <a:ext uri="{FF2B5EF4-FFF2-40B4-BE49-F238E27FC236}">
              <a16:creationId xmlns:a16="http://schemas.microsoft.com/office/drawing/2014/main" id="{308357BD-07D0-44EE-8C85-6F0D743F5C71}"/>
            </a:ext>
          </a:extLst>
        </xdr:cNvPr>
        <xdr:cNvPicPr>
          <a:picLocks noChangeAspect="1"/>
        </xdr:cNvPicPr>
      </xdr:nvPicPr>
      <xdr:blipFill>
        <a:blip xmlns:r="http://schemas.openxmlformats.org/officeDocument/2006/relationships" r:embed="rId3"/>
        <a:stretch>
          <a:fillRect/>
        </a:stretch>
      </xdr:blipFill>
      <xdr:spPr>
        <a:xfrm>
          <a:off x="30384750" y="1143000"/>
          <a:ext cx="914400" cy="228600"/>
        </a:xfrm>
        <a:prstGeom prst="rect">
          <a:avLst/>
        </a:prstGeom>
      </xdr:spPr>
    </xdr:pic>
    <xdr:clientData/>
  </xdr:oneCellAnchor>
  <xdr:oneCellAnchor>
    <xdr:from>
      <xdr:col>23</xdr:col>
      <xdr:colOff>0</xdr:colOff>
      <xdr:row>175</xdr:row>
      <xdr:rowOff>0</xdr:rowOff>
    </xdr:from>
    <xdr:ext cx="914400" cy="228600"/>
    <xdr:pic>
      <xdr:nvPicPr>
        <xdr:cNvPr id="20" name="Control 7" hidden="1">
          <a:extLst>
            <a:ext uri="{FF2B5EF4-FFF2-40B4-BE49-F238E27FC236}">
              <a16:creationId xmlns:a16="http://schemas.microsoft.com/office/drawing/2014/main" id="{73EA750A-F23F-4922-A297-B77531107EEB}"/>
            </a:ext>
          </a:extLst>
        </xdr:cNvPr>
        <xdr:cNvPicPr>
          <a:picLocks noChangeAspect="1"/>
        </xdr:cNvPicPr>
      </xdr:nvPicPr>
      <xdr:blipFill>
        <a:blip xmlns:r="http://schemas.openxmlformats.org/officeDocument/2006/relationships" r:embed="rId4"/>
        <a:stretch>
          <a:fillRect/>
        </a:stretch>
      </xdr:blipFill>
      <xdr:spPr>
        <a:xfrm>
          <a:off x="30384750" y="1143000"/>
          <a:ext cx="914400" cy="228600"/>
        </a:xfrm>
        <a:prstGeom prst="rect">
          <a:avLst/>
        </a:prstGeom>
      </xdr:spPr>
    </xdr:pic>
    <xdr:clientData/>
  </xdr:oneCellAnchor>
  <xdr:oneCellAnchor>
    <xdr:from>
      <xdr:col>23</xdr:col>
      <xdr:colOff>0</xdr:colOff>
      <xdr:row>175</xdr:row>
      <xdr:rowOff>0</xdr:rowOff>
    </xdr:from>
    <xdr:ext cx="914400" cy="228600"/>
    <xdr:pic>
      <xdr:nvPicPr>
        <xdr:cNvPr id="21" name="Control 8" hidden="1">
          <a:extLst>
            <a:ext uri="{FF2B5EF4-FFF2-40B4-BE49-F238E27FC236}">
              <a16:creationId xmlns:a16="http://schemas.microsoft.com/office/drawing/2014/main" id="{DF04E14B-BFA4-4234-A66B-32CF1C1DE320}"/>
            </a:ext>
          </a:extLst>
        </xdr:cNvPr>
        <xdr:cNvPicPr>
          <a:picLocks noChangeAspect="1"/>
        </xdr:cNvPicPr>
      </xdr:nvPicPr>
      <xdr:blipFill>
        <a:blip xmlns:r="http://schemas.openxmlformats.org/officeDocument/2006/relationships" r:embed="rId5"/>
        <a:stretch>
          <a:fillRect/>
        </a:stretch>
      </xdr:blipFill>
      <xdr:spPr>
        <a:xfrm>
          <a:off x="30384750" y="1143000"/>
          <a:ext cx="914400" cy="228600"/>
        </a:xfrm>
        <a:prstGeom prst="rect">
          <a:avLst/>
        </a:prstGeom>
      </xdr:spPr>
    </xdr:pic>
    <xdr:clientData/>
  </xdr:oneCellAnchor>
  <xdr:oneCellAnchor>
    <xdr:from>
      <xdr:col>22</xdr:col>
      <xdr:colOff>0</xdr:colOff>
      <xdr:row>176</xdr:row>
      <xdr:rowOff>0</xdr:rowOff>
    </xdr:from>
    <xdr:ext cx="914400" cy="228600"/>
    <xdr:pic>
      <xdr:nvPicPr>
        <xdr:cNvPr id="22" name="Control 4" hidden="1">
          <a:extLst>
            <a:ext uri="{FF2B5EF4-FFF2-40B4-BE49-F238E27FC236}">
              <a16:creationId xmlns:a16="http://schemas.microsoft.com/office/drawing/2014/main" id="{7E595014-A7FC-4A8F-BEE7-54C5BFB93AA0}"/>
            </a:ext>
          </a:extLst>
        </xdr:cNvPr>
        <xdr:cNvPicPr>
          <a:picLocks noChangeAspect="1"/>
        </xdr:cNvPicPr>
      </xdr:nvPicPr>
      <xdr:blipFill>
        <a:blip xmlns:r="http://schemas.openxmlformats.org/officeDocument/2006/relationships" r:embed="rId1"/>
        <a:stretch>
          <a:fillRect/>
        </a:stretch>
      </xdr:blipFill>
      <xdr:spPr>
        <a:xfrm>
          <a:off x="29165550" y="1143000"/>
          <a:ext cx="914400" cy="228600"/>
        </a:xfrm>
        <a:prstGeom prst="rect">
          <a:avLst/>
        </a:prstGeom>
      </xdr:spPr>
    </xdr:pic>
    <xdr:clientData/>
  </xdr:oneCellAnchor>
  <xdr:oneCellAnchor>
    <xdr:from>
      <xdr:col>22</xdr:col>
      <xdr:colOff>0</xdr:colOff>
      <xdr:row>176</xdr:row>
      <xdr:rowOff>0</xdr:rowOff>
    </xdr:from>
    <xdr:ext cx="914400" cy="228600"/>
    <xdr:pic>
      <xdr:nvPicPr>
        <xdr:cNvPr id="23" name="Control 5" hidden="1">
          <a:extLst>
            <a:ext uri="{FF2B5EF4-FFF2-40B4-BE49-F238E27FC236}">
              <a16:creationId xmlns:a16="http://schemas.microsoft.com/office/drawing/2014/main" id="{72E5F4DE-9DCB-410A-95C5-2E02A4001662}"/>
            </a:ext>
          </a:extLst>
        </xdr:cNvPr>
        <xdr:cNvPicPr>
          <a:picLocks noChangeAspect="1"/>
        </xdr:cNvPicPr>
      </xdr:nvPicPr>
      <xdr:blipFill>
        <a:blip xmlns:r="http://schemas.openxmlformats.org/officeDocument/2006/relationships" r:embed="rId2"/>
        <a:stretch>
          <a:fillRect/>
        </a:stretch>
      </xdr:blipFill>
      <xdr:spPr>
        <a:xfrm>
          <a:off x="29165550" y="1143000"/>
          <a:ext cx="914400" cy="228600"/>
        </a:xfrm>
        <a:prstGeom prst="rect">
          <a:avLst/>
        </a:prstGeom>
      </xdr:spPr>
    </xdr:pic>
    <xdr:clientData/>
  </xdr:oneCellAnchor>
  <xdr:oneCellAnchor>
    <xdr:from>
      <xdr:col>22</xdr:col>
      <xdr:colOff>0</xdr:colOff>
      <xdr:row>176</xdr:row>
      <xdr:rowOff>0</xdr:rowOff>
    </xdr:from>
    <xdr:ext cx="914400" cy="228600"/>
    <xdr:pic>
      <xdr:nvPicPr>
        <xdr:cNvPr id="24" name="Control 6" hidden="1">
          <a:extLst>
            <a:ext uri="{FF2B5EF4-FFF2-40B4-BE49-F238E27FC236}">
              <a16:creationId xmlns:a16="http://schemas.microsoft.com/office/drawing/2014/main" id="{F9AE40E2-2674-4D0D-BDD5-327469F260BD}"/>
            </a:ext>
          </a:extLst>
        </xdr:cNvPr>
        <xdr:cNvPicPr>
          <a:picLocks noChangeAspect="1"/>
        </xdr:cNvPicPr>
      </xdr:nvPicPr>
      <xdr:blipFill>
        <a:blip xmlns:r="http://schemas.openxmlformats.org/officeDocument/2006/relationships" r:embed="rId3"/>
        <a:stretch>
          <a:fillRect/>
        </a:stretch>
      </xdr:blipFill>
      <xdr:spPr>
        <a:xfrm>
          <a:off x="29165550" y="1143000"/>
          <a:ext cx="914400" cy="228600"/>
        </a:xfrm>
        <a:prstGeom prst="rect">
          <a:avLst/>
        </a:prstGeom>
      </xdr:spPr>
    </xdr:pic>
    <xdr:clientData/>
  </xdr:oneCellAnchor>
  <xdr:oneCellAnchor>
    <xdr:from>
      <xdr:col>22</xdr:col>
      <xdr:colOff>0</xdr:colOff>
      <xdr:row>176</xdr:row>
      <xdr:rowOff>0</xdr:rowOff>
    </xdr:from>
    <xdr:ext cx="914400" cy="228600"/>
    <xdr:pic>
      <xdr:nvPicPr>
        <xdr:cNvPr id="25" name="Control 7" hidden="1">
          <a:extLst>
            <a:ext uri="{FF2B5EF4-FFF2-40B4-BE49-F238E27FC236}">
              <a16:creationId xmlns:a16="http://schemas.microsoft.com/office/drawing/2014/main" id="{A94C5190-C445-423A-8742-512900E95F45}"/>
            </a:ext>
          </a:extLst>
        </xdr:cNvPr>
        <xdr:cNvPicPr>
          <a:picLocks noChangeAspect="1"/>
        </xdr:cNvPicPr>
      </xdr:nvPicPr>
      <xdr:blipFill>
        <a:blip xmlns:r="http://schemas.openxmlformats.org/officeDocument/2006/relationships" r:embed="rId4"/>
        <a:stretch>
          <a:fillRect/>
        </a:stretch>
      </xdr:blipFill>
      <xdr:spPr>
        <a:xfrm>
          <a:off x="29165550" y="1143000"/>
          <a:ext cx="914400" cy="228600"/>
        </a:xfrm>
        <a:prstGeom prst="rect">
          <a:avLst/>
        </a:prstGeom>
      </xdr:spPr>
    </xdr:pic>
    <xdr:clientData/>
  </xdr:oneCellAnchor>
  <xdr:oneCellAnchor>
    <xdr:from>
      <xdr:col>22</xdr:col>
      <xdr:colOff>0</xdr:colOff>
      <xdr:row>176</xdr:row>
      <xdr:rowOff>0</xdr:rowOff>
    </xdr:from>
    <xdr:ext cx="914400" cy="228600"/>
    <xdr:pic>
      <xdr:nvPicPr>
        <xdr:cNvPr id="26" name="Control 8" hidden="1">
          <a:extLst>
            <a:ext uri="{FF2B5EF4-FFF2-40B4-BE49-F238E27FC236}">
              <a16:creationId xmlns:a16="http://schemas.microsoft.com/office/drawing/2014/main" id="{5E51789C-8360-4581-9D3B-D9F03C163E7E}"/>
            </a:ext>
          </a:extLst>
        </xdr:cNvPr>
        <xdr:cNvPicPr>
          <a:picLocks noChangeAspect="1"/>
        </xdr:cNvPicPr>
      </xdr:nvPicPr>
      <xdr:blipFill>
        <a:blip xmlns:r="http://schemas.openxmlformats.org/officeDocument/2006/relationships" r:embed="rId5"/>
        <a:stretch>
          <a:fillRect/>
        </a:stretch>
      </xdr:blipFill>
      <xdr:spPr>
        <a:xfrm>
          <a:off x="29165550" y="1143000"/>
          <a:ext cx="914400" cy="228600"/>
        </a:xfrm>
        <a:prstGeom prst="rect">
          <a:avLst/>
        </a:prstGeom>
      </xdr:spPr>
    </xdr:pic>
    <xdr:clientData/>
  </xdr:oneCellAnchor>
  <xdr:oneCellAnchor>
    <xdr:from>
      <xdr:col>25</xdr:col>
      <xdr:colOff>0</xdr:colOff>
      <xdr:row>226</xdr:row>
      <xdr:rowOff>0</xdr:rowOff>
    </xdr:from>
    <xdr:ext cx="914400" cy="228600"/>
    <xdr:pic>
      <xdr:nvPicPr>
        <xdr:cNvPr id="27" name="Control 4" hidden="1">
          <a:extLst>
            <a:ext uri="{FF2B5EF4-FFF2-40B4-BE49-F238E27FC236}">
              <a16:creationId xmlns:a16="http://schemas.microsoft.com/office/drawing/2014/main" id="{08286590-56AC-4864-BE55-16C956E70AEB}"/>
            </a:ext>
            <a:ext uri="{147F2762-F138-4A5C-976F-8EAC2B608ADB}">
              <a16:predDERef xmlns:a16="http://schemas.microsoft.com/office/drawing/2014/main" pred="{5E51789C-8360-4581-9D3B-D9F03C163E7E}"/>
            </a:ext>
          </a:extLst>
        </xdr:cNvPr>
        <xdr:cNvPicPr>
          <a:picLocks noChangeAspect="1"/>
        </xdr:cNvPicPr>
      </xdr:nvPicPr>
      <xdr:blipFill>
        <a:blip xmlns:r="http://schemas.openxmlformats.org/officeDocument/2006/relationships" r:embed="rId1"/>
        <a:stretch>
          <a:fillRect/>
        </a:stretch>
      </xdr:blipFill>
      <xdr:spPr>
        <a:xfrm>
          <a:off x="32956500" y="29784675"/>
          <a:ext cx="914400" cy="228600"/>
        </a:xfrm>
        <a:prstGeom prst="rect">
          <a:avLst/>
        </a:prstGeom>
      </xdr:spPr>
    </xdr:pic>
    <xdr:clientData/>
  </xdr:oneCellAnchor>
  <xdr:oneCellAnchor>
    <xdr:from>
      <xdr:col>25</xdr:col>
      <xdr:colOff>0</xdr:colOff>
      <xdr:row>226</xdr:row>
      <xdr:rowOff>0</xdr:rowOff>
    </xdr:from>
    <xdr:ext cx="914400" cy="228600"/>
    <xdr:pic>
      <xdr:nvPicPr>
        <xdr:cNvPr id="28" name="Control 5" hidden="1">
          <a:extLst>
            <a:ext uri="{FF2B5EF4-FFF2-40B4-BE49-F238E27FC236}">
              <a16:creationId xmlns:a16="http://schemas.microsoft.com/office/drawing/2014/main" id="{18D2BBA7-845C-4C21-BFE6-DC497D99AEAD}"/>
            </a:ext>
            <a:ext uri="{147F2762-F138-4A5C-976F-8EAC2B608ADB}">
              <a16:predDERef xmlns:a16="http://schemas.microsoft.com/office/drawing/2014/main" pred="{08286590-56AC-4864-BE55-16C956E70AEB}"/>
            </a:ext>
          </a:extLst>
        </xdr:cNvPr>
        <xdr:cNvPicPr>
          <a:picLocks noChangeAspect="1"/>
        </xdr:cNvPicPr>
      </xdr:nvPicPr>
      <xdr:blipFill>
        <a:blip xmlns:r="http://schemas.openxmlformats.org/officeDocument/2006/relationships" r:embed="rId2"/>
        <a:stretch>
          <a:fillRect/>
        </a:stretch>
      </xdr:blipFill>
      <xdr:spPr>
        <a:xfrm>
          <a:off x="32956500" y="29784675"/>
          <a:ext cx="914400" cy="228600"/>
        </a:xfrm>
        <a:prstGeom prst="rect">
          <a:avLst/>
        </a:prstGeom>
      </xdr:spPr>
    </xdr:pic>
    <xdr:clientData/>
  </xdr:oneCellAnchor>
  <xdr:oneCellAnchor>
    <xdr:from>
      <xdr:col>25</xdr:col>
      <xdr:colOff>0</xdr:colOff>
      <xdr:row>226</xdr:row>
      <xdr:rowOff>0</xdr:rowOff>
    </xdr:from>
    <xdr:ext cx="914400" cy="228600"/>
    <xdr:pic>
      <xdr:nvPicPr>
        <xdr:cNvPr id="29" name="Control 6" hidden="1">
          <a:extLst>
            <a:ext uri="{FF2B5EF4-FFF2-40B4-BE49-F238E27FC236}">
              <a16:creationId xmlns:a16="http://schemas.microsoft.com/office/drawing/2014/main" id="{A3ECFE36-34E4-4E50-97B7-8BA78B8EF09A}"/>
            </a:ext>
            <a:ext uri="{147F2762-F138-4A5C-976F-8EAC2B608ADB}">
              <a16:predDERef xmlns:a16="http://schemas.microsoft.com/office/drawing/2014/main" pred="{18D2BBA7-845C-4C21-BFE6-DC497D99AEAD}"/>
            </a:ext>
          </a:extLst>
        </xdr:cNvPr>
        <xdr:cNvPicPr>
          <a:picLocks noChangeAspect="1"/>
        </xdr:cNvPicPr>
      </xdr:nvPicPr>
      <xdr:blipFill>
        <a:blip xmlns:r="http://schemas.openxmlformats.org/officeDocument/2006/relationships" r:embed="rId3"/>
        <a:stretch>
          <a:fillRect/>
        </a:stretch>
      </xdr:blipFill>
      <xdr:spPr>
        <a:xfrm>
          <a:off x="32956500" y="29784675"/>
          <a:ext cx="914400" cy="228600"/>
        </a:xfrm>
        <a:prstGeom prst="rect">
          <a:avLst/>
        </a:prstGeom>
      </xdr:spPr>
    </xdr:pic>
    <xdr:clientData/>
  </xdr:oneCellAnchor>
  <xdr:oneCellAnchor>
    <xdr:from>
      <xdr:col>25</xdr:col>
      <xdr:colOff>0</xdr:colOff>
      <xdr:row>226</xdr:row>
      <xdr:rowOff>0</xdr:rowOff>
    </xdr:from>
    <xdr:ext cx="914400" cy="228600"/>
    <xdr:pic>
      <xdr:nvPicPr>
        <xdr:cNvPr id="30" name="Control 7" hidden="1">
          <a:extLst>
            <a:ext uri="{FF2B5EF4-FFF2-40B4-BE49-F238E27FC236}">
              <a16:creationId xmlns:a16="http://schemas.microsoft.com/office/drawing/2014/main" id="{9E73B120-AEF1-4B96-9E87-F6087FF4D901}"/>
            </a:ext>
            <a:ext uri="{147F2762-F138-4A5C-976F-8EAC2B608ADB}">
              <a16:predDERef xmlns:a16="http://schemas.microsoft.com/office/drawing/2014/main" pred="{A3ECFE36-34E4-4E50-97B7-8BA78B8EF09A}"/>
            </a:ext>
          </a:extLst>
        </xdr:cNvPr>
        <xdr:cNvPicPr>
          <a:picLocks noChangeAspect="1"/>
        </xdr:cNvPicPr>
      </xdr:nvPicPr>
      <xdr:blipFill>
        <a:blip xmlns:r="http://schemas.openxmlformats.org/officeDocument/2006/relationships" r:embed="rId4"/>
        <a:stretch>
          <a:fillRect/>
        </a:stretch>
      </xdr:blipFill>
      <xdr:spPr>
        <a:xfrm>
          <a:off x="32956500" y="29784675"/>
          <a:ext cx="914400" cy="228600"/>
        </a:xfrm>
        <a:prstGeom prst="rect">
          <a:avLst/>
        </a:prstGeom>
      </xdr:spPr>
    </xdr:pic>
    <xdr:clientData/>
  </xdr:oneCellAnchor>
  <xdr:oneCellAnchor>
    <xdr:from>
      <xdr:col>25</xdr:col>
      <xdr:colOff>0</xdr:colOff>
      <xdr:row>226</xdr:row>
      <xdr:rowOff>0</xdr:rowOff>
    </xdr:from>
    <xdr:ext cx="914400" cy="228600"/>
    <xdr:pic>
      <xdr:nvPicPr>
        <xdr:cNvPr id="31" name="Control 8" hidden="1">
          <a:extLst>
            <a:ext uri="{FF2B5EF4-FFF2-40B4-BE49-F238E27FC236}">
              <a16:creationId xmlns:a16="http://schemas.microsoft.com/office/drawing/2014/main" id="{FBF2AD47-9400-4790-A509-B3A879E5ED48}"/>
            </a:ext>
            <a:ext uri="{147F2762-F138-4A5C-976F-8EAC2B608ADB}">
              <a16:predDERef xmlns:a16="http://schemas.microsoft.com/office/drawing/2014/main" pred="{9E73B120-AEF1-4B96-9E87-F6087FF4D901}"/>
            </a:ext>
          </a:extLst>
        </xdr:cNvPr>
        <xdr:cNvPicPr>
          <a:picLocks noChangeAspect="1"/>
        </xdr:cNvPicPr>
      </xdr:nvPicPr>
      <xdr:blipFill>
        <a:blip xmlns:r="http://schemas.openxmlformats.org/officeDocument/2006/relationships" r:embed="rId5"/>
        <a:stretch>
          <a:fillRect/>
        </a:stretch>
      </xdr:blipFill>
      <xdr:spPr>
        <a:xfrm>
          <a:off x="32956500" y="29784675"/>
          <a:ext cx="914400" cy="228600"/>
        </a:xfrm>
        <a:prstGeom prst="rect">
          <a:avLst/>
        </a:prstGeom>
      </xdr:spPr>
    </xdr:pic>
    <xdr:clientData/>
  </xdr:oneCellAnchor>
  <xdr:oneCellAnchor>
    <xdr:from>
      <xdr:col>25</xdr:col>
      <xdr:colOff>0</xdr:colOff>
      <xdr:row>231</xdr:row>
      <xdr:rowOff>0</xdr:rowOff>
    </xdr:from>
    <xdr:ext cx="914400" cy="228600"/>
    <xdr:pic>
      <xdr:nvPicPr>
        <xdr:cNvPr id="32" name="Control 4" hidden="1">
          <a:extLst>
            <a:ext uri="{FF2B5EF4-FFF2-40B4-BE49-F238E27FC236}">
              <a16:creationId xmlns:a16="http://schemas.microsoft.com/office/drawing/2014/main" id="{62EF880B-FA29-4E23-A540-1C6B9F16106B}"/>
            </a:ext>
            <a:ext uri="{147F2762-F138-4A5C-976F-8EAC2B608ADB}">
              <a16:predDERef xmlns:a16="http://schemas.microsoft.com/office/drawing/2014/main" pred="{FBF2AD47-9400-4790-A509-B3A879E5ED48}"/>
            </a:ext>
          </a:extLst>
        </xdr:cNvPr>
        <xdr:cNvPicPr>
          <a:picLocks noChangeAspect="1"/>
        </xdr:cNvPicPr>
      </xdr:nvPicPr>
      <xdr:blipFill>
        <a:blip xmlns:r="http://schemas.openxmlformats.org/officeDocument/2006/relationships" r:embed="rId1"/>
        <a:stretch>
          <a:fillRect/>
        </a:stretch>
      </xdr:blipFill>
      <xdr:spPr>
        <a:xfrm>
          <a:off x="32956500" y="60540900"/>
          <a:ext cx="914400" cy="228600"/>
        </a:xfrm>
        <a:prstGeom prst="rect">
          <a:avLst/>
        </a:prstGeom>
      </xdr:spPr>
    </xdr:pic>
    <xdr:clientData/>
  </xdr:oneCellAnchor>
  <xdr:oneCellAnchor>
    <xdr:from>
      <xdr:col>25</xdr:col>
      <xdr:colOff>0</xdr:colOff>
      <xdr:row>231</xdr:row>
      <xdr:rowOff>0</xdr:rowOff>
    </xdr:from>
    <xdr:ext cx="914400" cy="228600"/>
    <xdr:pic>
      <xdr:nvPicPr>
        <xdr:cNvPr id="33" name="Control 5" hidden="1">
          <a:extLst>
            <a:ext uri="{FF2B5EF4-FFF2-40B4-BE49-F238E27FC236}">
              <a16:creationId xmlns:a16="http://schemas.microsoft.com/office/drawing/2014/main" id="{F2E0B54F-E242-473E-8AF5-4C19BF1F3E3D}"/>
            </a:ext>
            <a:ext uri="{147F2762-F138-4A5C-976F-8EAC2B608ADB}">
              <a16:predDERef xmlns:a16="http://schemas.microsoft.com/office/drawing/2014/main" pred="{62EF880B-FA29-4E23-A540-1C6B9F16106B}"/>
            </a:ext>
          </a:extLst>
        </xdr:cNvPr>
        <xdr:cNvPicPr>
          <a:picLocks noChangeAspect="1"/>
        </xdr:cNvPicPr>
      </xdr:nvPicPr>
      <xdr:blipFill>
        <a:blip xmlns:r="http://schemas.openxmlformats.org/officeDocument/2006/relationships" r:embed="rId2"/>
        <a:stretch>
          <a:fillRect/>
        </a:stretch>
      </xdr:blipFill>
      <xdr:spPr>
        <a:xfrm>
          <a:off x="32956500" y="60540900"/>
          <a:ext cx="914400" cy="228600"/>
        </a:xfrm>
        <a:prstGeom prst="rect">
          <a:avLst/>
        </a:prstGeom>
      </xdr:spPr>
    </xdr:pic>
    <xdr:clientData/>
  </xdr:oneCellAnchor>
  <xdr:oneCellAnchor>
    <xdr:from>
      <xdr:col>25</xdr:col>
      <xdr:colOff>0</xdr:colOff>
      <xdr:row>231</xdr:row>
      <xdr:rowOff>0</xdr:rowOff>
    </xdr:from>
    <xdr:ext cx="914400" cy="228600"/>
    <xdr:pic>
      <xdr:nvPicPr>
        <xdr:cNvPr id="34" name="Control 6" hidden="1">
          <a:extLst>
            <a:ext uri="{FF2B5EF4-FFF2-40B4-BE49-F238E27FC236}">
              <a16:creationId xmlns:a16="http://schemas.microsoft.com/office/drawing/2014/main" id="{0EE986B8-D5F3-4ED9-A713-EA83F345B474}"/>
            </a:ext>
            <a:ext uri="{147F2762-F138-4A5C-976F-8EAC2B608ADB}">
              <a16:predDERef xmlns:a16="http://schemas.microsoft.com/office/drawing/2014/main" pred="{F2E0B54F-E242-473E-8AF5-4C19BF1F3E3D}"/>
            </a:ext>
          </a:extLst>
        </xdr:cNvPr>
        <xdr:cNvPicPr>
          <a:picLocks noChangeAspect="1"/>
        </xdr:cNvPicPr>
      </xdr:nvPicPr>
      <xdr:blipFill>
        <a:blip xmlns:r="http://schemas.openxmlformats.org/officeDocument/2006/relationships" r:embed="rId3"/>
        <a:stretch>
          <a:fillRect/>
        </a:stretch>
      </xdr:blipFill>
      <xdr:spPr>
        <a:xfrm>
          <a:off x="32956500" y="60540900"/>
          <a:ext cx="914400" cy="228600"/>
        </a:xfrm>
        <a:prstGeom prst="rect">
          <a:avLst/>
        </a:prstGeom>
      </xdr:spPr>
    </xdr:pic>
    <xdr:clientData/>
  </xdr:oneCellAnchor>
  <xdr:oneCellAnchor>
    <xdr:from>
      <xdr:col>25</xdr:col>
      <xdr:colOff>0</xdr:colOff>
      <xdr:row>231</xdr:row>
      <xdr:rowOff>0</xdr:rowOff>
    </xdr:from>
    <xdr:ext cx="914400" cy="228600"/>
    <xdr:pic>
      <xdr:nvPicPr>
        <xdr:cNvPr id="35" name="Control 7" hidden="1">
          <a:extLst>
            <a:ext uri="{FF2B5EF4-FFF2-40B4-BE49-F238E27FC236}">
              <a16:creationId xmlns:a16="http://schemas.microsoft.com/office/drawing/2014/main" id="{F4E04652-1BCF-46B3-A25A-3DADDB975AC5}"/>
            </a:ext>
            <a:ext uri="{147F2762-F138-4A5C-976F-8EAC2B608ADB}">
              <a16:predDERef xmlns:a16="http://schemas.microsoft.com/office/drawing/2014/main" pred="{0EE986B8-D5F3-4ED9-A713-EA83F345B474}"/>
            </a:ext>
          </a:extLst>
        </xdr:cNvPr>
        <xdr:cNvPicPr>
          <a:picLocks noChangeAspect="1"/>
        </xdr:cNvPicPr>
      </xdr:nvPicPr>
      <xdr:blipFill>
        <a:blip xmlns:r="http://schemas.openxmlformats.org/officeDocument/2006/relationships" r:embed="rId4"/>
        <a:stretch>
          <a:fillRect/>
        </a:stretch>
      </xdr:blipFill>
      <xdr:spPr>
        <a:xfrm>
          <a:off x="32956500" y="60540900"/>
          <a:ext cx="914400" cy="228600"/>
        </a:xfrm>
        <a:prstGeom prst="rect">
          <a:avLst/>
        </a:prstGeom>
      </xdr:spPr>
    </xdr:pic>
    <xdr:clientData/>
  </xdr:oneCellAnchor>
  <xdr:oneCellAnchor>
    <xdr:from>
      <xdr:col>25</xdr:col>
      <xdr:colOff>0</xdr:colOff>
      <xdr:row>231</xdr:row>
      <xdr:rowOff>0</xdr:rowOff>
    </xdr:from>
    <xdr:ext cx="914400" cy="228600"/>
    <xdr:pic>
      <xdr:nvPicPr>
        <xdr:cNvPr id="36" name="Control 8" hidden="1">
          <a:extLst>
            <a:ext uri="{FF2B5EF4-FFF2-40B4-BE49-F238E27FC236}">
              <a16:creationId xmlns:a16="http://schemas.microsoft.com/office/drawing/2014/main" id="{FBFC62F7-F669-481B-8C67-44648FAA8C8E}"/>
            </a:ext>
            <a:ext uri="{147F2762-F138-4A5C-976F-8EAC2B608ADB}">
              <a16:predDERef xmlns:a16="http://schemas.microsoft.com/office/drawing/2014/main" pred="{F4E04652-1BCF-46B3-A25A-3DADDB975AC5}"/>
            </a:ext>
          </a:extLst>
        </xdr:cNvPr>
        <xdr:cNvPicPr>
          <a:picLocks noChangeAspect="1"/>
        </xdr:cNvPicPr>
      </xdr:nvPicPr>
      <xdr:blipFill>
        <a:blip xmlns:r="http://schemas.openxmlformats.org/officeDocument/2006/relationships" r:embed="rId5"/>
        <a:stretch>
          <a:fillRect/>
        </a:stretch>
      </xdr:blipFill>
      <xdr:spPr>
        <a:xfrm>
          <a:off x="32956500" y="60540900"/>
          <a:ext cx="914400" cy="2286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25</xdr:col>
      <xdr:colOff>0</xdr:colOff>
      <xdr:row>3</xdr:row>
      <xdr:rowOff>0</xdr:rowOff>
    </xdr:from>
    <xdr:ext cx="914400" cy="228600"/>
    <xdr:pic>
      <xdr:nvPicPr>
        <xdr:cNvPr id="2" name="Control 4" hidden="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8335625" y="1276350"/>
          <a:ext cx="914400" cy="228600"/>
        </a:xfrm>
        <a:prstGeom prst="rect">
          <a:avLst/>
        </a:prstGeom>
      </xdr:spPr>
    </xdr:pic>
    <xdr:clientData/>
  </xdr:oneCellAnchor>
  <xdr:oneCellAnchor>
    <xdr:from>
      <xdr:col>25</xdr:col>
      <xdr:colOff>0</xdr:colOff>
      <xdr:row>3</xdr:row>
      <xdr:rowOff>0</xdr:rowOff>
    </xdr:from>
    <xdr:ext cx="914400" cy="228600"/>
    <xdr:pic>
      <xdr:nvPicPr>
        <xdr:cNvPr id="3" name="Control 5" hidden="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18335625" y="1276350"/>
          <a:ext cx="914400" cy="228600"/>
        </a:xfrm>
        <a:prstGeom prst="rect">
          <a:avLst/>
        </a:prstGeom>
      </xdr:spPr>
    </xdr:pic>
    <xdr:clientData/>
  </xdr:oneCellAnchor>
  <xdr:oneCellAnchor>
    <xdr:from>
      <xdr:col>25</xdr:col>
      <xdr:colOff>0</xdr:colOff>
      <xdr:row>3</xdr:row>
      <xdr:rowOff>0</xdr:rowOff>
    </xdr:from>
    <xdr:ext cx="914400" cy="228600"/>
    <xdr:pic>
      <xdr:nvPicPr>
        <xdr:cNvPr id="4" name="Control 6" hidden="1">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18335625" y="1276350"/>
          <a:ext cx="914400" cy="228600"/>
        </a:xfrm>
        <a:prstGeom prst="rect">
          <a:avLst/>
        </a:prstGeom>
      </xdr:spPr>
    </xdr:pic>
    <xdr:clientData/>
  </xdr:oneCellAnchor>
  <xdr:oneCellAnchor>
    <xdr:from>
      <xdr:col>25</xdr:col>
      <xdr:colOff>0</xdr:colOff>
      <xdr:row>3</xdr:row>
      <xdr:rowOff>0</xdr:rowOff>
    </xdr:from>
    <xdr:ext cx="914400" cy="228600"/>
    <xdr:pic>
      <xdr:nvPicPr>
        <xdr:cNvPr id="5" name="Control 7" hidden="1">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18335625" y="1276350"/>
          <a:ext cx="914400" cy="228600"/>
        </a:xfrm>
        <a:prstGeom prst="rect">
          <a:avLst/>
        </a:prstGeom>
      </xdr:spPr>
    </xdr:pic>
    <xdr:clientData/>
  </xdr:oneCellAnchor>
  <xdr:oneCellAnchor>
    <xdr:from>
      <xdr:col>25</xdr:col>
      <xdr:colOff>0</xdr:colOff>
      <xdr:row>3</xdr:row>
      <xdr:rowOff>0</xdr:rowOff>
    </xdr:from>
    <xdr:ext cx="914400" cy="228600"/>
    <xdr:pic>
      <xdr:nvPicPr>
        <xdr:cNvPr id="6" name="Control 8" hidden="1">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5"/>
        <a:stretch>
          <a:fillRect/>
        </a:stretch>
      </xdr:blipFill>
      <xdr:spPr>
        <a:xfrm>
          <a:off x="18335625" y="1276350"/>
          <a:ext cx="914400" cy="228600"/>
        </a:xfrm>
        <a:prstGeom prst="rect">
          <a:avLst/>
        </a:prstGeom>
      </xdr:spPr>
    </xdr:pic>
    <xdr:clientData/>
  </xdr:oneCellAnchor>
  <xdr:oneCellAnchor>
    <xdr:from>
      <xdr:col>27</xdr:col>
      <xdr:colOff>0</xdr:colOff>
      <xdr:row>3</xdr:row>
      <xdr:rowOff>0</xdr:rowOff>
    </xdr:from>
    <xdr:ext cx="914400" cy="228600"/>
    <xdr:pic>
      <xdr:nvPicPr>
        <xdr:cNvPr id="62" name="Control 4" hidden="1">
          <a:extLst>
            <a:ext uri="{FF2B5EF4-FFF2-40B4-BE49-F238E27FC236}">
              <a16:creationId xmlns:a16="http://schemas.microsoft.com/office/drawing/2014/main" id="{00000000-0008-0000-0200-00003E000000}"/>
            </a:ext>
          </a:extLst>
        </xdr:cNvPr>
        <xdr:cNvPicPr>
          <a:picLocks noChangeAspect="1"/>
        </xdr:cNvPicPr>
      </xdr:nvPicPr>
      <xdr:blipFill>
        <a:blip xmlns:r="http://schemas.openxmlformats.org/officeDocument/2006/relationships" r:embed="rId1"/>
        <a:stretch>
          <a:fillRect/>
        </a:stretch>
      </xdr:blipFill>
      <xdr:spPr>
        <a:xfrm>
          <a:off x="19240500" y="1276350"/>
          <a:ext cx="914400" cy="228600"/>
        </a:xfrm>
        <a:prstGeom prst="rect">
          <a:avLst/>
        </a:prstGeom>
      </xdr:spPr>
    </xdr:pic>
    <xdr:clientData/>
  </xdr:oneCellAnchor>
  <xdr:oneCellAnchor>
    <xdr:from>
      <xdr:col>27</xdr:col>
      <xdr:colOff>0</xdr:colOff>
      <xdr:row>3</xdr:row>
      <xdr:rowOff>0</xdr:rowOff>
    </xdr:from>
    <xdr:ext cx="914400" cy="228600"/>
    <xdr:pic>
      <xdr:nvPicPr>
        <xdr:cNvPr id="63" name="Control 5" hidden="1">
          <a:extLst>
            <a:ext uri="{FF2B5EF4-FFF2-40B4-BE49-F238E27FC236}">
              <a16:creationId xmlns:a16="http://schemas.microsoft.com/office/drawing/2014/main" id="{00000000-0008-0000-0200-00003F000000}"/>
            </a:ext>
          </a:extLst>
        </xdr:cNvPr>
        <xdr:cNvPicPr>
          <a:picLocks noChangeAspect="1"/>
        </xdr:cNvPicPr>
      </xdr:nvPicPr>
      <xdr:blipFill>
        <a:blip xmlns:r="http://schemas.openxmlformats.org/officeDocument/2006/relationships" r:embed="rId2"/>
        <a:stretch>
          <a:fillRect/>
        </a:stretch>
      </xdr:blipFill>
      <xdr:spPr>
        <a:xfrm>
          <a:off x="19240500" y="1276350"/>
          <a:ext cx="914400" cy="228600"/>
        </a:xfrm>
        <a:prstGeom prst="rect">
          <a:avLst/>
        </a:prstGeom>
      </xdr:spPr>
    </xdr:pic>
    <xdr:clientData/>
  </xdr:oneCellAnchor>
  <xdr:oneCellAnchor>
    <xdr:from>
      <xdr:col>27</xdr:col>
      <xdr:colOff>0</xdr:colOff>
      <xdr:row>3</xdr:row>
      <xdr:rowOff>0</xdr:rowOff>
    </xdr:from>
    <xdr:ext cx="914400" cy="228600"/>
    <xdr:pic>
      <xdr:nvPicPr>
        <xdr:cNvPr id="64" name="Control 6" hidden="1">
          <a:extLst>
            <a:ext uri="{FF2B5EF4-FFF2-40B4-BE49-F238E27FC236}">
              <a16:creationId xmlns:a16="http://schemas.microsoft.com/office/drawing/2014/main" id="{00000000-0008-0000-0200-000040000000}"/>
            </a:ext>
          </a:extLst>
        </xdr:cNvPr>
        <xdr:cNvPicPr>
          <a:picLocks noChangeAspect="1"/>
        </xdr:cNvPicPr>
      </xdr:nvPicPr>
      <xdr:blipFill>
        <a:blip xmlns:r="http://schemas.openxmlformats.org/officeDocument/2006/relationships" r:embed="rId3"/>
        <a:stretch>
          <a:fillRect/>
        </a:stretch>
      </xdr:blipFill>
      <xdr:spPr>
        <a:xfrm>
          <a:off x="19240500" y="1276350"/>
          <a:ext cx="914400" cy="228600"/>
        </a:xfrm>
        <a:prstGeom prst="rect">
          <a:avLst/>
        </a:prstGeom>
      </xdr:spPr>
    </xdr:pic>
    <xdr:clientData/>
  </xdr:oneCellAnchor>
  <xdr:oneCellAnchor>
    <xdr:from>
      <xdr:col>27</xdr:col>
      <xdr:colOff>0</xdr:colOff>
      <xdr:row>3</xdr:row>
      <xdr:rowOff>0</xdr:rowOff>
    </xdr:from>
    <xdr:ext cx="914400" cy="228600"/>
    <xdr:pic>
      <xdr:nvPicPr>
        <xdr:cNvPr id="65" name="Control 7" hidden="1">
          <a:extLst>
            <a:ext uri="{FF2B5EF4-FFF2-40B4-BE49-F238E27FC236}">
              <a16:creationId xmlns:a16="http://schemas.microsoft.com/office/drawing/2014/main" id="{00000000-0008-0000-0200-000041000000}"/>
            </a:ext>
          </a:extLst>
        </xdr:cNvPr>
        <xdr:cNvPicPr>
          <a:picLocks noChangeAspect="1"/>
        </xdr:cNvPicPr>
      </xdr:nvPicPr>
      <xdr:blipFill>
        <a:blip xmlns:r="http://schemas.openxmlformats.org/officeDocument/2006/relationships" r:embed="rId4"/>
        <a:stretch>
          <a:fillRect/>
        </a:stretch>
      </xdr:blipFill>
      <xdr:spPr>
        <a:xfrm>
          <a:off x="19240500" y="1276350"/>
          <a:ext cx="914400" cy="228600"/>
        </a:xfrm>
        <a:prstGeom prst="rect">
          <a:avLst/>
        </a:prstGeom>
      </xdr:spPr>
    </xdr:pic>
    <xdr:clientData/>
  </xdr:oneCellAnchor>
  <xdr:oneCellAnchor>
    <xdr:from>
      <xdr:col>27</xdr:col>
      <xdr:colOff>0</xdr:colOff>
      <xdr:row>3</xdr:row>
      <xdr:rowOff>0</xdr:rowOff>
    </xdr:from>
    <xdr:ext cx="914400" cy="228600"/>
    <xdr:pic>
      <xdr:nvPicPr>
        <xdr:cNvPr id="66" name="Control 8" hidden="1">
          <a:extLst>
            <a:ext uri="{FF2B5EF4-FFF2-40B4-BE49-F238E27FC236}">
              <a16:creationId xmlns:a16="http://schemas.microsoft.com/office/drawing/2014/main" id="{00000000-0008-0000-0200-000042000000}"/>
            </a:ext>
          </a:extLst>
        </xdr:cNvPr>
        <xdr:cNvPicPr>
          <a:picLocks noChangeAspect="1"/>
        </xdr:cNvPicPr>
      </xdr:nvPicPr>
      <xdr:blipFill>
        <a:blip xmlns:r="http://schemas.openxmlformats.org/officeDocument/2006/relationships" r:embed="rId5"/>
        <a:stretch>
          <a:fillRect/>
        </a:stretch>
      </xdr:blipFill>
      <xdr:spPr>
        <a:xfrm>
          <a:off x="19240500" y="1276350"/>
          <a:ext cx="914400" cy="228600"/>
        </a:xfrm>
        <a:prstGeom prst="rect">
          <a:avLst/>
        </a:prstGeom>
      </xdr:spPr>
    </xdr:pic>
    <xdr:clientData/>
  </xdr:oneCellAnchor>
  <xdr:oneCellAnchor>
    <xdr:from>
      <xdr:col>26</xdr:col>
      <xdr:colOff>0</xdr:colOff>
      <xdr:row>3</xdr:row>
      <xdr:rowOff>0</xdr:rowOff>
    </xdr:from>
    <xdr:ext cx="914400" cy="228600"/>
    <xdr:pic>
      <xdr:nvPicPr>
        <xdr:cNvPr id="7" name="Control 4" hidden="1">
          <a:extLst>
            <a:ext uri="{FF2B5EF4-FFF2-40B4-BE49-F238E27FC236}">
              <a16:creationId xmlns:a16="http://schemas.microsoft.com/office/drawing/2014/main" id="{C587F4E1-0E8A-49E9-99FD-AD64F46E5A8A}"/>
            </a:ext>
          </a:extLst>
        </xdr:cNvPr>
        <xdr:cNvPicPr>
          <a:picLocks noChangeAspect="1"/>
        </xdr:cNvPicPr>
      </xdr:nvPicPr>
      <xdr:blipFill>
        <a:blip xmlns:r="http://schemas.openxmlformats.org/officeDocument/2006/relationships" r:embed="rId1"/>
        <a:stretch>
          <a:fillRect/>
        </a:stretch>
      </xdr:blipFill>
      <xdr:spPr>
        <a:xfrm>
          <a:off x="30797500" y="1158875"/>
          <a:ext cx="914400" cy="228600"/>
        </a:xfrm>
        <a:prstGeom prst="rect">
          <a:avLst/>
        </a:prstGeom>
      </xdr:spPr>
    </xdr:pic>
    <xdr:clientData/>
  </xdr:oneCellAnchor>
  <xdr:oneCellAnchor>
    <xdr:from>
      <xdr:col>26</xdr:col>
      <xdr:colOff>0</xdr:colOff>
      <xdr:row>3</xdr:row>
      <xdr:rowOff>0</xdr:rowOff>
    </xdr:from>
    <xdr:ext cx="914400" cy="228600"/>
    <xdr:pic>
      <xdr:nvPicPr>
        <xdr:cNvPr id="8" name="Control 5" hidden="1">
          <a:extLst>
            <a:ext uri="{FF2B5EF4-FFF2-40B4-BE49-F238E27FC236}">
              <a16:creationId xmlns:a16="http://schemas.microsoft.com/office/drawing/2014/main" id="{DF7A5426-0EE0-4A3C-813B-89B58EF68BA1}"/>
            </a:ext>
          </a:extLst>
        </xdr:cNvPr>
        <xdr:cNvPicPr>
          <a:picLocks noChangeAspect="1"/>
        </xdr:cNvPicPr>
      </xdr:nvPicPr>
      <xdr:blipFill>
        <a:blip xmlns:r="http://schemas.openxmlformats.org/officeDocument/2006/relationships" r:embed="rId2"/>
        <a:stretch>
          <a:fillRect/>
        </a:stretch>
      </xdr:blipFill>
      <xdr:spPr>
        <a:xfrm>
          <a:off x="30797500" y="1158875"/>
          <a:ext cx="914400" cy="228600"/>
        </a:xfrm>
        <a:prstGeom prst="rect">
          <a:avLst/>
        </a:prstGeom>
      </xdr:spPr>
    </xdr:pic>
    <xdr:clientData/>
  </xdr:oneCellAnchor>
  <xdr:oneCellAnchor>
    <xdr:from>
      <xdr:col>26</xdr:col>
      <xdr:colOff>0</xdr:colOff>
      <xdr:row>3</xdr:row>
      <xdr:rowOff>0</xdr:rowOff>
    </xdr:from>
    <xdr:ext cx="914400" cy="228600"/>
    <xdr:pic>
      <xdr:nvPicPr>
        <xdr:cNvPr id="9" name="Control 6" hidden="1">
          <a:extLst>
            <a:ext uri="{FF2B5EF4-FFF2-40B4-BE49-F238E27FC236}">
              <a16:creationId xmlns:a16="http://schemas.microsoft.com/office/drawing/2014/main" id="{2966880B-CCFB-4A1E-828B-510C2D58FF2A}"/>
            </a:ext>
          </a:extLst>
        </xdr:cNvPr>
        <xdr:cNvPicPr>
          <a:picLocks noChangeAspect="1"/>
        </xdr:cNvPicPr>
      </xdr:nvPicPr>
      <xdr:blipFill>
        <a:blip xmlns:r="http://schemas.openxmlformats.org/officeDocument/2006/relationships" r:embed="rId3"/>
        <a:stretch>
          <a:fillRect/>
        </a:stretch>
      </xdr:blipFill>
      <xdr:spPr>
        <a:xfrm>
          <a:off x="30797500" y="1158875"/>
          <a:ext cx="914400" cy="228600"/>
        </a:xfrm>
        <a:prstGeom prst="rect">
          <a:avLst/>
        </a:prstGeom>
      </xdr:spPr>
    </xdr:pic>
    <xdr:clientData/>
  </xdr:oneCellAnchor>
  <xdr:oneCellAnchor>
    <xdr:from>
      <xdr:col>26</xdr:col>
      <xdr:colOff>0</xdr:colOff>
      <xdr:row>3</xdr:row>
      <xdr:rowOff>0</xdr:rowOff>
    </xdr:from>
    <xdr:ext cx="914400" cy="228600"/>
    <xdr:pic>
      <xdr:nvPicPr>
        <xdr:cNvPr id="10" name="Control 7" hidden="1">
          <a:extLst>
            <a:ext uri="{FF2B5EF4-FFF2-40B4-BE49-F238E27FC236}">
              <a16:creationId xmlns:a16="http://schemas.microsoft.com/office/drawing/2014/main" id="{D28D0D69-29D3-4204-B18A-D20D8F8EB368}"/>
            </a:ext>
          </a:extLst>
        </xdr:cNvPr>
        <xdr:cNvPicPr>
          <a:picLocks noChangeAspect="1"/>
        </xdr:cNvPicPr>
      </xdr:nvPicPr>
      <xdr:blipFill>
        <a:blip xmlns:r="http://schemas.openxmlformats.org/officeDocument/2006/relationships" r:embed="rId4"/>
        <a:stretch>
          <a:fillRect/>
        </a:stretch>
      </xdr:blipFill>
      <xdr:spPr>
        <a:xfrm>
          <a:off x="30797500" y="1158875"/>
          <a:ext cx="914400" cy="228600"/>
        </a:xfrm>
        <a:prstGeom prst="rect">
          <a:avLst/>
        </a:prstGeom>
      </xdr:spPr>
    </xdr:pic>
    <xdr:clientData/>
  </xdr:oneCellAnchor>
  <xdr:oneCellAnchor>
    <xdr:from>
      <xdr:col>26</xdr:col>
      <xdr:colOff>0</xdr:colOff>
      <xdr:row>3</xdr:row>
      <xdr:rowOff>0</xdr:rowOff>
    </xdr:from>
    <xdr:ext cx="914400" cy="228600"/>
    <xdr:pic>
      <xdr:nvPicPr>
        <xdr:cNvPr id="11" name="Control 8" hidden="1">
          <a:extLst>
            <a:ext uri="{FF2B5EF4-FFF2-40B4-BE49-F238E27FC236}">
              <a16:creationId xmlns:a16="http://schemas.microsoft.com/office/drawing/2014/main" id="{D60D43DC-9DD4-4E45-BCA2-0E71E55AAC51}"/>
            </a:ext>
          </a:extLst>
        </xdr:cNvPr>
        <xdr:cNvPicPr>
          <a:picLocks noChangeAspect="1"/>
        </xdr:cNvPicPr>
      </xdr:nvPicPr>
      <xdr:blipFill>
        <a:blip xmlns:r="http://schemas.openxmlformats.org/officeDocument/2006/relationships" r:embed="rId5"/>
        <a:stretch>
          <a:fillRect/>
        </a:stretch>
      </xdr:blipFill>
      <xdr:spPr>
        <a:xfrm>
          <a:off x="30797500" y="1158875"/>
          <a:ext cx="914400" cy="228600"/>
        </a:xfrm>
        <a:prstGeom prst="rect">
          <a:avLst/>
        </a:prstGeom>
      </xdr:spPr>
    </xdr:pic>
    <xdr:clientData/>
  </xdr:oneCellAnchor>
  <xdr:oneCellAnchor>
    <xdr:from>
      <xdr:col>25</xdr:col>
      <xdr:colOff>0</xdr:colOff>
      <xdr:row>4</xdr:row>
      <xdr:rowOff>0</xdr:rowOff>
    </xdr:from>
    <xdr:ext cx="914400" cy="228600"/>
    <xdr:pic>
      <xdr:nvPicPr>
        <xdr:cNvPr id="12" name="Control 4" hidden="1">
          <a:extLst>
            <a:ext uri="{FF2B5EF4-FFF2-40B4-BE49-F238E27FC236}">
              <a16:creationId xmlns:a16="http://schemas.microsoft.com/office/drawing/2014/main" id="{65E77A7D-5298-4421-BD04-3EA6B27CA045}"/>
            </a:ext>
          </a:extLst>
        </xdr:cNvPr>
        <xdr:cNvPicPr>
          <a:picLocks noChangeAspect="1"/>
        </xdr:cNvPicPr>
      </xdr:nvPicPr>
      <xdr:blipFill>
        <a:blip xmlns:r="http://schemas.openxmlformats.org/officeDocument/2006/relationships" r:embed="rId1"/>
        <a:stretch>
          <a:fillRect/>
        </a:stretch>
      </xdr:blipFill>
      <xdr:spPr>
        <a:xfrm>
          <a:off x="28162250" y="1158875"/>
          <a:ext cx="914400" cy="228600"/>
        </a:xfrm>
        <a:prstGeom prst="rect">
          <a:avLst/>
        </a:prstGeom>
      </xdr:spPr>
    </xdr:pic>
    <xdr:clientData/>
  </xdr:oneCellAnchor>
  <xdr:oneCellAnchor>
    <xdr:from>
      <xdr:col>25</xdr:col>
      <xdr:colOff>0</xdr:colOff>
      <xdr:row>4</xdr:row>
      <xdr:rowOff>0</xdr:rowOff>
    </xdr:from>
    <xdr:ext cx="914400" cy="228600"/>
    <xdr:pic>
      <xdr:nvPicPr>
        <xdr:cNvPr id="13" name="Control 5" hidden="1">
          <a:extLst>
            <a:ext uri="{FF2B5EF4-FFF2-40B4-BE49-F238E27FC236}">
              <a16:creationId xmlns:a16="http://schemas.microsoft.com/office/drawing/2014/main" id="{0F5225B8-97BF-4E33-BDCA-613262E9F084}"/>
            </a:ext>
          </a:extLst>
        </xdr:cNvPr>
        <xdr:cNvPicPr>
          <a:picLocks noChangeAspect="1"/>
        </xdr:cNvPicPr>
      </xdr:nvPicPr>
      <xdr:blipFill>
        <a:blip xmlns:r="http://schemas.openxmlformats.org/officeDocument/2006/relationships" r:embed="rId2"/>
        <a:stretch>
          <a:fillRect/>
        </a:stretch>
      </xdr:blipFill>
      <xdr:spPr>
        <a:xfrm>
          <a:off x="28162250" y="1158875"/>
          <a:ext cx="914400" cy="228600"/>
        </a:xfrm>
        <a:prstGeom prst="rect">
          <a:avLst/>
        </a:prstGeom>
      </xdr:spPr>
    </xdr:pic>
    <xdr:clientData/>
  </xdr:oneCellAnchor>
  <xdr:oneCellAnchor>
    <xdr:from>
      <xdr:col>25</xdr:col>
      <xdr:colOff>0</xdr:colOff>
      <xdr:row>4</xdr:row>
      <xdr:rowOff>0</xdr:rowOff>
    </xdr:from>
    <xdr:ext cx="914400" cy="228600"/>
    <xdr:pic>
      <xdr:nvPicPr>
        <xdr:cNvPr id="14" name="Control 6" hidden="1">
          <a:extLst>
            <a:ext uri="{FF2B5EF4-FFF2-40B4-BE49-F238E27FC236}">
              <a16:creationId xmlns:a16="http://schemas.microsoft.com/office/drawing/2014/main" id="{249D76D0-DFC2-494C-8EBB-645B226494AD}"/>
            </a:ext>
          </a:extLst>
        </xdr:cNvPr>
        <xdr:cNvPicPr>
          <a:picLocks noChangeAspect="1"/>
        </xdr:cNvPicPr>
      </xdr:nvPicPr>
      <xdr:blipFill>
        <a:blip xmlns:r="http://schemas.openxmlformats.org/officeDocument/2006/relationships" r:embed="rId3"/>
        <a:stretch>
          <a:fillRect/>
        </a:stretch>
      </xdr:blipFill>
      <xdr:spPr>
        <a:xfrm>
          <a:off x="28162250" y="1158875"/>
          <a:ext cx="914400" cy="228600"/>
        </a:xfrm>
        <a:prstGeom prst="rect">
          <a:avLst/>
        </a:prstGeom>
      </xdr:spPr>
    </xdr:pic>
    <xdr:clientData/>
  </xdr:oneCellAnchor>
  <xdr:oneCellAnchor>
    <xdr:from>
      <xdr:col>25</xdr:col>
      <xdr:colOff>0</xdr:colOff>
      <xdr:row>4</xdr:row>
      <xdr:rowOff>0</xdr:rowOff>
    </xdr:from>
    <xdr:ext cx="914400" cy="228600"/>
    <xdr:pic>
      <xdr:nvPicPr>
        <xdr:cNvPr id="15" name="Control 7" hidden="1">
          <a:extLst>
            <a:ext uri="{FF2B5EF4-FFF2-40B4-BE49-F238E27FC236}">
              <a16:creationId xmlns:a16="http://schemas.microsoft.com/office/drawing/2014/main" id="{765E812B-F601-4700-90CC-28D036C415F1}"/>
            </a:ext>
          </a:extLst>
        </xdr:cNvPr>
        <xdr:cNvPicPr>
          <a:picLocks noChangeAspect="1"/>
        </xdr:cNvPicPr>
      </xdr:nvPicPr>
      <xdr:blipFill>
        <a:blip xmlns:r="http://schemas.openxmlformats.org/officeDocument/2006/relationships" r:embed="rId4"/>
        <a:stretch>
          <a:fillRect/>
        </a:stretch>
      </xdr:blipFill>
      <xdr:spPr>
        <a:xfrm>
          <a:off x="28162250" y="1158875"/>
          <a:ext cx="914400" cy="228600"/>
        </a:xfrm>
        <a:prstGeom prst="rect">
          <a:avLst/>
        </a:prstGeom>
      </xdr:spPr>
    </xdr:pic>
    <xdr:clientData/>
  </xdr:oneCellAnchor>
  <xdr:oneCellAnchor>
    <xdr:from>
      <xdr:col>25</xdr:col>
      <xdr:colOff>0</xdr:colOff>
      <xdr:row>4</xdr:row>
      <xdr:rowOff>0</xdr:rowOff>
    </xdr:from>
    <xdr:ext cx="914400" cy="228600"/>
    <xdr:pic>
      <xdr:nvPicPr>
        <xdr:cNvPr id="16" name="Control 8" hidden="1">
          <a:extLst>
            <a:ext uri="{FF2B5EF4-FFF2-40B4-BE49-F238E27FC236}">
              <a16:creationId xmlns:a16="http://schemas.microsoft.com/office/drawing/2014/main" id="{B1F2CF52-35B4-4949-B69D-D7988533627D}"/>
            </a:ext>
          </a:extLst>
        </xdr:cNvPr>
        <xdr:cNvPicPr>
          <a:picLocks noChangeAspect="1"/>
        </xdr:cNvPicPr>
      </xdr:nvPicPr>
      <xdr:blipFill>
        <a:blip xmlns:r="http://schemas.openxmlformats.org/officeDocument/2006/relationships" r:embed="rId5"/>
        <a:stretch>
          <a:fillRect/>
        </a:stretch>
      </xdr:blipFill>
      <xdr:spPr>
        <a:xfrm>
          <a:off x="28162250" y="1158875"/>
          <a:ext cx="914400" cy="228600"/>
        </a:xfrm>
        <a:prstGeom prst="rect">
          <a:avLst/>
        </a:prstGeom>
      </xdr:spPr>
    </xdr:pic>
    <xdr:clientData/>
  </xdr:oneCellAnchor>
  <xdr:oneCellAnchor>
    <xdr:from>
      <xdr:col>25</xdr:col>
      <xdr:colOff>0</xdr:colOff>
      <xdr:row>10</xdr:row>
      <xdr:rowOff>0</xdr:rowOff>
    </xdr:from>
    <xdr:ext cx="914400" cy="228600"/>
    <xdr:pic>
      <xdr:nvPicPr>
        <xdr:cNvPr id="17" name="Control 4" hidden="1">
          <a:extLst>
            <a:ext uri="{FF2B5EF4-FFF2-40B4-BE49-F238E27FC236}">
              <a16:creationId xmlns:a16="http://schemas.microsoft.com/office/drawing/2014/main" id="{67A9B87C-7850-4D5B-BA6A-82A39990FB45}"/>
            </a:ext>
          </a:extLst>
        </xdr:cNvPr>
        <xdr:cNvPicPr>
          <a:picLocks noChangeAspect="1"/>
        </xdr:cNvPicPr>
      </xdr:nvPicPr>
      <xdr:blipFill>
        <a:blip xmlns:r="http://schemas.openxmlformats.org/officeDocument/2006/relationships" r:embed="rId1"/>
        <a:stretch>
          <a:fillRect/>
        </a:stretch>
      </xdr:blipFill>
      <xdr:spPr>
        <a:xfrm>
          <a:off x="29565600" y="1162050"/>
          <a:ext cx="914400" cy="228600"/>
        </a:xfrm>
        <a:prstGeom prst="rect">
          <a:avLst/>
        </a:prstGeom>
      </xdr:spPr>
    </xdr:pic>
    <xdr:clientData/>
  </xdr:oneCellAnchor>
  <xdr:oneCellAnchor>
    <xdr:from>
      <xdr:col>25</xdr:col>
      <xdr:colOff>0</xdr:colOff>
      <xdr:row>10</xdr:row>
      <xdr:rowOff>0</xdr:rowOff>
    </xdr:from>
    <xdr:ext cx="914400" cy="228600"/>
    <xdr:pic>
      <xdr:nvPicPr>
        <xdr:cNvPr id="18" name="Control 5" hidden="1">
          <a:extLst>
            <a:ext uri="{FF2B5EF4-FFF2-40B4-BE49-F238E27FC236}">
              <a16:creationId xmlns:a16="http://schemas.microsoft.com/office/drawing/2014/main" id="{25B170CE-B857-4E76-88CB-5BDDEF1B61ED}"/>
            </a:ext>
          </a:extLst>
        </xdr:cNvPr>
        <xdr:cNvPicPr>
          <a:picLocks noChangeAspect="1"/>
        </xdr:cNvPicPr>
      </xdr:nvPicPr>
      <xdr:blipFill>
        <a:blip xmlns:r="http://schemas.openxmlformats.org/officeDocument/2006/relationships" r:embed="rId2"/>
        <a:stretch>
          <a:fillRect/>
        </a:stretch>
      </xdr:blipFill>
      <xdr:spPr>
        <a:xfrm>
          <a:off x="29565600" y="1162050"/>
          <a:ext cx="914400" cy="228600"/>
        </a:xfrm>
        <a:prstGeom prst="rect">
          <a:avLst/>
        </a:prstGeom>
      </xdr:spPr>
    </xdr:pic>
    <xdr:clientData/>
  </xdr:oneCellAnchor>
  <xdr:oneCellAnchor>
    <xdr:from>
      <xdr:col>25</xdr:col>
      <xdr:colOff>0</xdr:colOff>
      <xdr:row>10</xdr:row>
      <xdr:rowOff>0</xdr:rowOff>
    </xdr:from>
    <xdr:ext cx="914400" cy="228600"/>
    <xdr:pic>
      <xdr:nvPicPr>
        <xdr:cNvPr id="19" name="Control 6" hidden="1">
          <a:extLst>
            <a:ext uri="{FF2B5EF4-FFF2-40B4-BE49-F238E27FC236}">
              <a16:creationId xmlns:a16="http://schemas.microsoft.com/office/drawing/2014/main" id="{7B198775-B15C-44FF-8937-681BBEF34894}"/>
            </a:ext>
          </a:extLst>
        </xdr:cNvPr>
        <xdr:cNvPicPr>
          <a:picLocks noChangeAspect="1"/>
        </xdr:cNvPicPr>
      </xdr:nvPicPr>
      <xdr:blipFill>
        <a:blip xmlns:r="http://schemas.openxmlformats.org/officeDocument/2006/relationships" r:embed="rId3"/>
        <a:stretch>
          <a:fillRect/>
        </a:stretch>
      </xdr:blipFill>
      <xdr:spPr>
        <a:xfrm>
          <a:off x="29565600" y="1162050"/>
          <a:ext cx="914400" cy="228600"/>
        </a:xfrm>
        <a:prstGeom prst="rect">
          <a:avLst/>
        </a:prstGeom>
      </xdr:spPr>
    </xdr:pic>
    <xdr:clientData/>
  </xdr:oneCellAnchor>
  <xdr:oneCellAnchor>
    <xdr:from>
      <xdr:col>25</xdr:col>
      <xdr:colOff>0</xdr:colOff>
      <xdr:row>10</xdr:row>
      <xdr:rowOff>0</xdr:rowOff>
    </xdr:from>
    <xdr:ext cx="914400" cy="228600"/>
    <xdr:pic>
      <xdr:nvPicPr>
        <xdr:cNvPr id="20" name="Control 7" hidden="1">
          <a:extLst>
            <a:ext uri="{FF2B5EF4-FFF2-40B4-BE49-F238E27FC236}">
              <a16:creationId xmlns:a16="http://schemas.microsoft.com/office/drawing/2014/main" id="{7D9496B1-D272-4B6B-A9CE-3096D02D142D}"/>
            </a:ext>
          </a:extLst>
        </xdr:cNvPr>
        <xdr:cNvPicPr>
          <a:picLocks noChangeAspect="1"/>
        </xdr:cNvPicPr>
      </xdr:nvPicPr>
      <xdr:blipFill>
        <a:blip xmlns:r="http://schemas.openxmlformats.org/officeDocument/2006/relationships" r:embed="rId4"/>
        <a:stretch>
          <a:fillRect/>
        </a:stretch>
      </xdr:blipFill>
      <xdr:spPr>
        <a:xfrm>
          <a:off x="29565600" y="1162050"/>
          <a:ext cx="914400" cy="228600"/>
        </a:xfrm>
        <a:prstGeom prst="rect">
          <a:avLst/>
        </a:prstGeom>
      </xdr:spPr>
    </xdr:pic>
    <xdr:clientData/>
  </xdr:oneCellAnchor>
  <xdr:oneCellAnchor>
    <xdr:from>
      <xdr:col>25</xdr:col>
      <xdr:colOff>0</xdr:colOff>
      <xdr:row>10</xdr:row>
      <xdr:rowOff>0</xdr:rowOff>
    </xdr:from>
    <xdr:ext cx="914400" cy="228600"/>
    <xdr:pic>
      <xdr:nvPicPr>
        <xdr:cNvPr id="21" name="Control 8" hidden="1">
          <a:extLst>
            <a:ext uri="{FF2B5EF4-FFF2-40B4-BE49-F238E27FC236}">
              <a16:creationId xmlns:a16="http://schemas.microsoft.com/office/drawing/2014/main" id="{73162F42-2611-4226-9A5E-8A0F1D0B8978}"/>
            </a:ext>
          </a:extLst>
        </xdr:cNvPr>
        <xdr:cNvPicPr>
          <a:picLocks noChangeAspect="1"/>
        </xdr:cNvPicPr>
      </xdr:nvPicPr>
      <xdr:blipFill>
        <a:blip xmlns:r="http://schemas.openxmlformats.org/officeDocument/2006/relationships" r:embed="rId5"/>
        <a:stretch>
          <a:fillRect/>
        </a:stretch>
      </xdr:blipFill>
      <xdr:spPr>
        <a:xfrm>
          <a:off x="29565600" y="1162050"/>
          <a:ext cx="914400" cy="228600"/>
        </a:xfrm>
        <a:prstGeom prst="rect">
          <a:avLst/>
        </a:prstGeom>
      </xdr:spPr>
    </xdr:pic>
    <xdr:clientData/>
  </xdr:oneCellAnchor>
  <xdr:oneCellAnchor>
    <xdr:from>
      <xdr:col>25</xdr:col>
      <xdr:colOff>0</xdr:colOff>
      <xdr:row>11</xdr:row>
      <xdr:rowOff>0</xdr:rowOff>
    </xdr:from>
    <xdr:ext cx="914400" cy="228600"/>
    <xdr:pic>
      <xdr:nvPicPr>
        <xdr:cNvPr id="22" name="Control 4" hidden="1">
          <a:extLst>
            <a:ext uri="{FF2B5EF4-FFF2-40B4-BE49-F238E27FC236}">
              <a16:creationId xmlns:a16="http://schemas.microsoft.com/office/drawing/2014/main" id="{12F1522E-60E1-4A56-AB54-9654236B32EA}"/>
            </a:ext>
          </a:extLst>
        </xdr:cNvPr>
        <xdr:cNvPicPr>
          <a:picLocks noChangeAspect="1"/>
        </xdr:cNvPicPr>
      </xdr:nvPicPr>
      <xdr:blipFill>
        <a:blip xmlns:r="http://schemas.openxmlformats.org/officeDocument/2006/relationships" r:embed="rId1"/>
        <a:stretch>
          <a:fillRect/>
        </a:stretch>
      </xdr:blipFill>
      <xdr:spPr>
        <a:xfrm>
          <a:off x="29565600" y="1162050"/>
          <a:ext cx="914400" cy="228600"/>
        </a:xfrm>
        <a:prstGeom prst="rect">
          <a:avLst/>
        </a:prstGeom>
      </xdr:spPr>
    </xdr:pic>
    <xdr:clientData/>
  </xdr:oneCellAnchor>
  <xdr:oneCellAnchor>
    <xdr:from>
      <xdr:col>25</xdr:col>
      <xdr:colOff>0</xdr:colOff>
      <xdr:row>11</xdr:row>
      <xdr:rowOff>0</xdr:rowOff>
    </xdr:from>
    <xdr:ext cx="914400" cy="228600"/>
    <xdr:pic>
      <xdr:nvPicPr>
        <xdr:cNvPr id="23" name="Control 5" hidden="1">
          <a:extLst>
            <a:ext uri="{FF2B5EF4-FFF2-40B4-BE49-F238E27FC236}">
              <a16:creationId xmlns:a16="http://schemas.microsoft.com/office/drawing/2014/main" id="{8B41507E-3FC6-4183-AD77-312CECE17B58}"/>
            </a:ext>
          </a:extLst>
        </xdr:cNvPr>
        <xdr:cNvPicPr>
          <a:picLocks noChangeAspect="1"/>
        </xdr:cNvPicPr>
      </xdr:nvPicPr>
      <xdr:blipFill>
        <a:blip xmlns:r="http://schemas.openxmlformats.org/officeDocument/2006/relationships" r:embed="rId2"/>
        <a:stretch>
          <a:fillRect/>
        </a:stretch>
      </xdr:blipFill>
      <xdr:spPr>
        <a:xfrm>
          <a:off x="29565600" y="1162050"/>
          <a:ext cx="914400" cy="228600"/>
        </a:xfrm>
        <a:prstGeom prst="rect">
          <a:avLst/>
        </a:prstGeom>
      </xdr:spPr>
    </xdr:pic>
    <xdr:clientData/>
  </xdr:oneCellAnchor>
  <xdr:oneCellAnchor>
    <xdr:from>
      <xdr:col>25</xdr:col>
      <xdr:colOff>0</xdr:colOff>
      <xdr:row>11</xdr:row>
      <xdr:rowOff>0</xdr:rowOff>
    </xdr:from>
    <xdr:ext cx="914400" cy="228600"/>
    <xdr:pic>
      <xdr:nvPicPr>
        <xdr:cNvPr id="24" name="Control 6" hidden="1">
          <a:extLst>
            <a:ext uri="{FF2B5EF4-FFF2-40B4-BE49-F238E27FC236}">
              <a16:creationId xmlns:a16="http://schemas.microsoft.com/office/drawing/2014/main" id="{31554693-56C8-4001-9522-EE885270D780}"/>
            </a:ext>
          </a:extLst>
        </xdr:cNvPr>
        <xdr:cNvPicPr>
          <a:picLocks noChangeAspect="1"/>
        </xdr:cNvPicPr>
      </xdr:nvPicPr>
      <xdr:blipFill>
        <a:blip xmlns:r="http://schemas.openxmlformats.org/officeDocument/2006/relationships" r:embed="rId3"/>
        <a:stretch>
          <a:fillRect/>
        </a:stretch>
      </xdr:blipFill>
      <xdr:spPr>
        <a:xfrm>
          <a:off x="29565600" y="1162050"/>
          <a:ext cx="914400" cy="228600"/>
        </a:xfrm>
        <a:prstGeom prst="rect">
          <a:avLst/>
        </a:prstGeom>
      </xdr:spPr>
    </xdr:pic>
    <xdr:clientData/>
  </xdr:oneCellAnchor>
  <xdr:oneCellAnchor>
    <xdr:from>
      <xdr:col>25</xdr:col>
      <xdr:colOff>0</xdr:colOff>
      <xdr:row>11</xdr:row>
      <xdr:rowOff>0</xdr:rowOff>
    </xdr:from>
    <xdr:ext cx="914400" cy="228600"/>
    <xdr:pic>
      <xdr:nvPicPr>
        <xdr:cNvPr id="25" name="Control 7" hidden="1">
          <a:extLst>
            <a:ext uri="{FF2B5EF4-FFF2-40B4-BE49-F238E27FC236}">
              <a16:creationId xmlns:a16="http://schemas.microsoft.com/office/drawing/2014/main" id="{0639C64C-D305-4EC9-A364-675F34ED8092}"/>
            </a:ext>
          </a:extLst>
        </xdr:cNvPr>
        <xdr:cNvPicPr>
          <a:picLocks noChangeAspect="1"/>
        </xdr:cNvPicPr>
      </xdr:nvPicPr>
      <xdr:blipFill>
        <a:blip xmlns:r="http://schemas.openxmlformats.org/officeDocument/2006/relationships" r:embed="rId4"/>
        <a:stretch>
          <a:fillRect/>
        </a:stretch>
      </xdr:blipFill>
      <xdr:spPr>
        <a:xfrm>
          <a:off x="29565600" y="1162050"/>
          <a:ext cx="914400" cy="228600"/>
        </a:xfrm>
        <a:prstGeom prst="rect">
          <a:avLst/>
        </a:prstGeom>
      </xdr:spPr>
    </xdr:pic>
    <xdr:clientData/>
  </xdr:oneCellAnchor>
  <xdr:oneCellAnchor>
    <xdr:from>
      <xdr:col>25</xdr:col>
      <xdr:colOff>0</xdr:colOff>
      <xdr:row>11</xdr:row>
      <xdr:rowOff>0</xdr:rowOff>
    </xdr:from>
    <xdr:ext cx="914400" cy="228600"/>
    <xdr:pic>
      <xdr:nvPicPr>
        <xdr:cNvPr id="26" name="Control 8" hidden="1">
          <a:extLst>
            <a:ext uri="{FF2B5EF4-FFF2-40B4-BE49-F238E27FC236}">
              <a16:creationId xmlns:a16="http://schemas.microsoft.com/office/drawing/2014/main" id="{2E7C37DA-000E-4A2B-B77D-CE1BFE8ACBCC}"/>
            </a:ext>
          </a:extLst>
        </xdr:cNvPr>
        <xdr:cNvPicPr>
          <a:picLocks noChangeAspect="1"/>
        </xdr:cNvPicPr>
      </xdr:nvPicPr>
      <xdr:blipFill>
        <a:blip xmlns:r="http://schemas.openxmlformats.org/officeDocument/2006/relationships" r:embed="rId5"/>
        <a:stretch>
          <a:fillRect/>
        </a:stretch>
      </xdr:blipFill>
      <xdr:spPr>
        <a:xfrm>
          <a:off x="29565600" y="1162050"/>
          <a:ext cx="914400" cy="228600"/>
        </a:xfrm>
        <a:prstGeom prst="rect">
          <a:avLst/>
        </a:prstGeom>
      </xdr:spPr>
    </xdr:pic>
    <xdr:clientData/>
  </xdr:oneCellAnchor>
  <xdr:oneCellAnchor>
    <xdr:from>
      <xdr:col>26</xdr:col>
      <xdr:colOff>0</xdr:colOff>
      <xdr:row>10</xdr:row>
      <xdr:rowOff>0</xdr:rowOff>
    </xdr:from>
    <xdr:ext cx="914400" cy="228600"/>
    <xdr:pic>
      <xdr:nvPicPr>
        <xdr:cNvPr id="27" name="Control 4" hidden="1">
          <a:extLst>
            <a:ext uri="{FF2B5EF4-FFF2-40B4-BE49-F238E27FC236}">
              <a16:creationId xmlns:a16="http://schemas.microsoft.com/office/drawing/2014/main" id="{C34A9030-F6BF-4392-8A8B-E8A541BF0C9F}"/>
            </a:ext>
          </a:extLst>
        </xdr:cNvPr>
        <xdr:cNvPicPr>
          <a:picLocks noChangeAspect="1"/>
        </xdr:cNvPicPr>
      </xdr:nvPicPr>
      <xdr:blipFill>
        <a:blip xmlns:r="http://schemas.openxmlformats.org/officeDocument/2006/relationships" r:embed="rId1"/>
        <a:stretch>
          <a:fillRect/>
        </a:stretch>
      </xdr:blipFill>
      <xdr:spPr>
        <a:xfrm>
          <a:off x="30784800" y="1162050"/>
          <a:ext cx="914400" cy="228600"/>
        </a:xfrm>
        <a:prstGeom prst="rect">
          <a:avLst/>
        </a:prstGeom>
      </xdr:spPr>
    </xdr:pic>
    <xdr:clientData/>
  </xdr:oneCellAnchor>
  <xdr:oneCellAnchor>
    <xdr:from>
      <xdr:col>26</xdr:col>
      <xdr:colOff>0</xdr:colOff>
      <xdr:row>10</xdr:row>
      <xdr:rowOff>0</xdr:rowOff>
    </xdr:from>
    <xdr:ext cx="914400" cy="228600"/>
    <xdr:pic>
      <xdr:nvPicPr>
        <xdr:cNvPr id="28" name="Control 5" hidden="1">
          <a:extLst>
            <a:ext uri="{FF2B5EF4-FFF2-40B4-BE49-F238E27FC236}">
              <a16:creationId xmlns:a16="http://schemas.microsoft.com/office/drawing/2014/main" id="{CB1E2CB8-A627-4FF4-8205-A4A2D19F4B69}"/>
            </a:ext>
          </a:extLst>
        </xdr:cNvPr>
        <xdr:cNvPicPr>
          <a:picLocks noChangeAspect="1"/>
        </xdr:cNvPicPr>
      </xdr:nvPicPr>
      <xdr:blipFill>
        <a:blip xmlns:r="http://schemas.openxmlformats.org/officeDocument/2006/relationships" r:embed="rId2"/>
        <a:stretch>
          <a:fillRect/>
        </a:stretch>
      </xdr:blipFill>
      <xdr:spPr>
        <a:xfrm>
          <a:off x="30784800" y="1162050"/>
          <a:ext cx="914400" cy="228600"/>
        </a:xfrm>
        <a:prstGeom prst="rect">
          <a:avLst/>
        </a:prstGeom>
      </xdr:spPr>
    </xdr:pic>
    <xdr:clientData/>
  </xdr:oneCellAnchor>
  <xdr:oneCellAnchor>
    <xdr:from>
      <xdr:col>26</xdr:col>
      <xdr:colOff>0</xdr:colOff>
      <xdr:row>10</xdr:row>
      <xdr:rowOff>0</xdr:rowOff>
    </xdr:from>
    <xdr:ext cx="914400" cy="228600"/>
    <xdr:pic>
      <xdr:nvPicPr>
        <xdr:cNvPr id="29" name="Control 6" hidden="1">
          <a:extLst>
            <a:ext uri="{FF2B5EF4-FFF2-40B4-BE49-F238E27FC236}">
              <a16:creationId xmlns:a16="http://schemas.microsoft.com/office/drawing/2014/main" id="{D90B73D1-F759-4746-8C53-CFF25BBF382E}"/>
            </a:ext>
          </a:extLst>
        </xdr:cNvPr>
        <xdr:cNvPicPr>
          <a:picLocks noChangeAspect="1"/>
        </xdr:cNvPicPr>
      </xdr:nvPicPr>
      <xdr:blipFill>
        <a:blip xmlns:r="http://schemas.openxmlformats.org/officeDocument/2006/relationships" r:embed="rId3"/>
        <a:stretch>
          <a:fillRect/>
        </a:stretch>
      </xdr:blipFill>
      <xdr:spPr>
        <a:xfrm>
          <a:off x="30784800" y="1162050"/>
          <a:ext cx="914400" cy="228600"/>
        </a:xfrm>
        <a:prstGeom prst="rect">
          <a:avLst/>
        </a:prstGeom>
      </xdr:spPr>
    </xdr:pic>
    <xdr:clientData/>
  </xdr:oneCellAnchor>
  <xdr:oneCellAnchor>
    <xdr:from>
      <xdr:col>26</xdr:col>
      <xdr:colOff>0</xdr:colOff>
      <xdr:row>10</xdr:row>
      <xdr:rowOff>0</xdr:rowOff>
    </xdr:from>
    <xdr:ext cx="914400" cy="228600"/>
    <xdr:pic>
      <xdr:nvPicPr>
        <xdr:cNvPr id="30" name="Control 7" hidden="1">
          <a:extLst>
            <a:ext uri="{FF2B5EF4-FFF2-40B4-BE49-F238E27FC236}">
              <a16:creationId xmlns:a16="http://schemas.microsoft.com/office/drawing/2014/main" id="{23B853EA-6FCD-4CF7-8876-36B8BD6ABC55}"/>
            </a:ext>
          </a:extLst>
        </xdr:cNvPr>
        <xdr:cNvPicPr>
          <a:picLocks noChangeAspect="1"/>
        </xdr:cNvPicPr>
      </xdr:nvPicPr>
      <xdr:blipFill>
        <a:blip xmlns:r="http://schemas.openxmlformats.org/officeDocument/2006/relationships" r:embed="rId4"/>
        <a:stretch>
          <a:fillRect/>
        </a:stretch>
      </xdr:blipFill>
      <xdr:spPr>
        <a:xfrm>
          <a:off x="30784800" y="1162050"/>
          <a:ext cx="914400" cy="228600"/>
        </a:xfrm>
        <a:prstGeom prst="rect">
          <a:avLst/>
        </a:prstGeom>
      </xdr:spPr>
    </xdr:pic>
    <xdr:clientData/>
  </xdr:oneCellAnchor>
  <xdr:oneCellAnchor>
    <xdr:from>
      <xdr:col>26</xdr:col>
      <xdr:colOff>0</xdr:colOff>
      <xdr:row>10</xdr:row>
      <xdr:rowOff>0</xdr:rowOff>
    </xdr:from>
    <xdr:ext cx="914400" cy="228600"/>
    <xdr:pic>
      <xdr:nvPicPr>
        <xdr:cNvPr id="31" name="Control 8" hidden="1">
          <a:extLst>
            <a:ext uri="{FF2B5EF4-FFF2-40B4-BE49-F238E27FC236}">
              <a16:creationId xmlns:a16="http://schemas.microsoft.com/office/drawing/2014/main" id="{C76A4611-F858-4833-B4D1-619D42E74779}"/>
            </a:ext>
          </a:extLst>
        </xdr:cNvPr>
        <xdr:cNvPicPr>
          <a:picLocks noChangeAspect="1"/>
        </xdr:cNvPicPr>
      </xdr:nvPicPr>
      <xdr:blipFill>
        <a:blip xmlns:r="http://schemas.openxmlformats.org/officeDocument/2006/relationships" r:embed="rId5"/>
        <a:stretch>
          <a:fillRect/>
        </a:stretch>
      </xdr:blipFill>
      <xdr:spPr>
        <a:xfrm>
          <a:off x="30784800" y="1162050"/>
          <a:ext cx="914400" cy="228600"/>
        </a:xfrm>
        <a:prstGeom prst="rect">
          <a:avLst/>
        </a:prstGeom>
      </xdr:spPr>
    </xdr:pic>
    <xdr:clientData/>
  </xdr:oneCellAnchor>
  <xdr:oneCellAnchor>
    <xdr:from>
      <xdr:col>27</xdr:col>
      <xdr:colOff>0</xdr:colOff>
      <xdr:row>10</xdr:row>
      <xdr:rowOff>0</xdr:rowOff>
    </xdr:from>
    <xdr:ext cx="914400" cy="228600"/>
    <xdr:pic>
      <xdr:nvPicPr>
        <xdr:cNvPr id="32" name="Control 4" hidden="1">
          <a:extLst>
            <a:ext uri="{FF2B5EF4-FFF2-40B4-BE49-F238E27FC236}">
              <a16:creationId xmlns:a16="http://schemas.microsoft.com/office/drawing/2014/main" id="{F3AA894F-BD99-46CE-8BB0-84172CA0E723}"/>
            </a:ext>
          </a:extLst>
        </xdr:cNvPr>
        <xdr:cNvPicPr>
          <a:picLocks noChangeAspect="1"/>
        </xdr:cNvPicPr>
      </xdr:nvPicPr>
      <xdr:blipFill>
        <a:blip xmlns:r="http://schemas.openxmlformats.org/officeDocument/2006/relationships" r:embed="rId1"/>
        <a:stretch>
          <a:fillRect/>
        </a:stretch>
      </xdr:blipFill>
      <xdr:spPr>
        <a:xfrm>
          <a:off x="33127950" y="1162050"/>
          <a:ext cx="914400" cy="228600"/>
        </a:xfrm>
        <a:prstGeom prst="rect">
          <a:avLst/>
        </a:prstGeom>
      </xdr:spPr>
    </xdr:pic>
    <xdr:clientData/>
  </xdr:oneCellAnchor>
  <xdr:oneCellAnchor>
    <xdr:from>
      <xdr:col>27</xdr:col>
      <xdr:colOff>0</xdr:colOff>
      <xdr:row>10</xdr:row>
      <xdr:rowOff>0</xdr:rowOff>
    </xdr:from>
    <xdr:ext cx="914400" cy="228600"/>
    <xdr:pic>
      <xdr:nvPicPr>
        <xdr:cNvPr id="33" name="Control 5" hidden="1">
          <a:extLst>
            <a:ext uri="{FF2B5EF4-FFF2-40B4-BE49-F238E27FC236}">
              <a16:creationId xmlns:a16="http://schemas.microsoft.com/office/drawing/2014/main" id="{D7E3E6A7-4F0A-48ED-A371-68099C57A526}"/>
            </a:ext>
          </a:extLst>
        </xdr:cNvPr>
        <xdr:cNvPicPr>
          <a:picLocks noChangeAspect="1"/>
        </xdr:cNvPicPr>
      </xdr:nvPicPr>
      <xdr:blipFill>
        <a:blip xmlns:r="http://schemas.openxmlformats.org/officeDocument/2006/relationships" r:embed="rId2"/>
        <a:stretch>
          <a:fillRect/>
        </a:stretch>
      </xdr:blipFill>
      <xdr:spPr>
        <a:xfrm>
          <a:off x="33127950" y="1162050"/>
          <a:ext cx="914400" cy="228600"/>
        </a:xfrm>
        <a:prstGeom prst="rect">
          <a:avLst/>
        </a:prstGeom>
      </xdr:spPr>
    </xdr:pic>
    <xdr:clientData/>
  </xdr:oneCellAnchor>
  <xdr:oneCellAnchor>
    <xdr:from>
      <xdr:col>27</xdr:col>
      <xdr:colOff>0</xdr:colOff>
      <xdr:row>10</xdr:row>
      <xdr:rowOff>0</xdr:rowOff>
    </xdr:from>
    <xdr:ext cx="914400" cy="228600"/>
    <xdr:pic>
      <xdr:nvPicPr>
        <xdr:cNvPr id="34" name="Control 6" hidden="1">
          <a:extLst>
            <a:ext uri="{FF2B5EF4-FFF2-40B4-BE49-F238E27FC236}">
              <a16:creationId xmlns:a16="http://schemas.microsoft.com/office/drawing/2014/main" id="{69FCD666-3AF8-4310-8FD1-C678FCDB4D54}"/>
            </a:ext>
          </a:extLst>
        </xdr:cNvPr>
        <xdr:cNvPicPr>
          <a:picLocks noChangeAspect="1"/>
        </xdr:cNvPicPr>
      </xdr:nvPicPr>
      <xdr:blipFill>
        <a:blip xmlns:r="http://schemas.openxmlformats.org/officeDocument/2006/relationships" r:embed="rId3"/>
        <a:stretch>
          <a:fillRect/>
        </a:stretch>
      </xdr:blipFill>
      <xdr:spPr>
        <a:xfrm>
          <a:off x="33127950" y="1162050"/>
          <a:ext cx="914400" cy="228600"/>
        </a:xfrm>
        <a:prstGeom prst="rect">
          <a:avLst/>
        </a:prstGeom>
      </xdr:spPr>
    </xdr:pic>
    <xdr:clientData/>
  </xdr:oneCellAnchor>
  <xdr:oneCellAnchor>
    <xdr:from>
      <xdr:col>27</xdr:col>
      <xdr:colOff>0</xdr:colOff>
      <xdr:row>10</xdr:row>
      <xdr:rowOff>0</xdr:rowOff>
    </xdr:from>
    <xdr:ext cx="914400" cy="228600"/>
    <xdr:pic>
      <xdr:nvPicPr>
        <xdr:cNvPr id="35" name="Control 7" hidden="1">
          <a:extLst>
            <a:ext uri="{FF2B5EF4-FFF2-40B4-BE49-F238E27FC236}">
              <a16:creationId xmlns:a16="http://schemas.microsoft.com/office/drawing/2014/main" id="{40AF4BB9-4C30-4EB6-BB18-63E299DF59A7}"/>
            </a:ext>
          </a:extLst>
        </xdr:cNvPr>
        <xdr:cNvPicPr>
          <a:picLocks noChangeAspect="1"/>
        </xdr:cNvPicPr>
      </xdr:nvPicPr>
      <xdr:blipFill>
        <a:blip xmlns:r="http://schemas.openxmlformats.org/officeDocument/2006/relationships" r:embed="rId4"/>
        <a:stretch>
          <a:fillRect/>
        </a:stretch>
      </xdr:blipFill>
      <xdr:spPr>
        <a:xfrm>
          <a:off x="33127950" y="1162050"/>
          <a:ext cx="914400" cy="228600"/>
        </a:xfrm>
        <a:prstGeom prst="rect">
          <a:avLst/>
        </a:prstGeom>
      </xdr:spPr>
    </xdr:pic>
    <xdr:clientData/>
  </xdr:oneCellAnchor>
  <xdr:oneCellAnchor>
    <xdr:from>
      <xdr:col>27</xdr:col>
      <xdr:colOff>0</xdr:colOff>
      <xdr:row>10</xdr:row>
      <xdr:rowOff>0</xdr:rowOff>
    </xdr:from>
    <xdr:ext cx="914400" cy="228600"/>
    <xdr:pic>
      <xdr:nvPicPr>
        <xdr:cNvPr id="36" name="Control 8" hidden="1">
          <a:extLst>
            <a:ext uri="{FF2B5EF4-FFF2-40B4-BE49-F238E27FC236}">
              <a16:creationId xmlns:a16="http://schemas.microsoft.com/office/drawing/2014/main" id="{12386381-EDB0-4350-82DF-BBBCAA292FB1}"/>
            </a:ext>
          </a:extLst>
        </xdr:cNvPr>
        <xdr:cNvPicPr>
          <a:picLocks noChangeAspect="1"/>
        </xdr:cNvPicPr>
      </xdr:nvPicPr>
      <xdr:blipFill>
        <a:blip xmlns:r="http://schemas.openxmlformats.org/officeDocument/2006/relationships" r:embed="rId5"/>
        <a:stretch>
          <a:fillRect/>
        </a:stretch>
      </xdr:blipFill>
      <xdr:spPr>
        <a:xfrm>
          <a:off x="33127950" y="1162050"/>
          <a:ext cx="914400" cy="228600"/>
        </a:xfrm>
        <a:prstGeom prst="rect">
          <a:avLst/>
        </a:prstGeom>
      </xdr:spPr>
    </xdr:pic>
    <xdr:clientData/>
  </xdr:oneCellAnchor>
  <xdr:oneCellAnchor>
    <xdr:from>
      <xdr:col>25</xdr:col>
      <xdr:colOff>0</xdr:colOff>
      <xdr:row>12</xdr:row>
      <xdr:rowOff>0</xdr:rowOff>
    </xdr:from>
    <xdr:ext cx="914400" cy="228600"/>
    <xdr:pic>
      <xdr:nvPicPr>
        <xdr:cNvPr id="37" name="Control 4" hidden="1">
          <a:extLst>
            <a:ext uri="{FF2B5EF4-FFF2-40B4-BE49-F238E27FC236}">
              <a16:creationId xmlns:a16="http://schemas.microsoft.com/office/drawing/2014/main" id="{3482CEDF-DE6B-43A2-86A8-3F5242DB879B}"/>
            </a:ext>
            <a:ext uri="{147F2762-F138-4A5C-976F-8EAC2B608ADB}">
              <a16:predDERef xmlns:a16="http://schemas.microsoft.com/office/drawing/2014/main" pred="{12386381-EDB0-4350-82DF-BBBCAA292FB1}"/>
            </a:ext>
          </a:extLst>
        </xdr:cNvPr>
        <xdr:cNvPicPr>
          <a:picLocks noChangeAspect="1"/>
        </xdr:cNvPicPr>
      </xdr:nvPicPr>
      <xdr:blipFill>
        <a:blip xmlns:r="http://schemas.openxmlformats.org/officeDocument/2006/relationships" r:embed="rId1"/>
        <a:stretch>
          <a:fillRect/>
        </a:stretch>
      </xdr:blipFill>
      <xdr:spPr>
        <a:xfrm>
          <a:off x="32956500" y="12858750"/>
          <a:ext cx="914400" cy="228600"/>
        </a:xfrm>
        <a:prstGeom prst="rect">
          <a:avLst/>
        </a:prstGeom>
      </xdr:spPr>
    </xdr:pic>
    <xdr:clientData/>
  </xdr:oneCellAnchor>
  <xdr:oneCellAnchor>
    <xdr:from>
      <xdr:col>25</xdr:col>
      <xdr:colOff>0</xdr:colOff>
      <xdr:row>12</xdr:row>
      <xdr:rowOff>0</xdr:rowOff>
    </xdr:from>
    <xdr:ext cx="914400" cy="228600"/>
    <xdr:pic>
      <xdr:nvPicPr>
        <xdr:cNvPr id="38" name="Control 5" hidden="1">
          <a:extLst>
            <a:ext uri="{FF2B5EF4-FFF2-40B4-BE49-F238E27FC236}">
              <a16:creationId xmlns:a16="http://schemas.microsoft.com/office/drawing/2014/main" id="{A3E2A97E-DD8C-40AB-A521-194E34A8BA68}"/>
            </a:ext>
            <a:ext uri="{147F2762-F138-4A5C-976F-8EAC2B608ADB}">
              <a16:predDERef xmlns:a16="http://schemas.microsoft.com/office/drawing/2014/main" pred="{3482CEDF-DE6B-43A2-86A8-3F5242DB879B}"/>
            </a:ext>
          </a:extLst>
        </xdr:cNvPr>
        <xdr:cNvPicPr>
          <a:picLocks noChangeAspect="1"/>
        </xdr:cNvPicPr>
      </xdr:nvPicPr>
      <xdr:blipFill>
        <a:blip xmlns:r="http://schemas.openxmlformats.org/officeDocument/2006/relationships" r:embed="rId2"/>
        <a:stretch>
          <a:fillRect/>
        </a:stretch>
      </xdr:blipFill>
      <xdr:spPr>
        <a:xfrm>
          <a:off x="32956500" y="12858750"/>
          <a:ext cx="914400" cy="228600"/>
        </a:xfrm>
        <a:prstGeom prst="rect">
          <a:avLst/>
        </a:prstGeom>
      </xdr:spPr>
    </xdr:pic>
    <xdr:clientData/>
  </xdr:oneCellAnchor>
  <xdr:oneCellAnchor>
    <xdr:from>
      <xdr:col>25</xdr:col>
      <xdr:colOff>0</xdr:colOff>
      <xdr:row>12</xdr:row>
      <xdr:rowOff>0</xdr:rowOff>
    </xdr:from>
    <xdr:ext cx="914400" cy="228600"/>
    <xdr:pic>
      <xdr:nvPicPr>
        <xdr:cNvPr id="39" name="Control 6" hidden="1">
          <a:extLst>
            <a:ext uri="{FF2B5EF4-FFF2-40B4-BE49-F238E27FC236}">
              <a16:creationId xmlns:a16="http://schemas.microsoft.com/office/drawing/2014/main" id="{8CEEC201-AAD1-4102-8013-258C62F50954}"/>
            </a:ext>
            <a:ext uri="{147F2762-F138-4A5C-976F-8EAC2B608ADB}">
              <a16:predDERef xmlns:a16="http://schemas.microsoft.com/office/drawing/2014/main" pred="{A3E2A97E-DD8C-40AB-A521-194E34A8BA68}"/>
            </a:ext>
          </a:extLst>
        </xdr:cNvPr>
        <xdr:cNvPicPr>
          <a:picLocks noChangeAspect="1"/>
        </xdr:cNvPicPr>
      </xdr:nvPicPr>
      <xdr:blipFill>
        <a:blip xmlns:r="http://schemas.openxmlformats.org/officeDocument/2006/relationships" r:embed="rId3"/>
        <a:stretch>
          <a:fillRect/>
        </a:stretch>
      </xdr:blipFill>
      <xdr:spPr>
        <a:xfrm>
          <a:off x="32956500" y="12858750"/>
          <a:ext cx="914400" cy="228600"/>
        </a:xfrm>
        <a:prstGeom prst="rect">
          <a:avLst/>
        </a:prstGeom>
      </xdr:spPr>
    </xdr:pic>
    <xdr:clientData/>
  </xdr:oneCellAnchor>
  <xdr:oneCellAnchor>
    <xdr:from>
      <xdr:col>25</xdr:col>
      <xdr:colOff>0</xdr:colOff>
      <xdr:row>12</xdr:row>
      <xdr:rowOff>0</xdr:rowOff>
    </xdr:from>
    <xdr:ext cx="914400" cy="228600"/>
    <xdr:pic>
      <xdr:nvPicPr>
        <xdr:cNvPr id="40" name="Control 7" hidden="1">
          <a:extLst>
            <a:ext uri="{FF2B5EF4-FFF2-40B4-BE49-F238E27FC236}">
              <a16:creationId xmlns:a16="http://schemas.microsoft.com/office/drawing/2014/main" id="{FD4086C8-AF41-4E1A-AF5E-8D63EC6CE902}"/>
            </a:ext>
            <a:ext uri="{147F2762-F138-4A5C-976F-8EAC2B608ADB}">
              <a16:predDERef xmlns:a16="http://schemas.microsoft.com/office/drawing/2014/main" pred="{8CEEC201-AAD1-4102-8013-258C62F50954}"/>
            </a:ext>
          </a:extLst>
        </xdr:cNvPr>
        <xdr:cNvPicPr>
          <a:picLocks noChangeAspect="1"/>
        </xdr:cNvPicPr>
      </xdr:nvPicPr>
      <xdr:blipFill>
        <a:blip xmlns:r="http://schemas.openxmlformats.org/officeDocument/2006/relationships" r:embed="rId4"/>
        <a:stretch>
          <a:fillRect/>
        </a:stretch>
      </xdr:blipFill>
      <xdr:spPr>
        <a:xfrm>
          <a:off x="32956500" y="12858750"/>
          <a:ext cx="914400" cy="228600"/>
        </a:xfrm>
        <a:prstGeom prst="rect">
          <a:avLst/>
        </a:prstGeom>
      </xdr:spPr>
    </xdr:pic>
    <xdr:clientData/>
  </xdr:oneCellAnchor>
  <xdr:oneCellAnchor>
    <xdr:from>
      <xdr:col>25</xdr:col>
      <xdr:colOff>0</xdr:colOff>
      <xdr:row>12</xdr:row>
      <xdr:rowOff>0</xdr:rowOff>
    </xdr:from>
    <xdr:ext cx="914400" cy="228600"/>
    <xdr:pic>
      <xdr:nvPicPr>
        <xdr:cNvPr id="41" name="Control 8" hidden="1">
          <a:extLst>
            <a:ext uri="{FF2B5EF4-FFF2-40B4-BE49-F238E27FC236}">
              <a16:creationId xmlns:a16="http://schemas.microsoft.com/office/drawing/2014/main" id="{B12CDAA1-2563-410F-BE18-1FF11C246B75}"/>
            </a:ext>
            <a:ext uri="{147F2762-F138-4A5C-976F-8EAC2B608ADB}">
              <a16:predDERef xmlns:a16="http://schemas.microsoft.com/office/drawing/2014/main" pred="{FD4086C8-AF41-4E1A-AF5E-8D63EC6CE902}"/>
            </a:ext>
          </a:extLst>
        </xdr:cNvPr>
        <xdr:cNvPicPr>
          <a:picLocks noChangeAspect="1"/>
        </xdr:cNvPicPr>
      </xdr:nvPicPr>
      <xdr:blipFill>
        <a:blip xmlns:r="http://schemas.openxmlformats.org/officeDocument/2006/relationships" r:embed="rId5"/>
        <a:stretch>
          <a:fillRect/>
        </a:stretch>
      </xdr:blipFill>
      <xdr:spPr>
        <a:xfrm>
          <a:off x="32956500" y="12858750"/>
          <a:ext cx="914400" cy="228600"/>
        </a:xfrm>
        <a:prstGeom prst="rect">
          <a:avLst/>
        </a:prstGeom>
      </xdr:spPr>
    </xdr:pic>
    <xdr:clientData/>
  </xdr:oneCellAnchor>
  <xdr:oneCellAnchor>
    <xdr:from>
      <xdr:col>25</xdr:col>
      <xdr:colOff>0</xdr:colOff>
      <xdr:row>13</xdr:row>
      <xdr:rowOff>0</xdr:rowOff>
    </xdr:from>
    <xdr:ext cx="914400" cy="228600"/>
    <xdr:pic>
      <xdr:nvPicPr>
        <xdr:cNvPr id="42" name="Control 4" hidden="1">
          <a:extLst>
            <a:ext uri="{FF2B5EF4-FFF2-40B4-BE49-F238E27FC236}">
              <a16:creationId xmlns:a16="http://schemas.microsoft.com/office/drawing/2014/main" id="{F0DEEFE9-B5A3-4D59-A783-13E441F31959}"/>
            </a:ext>
            <a:ext uri="{147F2762-F138-4A5C-976F-8EAC2B608ADB}">
              <a16:predDERef xmlns:a16="http://schemas.microsoft.com/office/drawing/2014/main" pred="{B12CDAA1-2563-410F-BE18-1FF11C246B75}"/>
            </a:ext>
          </a:extLst>
        </xdr:cNvPr>
        <xdr:cNvPicPr>
          <a:picLocks noChangeAspect="1"/>
        </xdr:cNvPicPr>
      </xdr:nvPicPr>
      <xdr:blipFill>
        <a:blip xmlns:r="http://schemas.openxmlformats.org/officeDocument/2006/relationships" r:embed="rId1"/>
        <a:stretch>
          <a:fillRect/>
        </a:stretch>
      </xdr:blipFill>
      <xdr:spPr>
        <a:xfrm>
          <a:off x="32956500" y="16363950"/>
          <a:ext cx="914400" cy="228600"/>
        </a:xfrm>
        <a:prstGeom prst="rect">
          <a:avLst/>
        </a:prstGeom>
      </xdr:spPr>
    </xdr:pic>
    <xdr:clientData/>
  </xdr:oneCellAnchor>
  <xdr:oneCellAnchor>
    <xdr:from>
      <xdr:col>25</xdr:col>
      <xdr:colOff>0</xdr:colOff>
      <xdr:row>13</xdr:row>
      <xdr:rowOff>0</xdr:rowOff>
    </xdr:from>
    <xdr:ext cx="914400" cy="228600"/>
    <xdr:pic>
      <xdr:nvPicPr>
        <xdr:cNvPr id="43" name="Control 5" hidden="1">
          <a:extLst>
            <a:ext uri="{FF2B5EF4-FFF2-40B4-BE49-F238E27FC236}">
              <a16:creationId xmlns:a16="http://schemas.microsoft.com/office/drawing/2014/main" id="{C36DCAB2-E46F-41B9-909C-3D89F8A27A6B}"/>
            </a:ext>
            <a:ext uri="{147F2762-F138-4A5C-976F-8EAC2B608ADB}">
              <a16:predDERef xmlns:a16="http://schemas.microsoft.com/office/drawing/2014/main" pred="{F0DEEFE9-B5A3-4D59-A783-13E441F31959}"/>
            </a:ext>
          </a:extLst>
        </xdr:cNvPr>
        <xdr:cNvPicPr>
          <a:picLocks noChangeAspect="1"/>
        </xdr:cNvPicPr>
      </xdr:nvPicPr>
      <xdr:blipFill>
        <a:blip xmlns:r="http://schemas.openxmlformats.org/officeDocument/2006/relationships" r:embed="rId2"/>
        <a:stretch>
          <a:fillRect/>
        </a:stretch>
      </xdr:blipFill>
      <xdr:spPr>
        <a:xfrm>
          <a:off x="32956500" y="16363950"/>
          <a:ext cx="914400" cy="228600"/>
        </a:xfrm>
        <a:prstGeom prst="rect">
          <a:avLst/>
        </a:prstGeom>
      </xdr:spPr>
    </xdr:pic>
    <xdr:clientData/>
  </xdr:oneCellAnchor>
  <xdr:oneCellAnchor>
    <xdr:from>
      <xdr:col>25</xdr:col>
      <xdr:colOff>0</xdr:colOff>
      <xdr:row>13</xdr:row>
      <xdr:rowOff>0</xdr:rowOff>
    </xdr:from>
    <xdr:ext cx="914400" cy="228600"/>
    <xdr:pic>
      <xdr:nvPicPr>
        <xdr:cNvPr id="44" name="Control 6" hidden="1">
          <a:extLst>
            <a:ext uri="{FF2B5EF4-FFF2-40B4-BE49-F238E27FC236}">
              <a16:creationId xmlns:a16="http://schemas.microsoft.com/office/drawing/2014/main" id="{2CF23BB3-EA63-4979-8511-AA583EC4F857}"/>
            </a:ext>
            <a:ext uri="{147F2762-F138-4A5C-976F-8EAC2B608ADB}">
              <a16:predDERef xmlns:a16="http://schemas.microsoft.com/office/drawing/2014/main" pred="{C36DCAB2-E46F-41B9-909C-3D89F8A27A6B}"/>
            </a:ext>
          </a:extLst>
        </xdr:cNvPr>
        <xdr:cNvPicPr>
          <a:picLocks noChangeAspect="1"/>
        </xdr:cNvPicPr>
      </xdr:nvPicPr>
      <xdr:blipFill>
        <a:blip xmlns:r="http://schemas.openxmlformats.org/officeDocument/2006/relationships" r:embed="rId3"/>
        <a:stretch>
          <a:fillRect/>
        </a:stretch>
      </xdr:blipFill>
      <xdr:spPr>
        <a:xfrm>
          <a:off x="32956500" y="16363950"/>
          <a:ext cx="914400" cy="228600"/>
        </a:xfrm>
        <a:prstGeom prst="rect">
          <a:avLst/>
        </a:prstGeom>
      </xdr:spPr>
    </xdr:pic>
    <xdr:clientData/>
  </xdr:oneCellAnchor>
  <xdr:oneCellAnchor>
    <xdr:from>
      <xdr:col>25</xdr:col>
      <xdr:colOff>0</xdr:colOff>
      <xdr:row>13</xdr:row>
      <xdr:rowOff>0</xdr:rowOff>
    </xdr:from>
    <xdr:ext cx="914400" cy="228600"/>
    <xdr:pic>
      <xdr:nvPicPr>
        <xdr:cNvPr id="45" name="Control 7" hidden="1">
          <a:extLst>
            <a:ext uri="{FF2B5EF4-FFF2-40B4-BE49-F238E27FC236}">
              <a16:creationId xmlns:a16="http://schemas.microsoft.com/office/drawing/2014/main" id="{EB800C95-DF02-41B1-9ACB-40549CDD9405}"/>
            </a:ext>
            <a:ext uri="{147F2762-F138-4A5C-976F-8EAC2B608ADB}">
              <a16:predDERef xmlns:a16="http://schemas.microsoft.com/office/drawing/2014/main" pred="{2CF23BB3-EA63-4979-8511-AA583EC4F857}"/>
            </a:ext>
          </a:extLst>
        </xdr:cNvPr>
        <xdr:cNvPicPr>
          <a:picLocks noChangeAspect="1"/>
        </xdr:cNvPicPr>
      </xdr:nvPicPr>
      <xdr:blipFill>
        <a:blip xmlns:r="http://schemas.openxmlformats.org/officeDocument/2006/relationships" r:embed="rId4"/>
        <a:stretch>
          <a:fillRect/>
        </a:stretch>
      </xdr:blipFill>
      <xdr:spPr>
        <a:xfrm>
          <a:off x="32956500" y="16363950"/>
          <a:ext cx="914400" cy="228600"/>
        </a:xfrm>
        <a:prstGeom prst="rect">
          <a:avLst/>
        </a:prstGeom>
      </xdr:spPr>
    </xdr:pic>
    <xdr:clientData/>
  </xdr:oneCellAnchor>
  <xdr:oneCellAnchor>
    <xdr:from>
      <xdr:col>25</xdr:col>
      <xdr:colOff>0</xdr:colOff>
      <xdr:row>13</xdr:row>
      <xdr:rowOff>0</xdr:rowOff>
    </xdr:from>
    <xdr:ext cx="914400" cy="228600"/>
    <xdr:pic>
      <xdr:nvPicPr>
        <xdr:cNvPr id="46" name="Control 8" hidden="1">
          <a:extLst>
            <a:ext uri="{FF2B5EF4-FFF2-40B4-BE49-F238E27FC236}">
              <a16:creationId xmlns:a16="http://schemas.microsoft.com/office/drawing/2014/main" id="{BF38B7F4-FE7A-4AA7-83FC-B47198CBB098}"/>
            </a:ext>
            <a:ext uri="{147F2762-F138-4A5C-976F-8EAC2B608ADB}">
              <a16:predDERef xmlns:a16="http://schemas.microsoft.com/office/drawing/2014/main" pred="{EB800C95-DF02-41B1-9ACB-40549CDD9405}"/>
            </a:ext>
          </a:extLst>
        </xdr:cNvPr>
        <xdr:cNvPicPr>
          <a:picLocks noChangeAspect="1"/>
        </xdr:cNvPicPr>
      </xdr:nvPicPr>
      <xdr:blipFill>
        <a:blip xmlns:r="http://schemas.openxmlformats.org/officeDocument/2006/relationships" r:embed="rId5"/>
        <a:stretch>
          <a:fillRect/>
        </a:stretch>
      </xdr:blipFill>
      <xdr:spPr>
        <a:xfrm>
          <a:off x="32956500" y="16363950"/>
          <a:ext cx="914400" cy="228600"/>
        </a:xfrm>
        <a:prstGeom prst="rect">
          <a:avLst/>
        </a:prstGeom>
      </xdr:spPr>
    </xdr:pic>
    <xdr:clientData/>
  </xdr:oneCellAnchor>
  <xdr:oneCellAnchor>
    <xdr:from>
      <xdr:col>25</xdr:col>
      <xdr:colOff>0</xdr:colOff>
      <xdr:row>14</xdr:row>
      <xdr:rowOff>0</xdr:rowOff>
    </xdr:from>
    <xdr:ext cx="914400" cy="228600"/>
    <xdr:pic>
      <xdr:nvPicPr>
        <xdr:cNvPr id="47" name="Control 4" hidden="1">
          <a:extLst>
            <a:ext uri="{FF2B5EF4-FFF2-40B4-BE49-F238E27FC236}">
              <a16:creationId xmlns:a16="http://schemas.microsoft.com/office/drawing/2014/main" id="{D53DD201-C9D3-4DD0-A302-2B03BBBE068F}"/>
            </a:ext>
            <a:ext uri="{147F2762-F138-4A5C-976F-8EAC2B608ADB}">
              <a16:predDERef xmlns:a16="http://schemas.microsoft.com/office/drawing/2014/main" pred="{BF38B7F4-FE7A-4AA7-83FC-B47198CBB098}"/>
            </a:ext>
          </a:extLst>
        </xdr:cNvPr>
        <xdr:cNvPicPr>
          <a:picLocks noChangeAspect="1"/>
        </xdr:cNvPicPr>
      </xdr:nvPicPr>
      <xdr:blipFill>
        <a:blip xmlns:r="http://schemas.openxmlformats.org/officeDocument/2006/relationships" r:embed="rId1"/>
        <a:stretch>
          <a:fillRect/>
        </a:stretch>
      </xdr:blipFill>
      <xdr:spPr>
        <a:xfrm>
          <a:off x="32956500" y="16363950"/>
          <a:ext cx="914400" cy="228600"/>
        </a:xfrm>
        <a:prstGeom prst="rect">
          <a:avLst/>
        </a:prstGeom>
      </xdr:spPr>
    </xdr:pic>
    <xdr:clientData/>
  </xdr:oneCellAnchor>
  <xdr:oneCellAnchor>
    <xdr:from>
      <xdr:col>25</xdr:col>
      <xdr:colOff>0</xdr:colOff>
      <xdr:row>14</xdr:row>
      <xdr:rowOff>0</xdr:rowOff>
    </xdr:from>
    <xdr:ext cx="914400" cy="228600"/>
    <xdr:pic>
      <xdr:nvPicPr>
        <xdr:cNvPr id="48" name="Control 5" hidden="1">
          <a:extLst>
            <a:ext uri="{FF2B5EF4-FFF2-40B4-BE49-F238E27FC236}">
              <a16:creationId xmlns:a16="http://schemas.microsoft.com/office/drawing/2014/main" id="{2011FA30-F808-4107-BA34-8BAE5D5624EA}"/>
            </a:ext>
            <a:ext uri="{147F2762-F138-4A5C-976F-8EAC2B608ADB}">
              <a16:predDERef xmlns:a16="http://schemas.microsoft.com/office/drawing/2014/main" pred="{D53DD201-C9D3-4DD0-A302-2B03BBBE068F}"/>
            </a:ext>
          </a:extLst>
        </xdr:cNvPr>
        <xdr:cNvPicPr>
          <a:picLocks noChangeAspect="1"/>
        </xdr:cNvPicPr>
      </xdr:nvPicPr>
      <xdr:blipFill>
        <a:blip xmlns:r="http://schemas.openxmlformats.org/officeDocument/2006/relationships" r:embed="rId2"/>
        <a:stretch>
          <a:fillRect/>
        </a:stretch>
      </xdr:blipFill>
      <xdr:spPr>
        <a:xfrm>
          <a:off x="32956500" y="16363950"/>
          <a:ext cx="914400" cy="228600"/>
        </a:xfrm>
        <a:prstGeom prst="rect">
          <a:avLst/>
        </a:prstGeom>
      </xdr:spPr>
    </xdr:pic>
    <xdr:clientData/>
  </xdr:oneCellAnchor>
  <xdr:oneCellAnchor>
    <xdr:from>
      <xdr:col>25</xdr:col>
      <xdr:colOff>0</xdr:colOff>
      <xdr:row>14</xdr:row>
      <xdr:rowOff>0</xdr:rowOff>
    </xdr:from>
    <xdr:ext cx="914400" cy="228600"/>
    <xdr:pic>
      <xdr:nvPicPr>
        <xdr:cNvPr id="49" name="Control 6" hidden="1">
          <a:extLst>
            <a:ext uri="{FF2B5EF4-FFF2-40B4-BE49-F238E27FC236}">
              <a16:creationId xmlns:a16="http://schemas.microsoft.com/office/drawing/2014/main" id="{C04C1427-79D8-4354-B12A-4060D5E5810F}"/>
            </a:ext>
            <a:ext uri="{147F2762-F138-4A5C-976F-8EAC2B608ADB}">
              <a16:predDERef xmlns:a16="http://schemas.microsoft.com/office/drawing/2014/main" pred="{2011FA30-F808-4107-BA34-8BAE5D5624EA}"/>
            </a:ext>
          </a:extLst>
        </xdr:cNvPr>
        <xdr:cNvPicPr>
          <a:picLocks noChangeAspect="1"/>
        </xdr:cNvPicPr>
      </xdr:nvPicPr>
      <xdr:blipFill>
        <a:blip xmlns:r="http://schemas.openxmlformats.org/officeDocument/2006/relationships" r:embed="rId3"/>
        <a:stretch>
          <a:fillRect/>
        </a:stretch>
      </xdr:blipFill>
      <xdr:spPr>
        <a:xfrm>
          <a:off x="32956500" y="16363950"/>
          <a:ext cx="914400" cy="228600"/>
        </a:xfrm>
        <a:prstGeom prst="rect">
          <a:avLst/>
        </a:prstGeom>
      </xdr:spPr>
    </xdr:pic>
    <xdr:clientData/>
  </xdr:oneCellAnchor>
  <xdr:oneCellAnchor>
    <xdr:from>
      <xdr:col>25</xdr:col>
      <xdr:colOff>0</xdr:colOff>
      <xdr:row>14</xdr:row>
      <xdr:rowOff>0</xdr:rowOff>
    </xdr:from>
    <xdr:ext cx="914400" cy="228600"/>
    <xdr:pic>
      <xdr:nvPicPr>
        <xdr:cNvPr id="50" name="Control 7" hidden="1">
          <a:extLst>
            <a:ext uri="{FF2B5EF4-FFF2-40B4-BE49-F238E27FC236}">
              <a16:creationId xmlns:a16="http://schemas.microsoft.com/office/drawing/2014/main" id="{291759CE-4F4B-43EB-9464-21E50CB2CD1E}"/>
            </a:ext>
            <a:ext uri="{147F2762-F138-4A5C-976F-8EAC2B608ADB}">
              <a16:predDERef xmlns:a16="http://schemas.microsoft.com/office/drawing/2014/main" pred="{C04C1427-79D8-4354-B12A-4060D5E5810F}"/>
            </a:ext>
          </a:extLst>
        </xdr:cNvPr>
        <xdr:cNvPicPr>
          <a:picLocks noChangeAspect="1"/>
        </xdr:cNvPicPr>
      </xdr:nvPicPr>
      <xdr:blipFill>
        <a:blip xmlns:r="http://schemas.openxmlformats.org/officeDocument/2006/relationships" r:embed="rId4"/>
        <a:stretch>
          <a:fillRect/>
        </a:stretch>
      </xdr:blipFill>
      <xdr:spPr>
        <a:xfrm>
          <a:off x="32956500" y="16363950"/>
          <a:ext cx="914400" cy="228600"/>
        </a:xfrm>
        <a:prstGeom prst="rect">
          <a:avLst/>
        </a:prstGeom>
      </xdr:spPr>
    </xdr:pic>
    <xdr:clientData/>
  </xdr:oneCellAnchor>
  <xdr:oneCellAnchor>
    <xdr:from>
      <xdr:col>25</xdr:col>
      <xdr:colOff>0</xdr:colOff>
      <xdr:row>14</xdr:row>
      <xdr:rowOff>0</xdr:rowOff>
    </xdr:from>
    <xdr:ext cx="914400" cy="228600"/>
    <xdr:pic>
      <xdr:nvPicPr>
        <xdr:cNvPr id="51" name="Control 8" hidden="1">
          <a:extLst>
            <a:ext uri="{FF2B5EF4-FFF2-40B4-BE49-F238E27FC236}">
              <a16:creationId xmlns:a16="http://schemas.microsoft.com/office/drawing/2014/main" id="{68E0DEEB-44D3-4C5B-948E-518B6362140C}"/>
            </a:ext>
            <a:ext uri="{147F2762-F138-4A5C-976F-8EAC2B608ADB}">
              <a16:predDERef xmlns:a16="http://schemas.microsoft.com/office/drawing/2014/main" pred="{291759CE-4F4B-43EB-9464-21E50CB2CD1E}"/>
            </a:ext>
          </a:extLst>
        </xdr:cNvPr>
        <xdr:cNvPicPr>
          <a:picLocks noChangeAspect="1"/>
        </xdr:cNvPicPr>
      </xdr:nvPicPr>
      <xdr:blipFill>
        <a:blip xmlns:r="http://schemas.openxmlformats.org/officeDocument/2006/relationships" r:embed="rId5"/>
        <a:stretch>
          <a:fillRect/>
        </a:stretch>
      </xdr:blipFill>
      <xdr:spPr>
        <a:xfrm>
          <a:off x="32956500" y="16363950"/>
          <a:ext cx="914400" cy="228600"/>
        </a:xfrm>
        <a:prstGeom prst="rect">
          <a:avLst/>
        </a:prstGeom>
      </xdr:spPr>
    </xdr:pic>
    <xdr:clientData/>
  </xdr:oneCellAnchor>
  <xdr:oneCellAnchor>
    <xdr:from>
      <xdr:col>25</xdr:col>
      <xdr:colOff>0</xdr:colOff>
      <xdr:row>15</xdr:row>
      <xdr:rowOff>0</xdr:rowOff>
    </xdr:from>
    <xdr:ext cx="914400" cy="228600"/>
    <xdr:pic>
      <xdr:nvPicPr>
        <xdr:cNvPr id="52" name="Control 4" hidden="1">
          <a:extLst>
            <a:ext uri="{FF2B5EF4-FFF2-40B4-BE49-F238E27FC236}">
              <a16:creationId xmlns:a16="http://schemas.microsoft.com/office/drawing/2014/main" id="{10353F1A-2B42-40A6-B957-2D03F003BA32}"/>
            </a:ext>
            <a:ext uri="{147F2762-F138-4A5C-976F-8EAC2B608ADB}">
              <a16:predDERef xmlns:a16="http://schemas.microsoft.com/office/drawing/2014/main" pred="{68E0DEEB-44D3-4C5B-948E-518B6362140C}"/>
            </a:ext>
          </a:extLst>
        </xdr:cNvPr>
        <xdr:cNvPicPr>
          <a:picLocks noChangeAspect="1"/>
        </xdr:cNvPicPr>
      </xdr:nvPicPr>
      <xdr:blipFill>
        <a:blip xmlns:r="http://schemas.openxmlformats.org/officeDocument/2006/relationships" r:embed="rId1"/>
        <a:stretch>
          <a:fillRect/>
        </a:stretch>
      </xdr:blipFill>
      <xdr:spPr>
        <a:xfrm>
          <a:off x="32956500" y="19850100"/>
          <a:ext cx="914400" cy="228600"/>
        </a:xfrm>
        <a:prstGeom prst="rect">
          <a:avLst/>
        </a:prstGeom>
      </xdr:spPr>
    </xdr:pic>
    <xdr:clientData/>
  </xdr:oneCellAnchor>
  <xdr:oneCellAnchor>
    <xdr:from>
      <xdr:col>25</xdr:col>
      <xdr:colOff>0</xdr:colOff>
      <xdr:row>15</xdr:row>
      <xdr:rowOff>0</xdr:rowOff>
    </xdr:from>
    <xdr:ext cx="914400" cy="228600"/>
    <xdr:pic>
      <xdr:nvPicPr>
        <xdr:cNvPr id="53" name="Control 5" hidden="1">
          <a:extLst>
            <a:ext uri="{FF2B5EF4-FFF2-40B4-BE49-F238E27FC236}">
              <a16:creationId xmlns:a16="http://schemas.microsoft.com/office/drawing/2014/main" id="{AA38B05D-E98E-422A-BB65-4C07B3E38573}"/>
            </a:ext>
            <a:ext uri="{147F2762-F138-4A5C-976F-8EAC2B608ADB}">
              <a16:predDERef xmlns:a16="http://schemas.microsoft.com/office/drawing/2014/main" pred="{10353F1A-2B42-40A6-B957-2D03F003BA32}"/>
            </a:ext>
          </a:extLst>
        </xdr:cNvPr>
        <xdr:cNvPicPr>
          <a:picLocks noChangeAspect="1"/>
        </xdr:cNvPicPr>
      </xdr:nvPicPr>
      <xdr:blipFill>
        <a:blip xmlns:r="http://schemas.openxmlformats.org/officeDocument/2006/relationships" r:embed="rId2"/>
        <a:stretch>
          <a:fillRect/>
        </a:stretch>
      </xdr:blipFill>
      <xdr:spPr>
        <a:xfrm>
          <a:off x="32956500" y="19850100"/>
          <a:ext cx="914400" cy="228600"/>
        </a:xfrm>
        <a:prstGeom prst="rect">
          <a:avLst/>
        </a:prstGeom>
      </xdr:spPr>
    </xdr:pic>
    <xdr:clientData/>
  </xdr:oneCellAnchor>
  <xdr:oneCellAnchor>
    <xdr:from>
      <xdr:col>25</xdr:col>
      <xdr:colOff>0</xdr:colOff>
      <xdr:row>15</xdr:row>
      <xdr:rowOff>0</xdr:rowOff>
    </xdr:from>
    <xdr:ext cx="914400" cy="228600"/>
    <xdr:pic>
      <xdr:nvPicPr>
        <xdr:cNvPr id="54" name="Control 6" hidden="1">
          <a:extLst>
            <a:ext uri="{FF2B5EF4-FFF2-40B4-BE49-F238E27FC236}">
              <a16:creationId xmlns:a16="http://schemas.microsoft.com/office/drawing/2014/main" id="{A3C009A7-E61F-49CC-854B-AAB73B66BB7D}"/>
            </a:ext>
            <a:ext uri="{147F2762-F138-4A5C-976F-8EAC2B608ADB}">
              <a16:predDERef xmlns:a16="http://schemas.microsoft.com/office/drawing/2014/main" pred="{AA38B05D-E98E-422A-BB65-4C07B3E38573}"/>
            </a:ext>
          </a:extLst>
        </xdr:cNvPr>
        <xdr:cNvPicPr>
          <a:picLocks noChangeAspect="1"/>
        </xdr:cNvPicPr>
      </xdr:nvPicPr>
      <xdr:blipFill>
        <a:blip xmlns:r="http://schemas.openxmlformats.org/officeDocument/2006/relationships" r:embed="rId3"/>
        <a:stretch>
          <a:fillRect/>
        </a:stretch>
      </xdr:blipFill>
      <xdr:spPr>
        <a:xfrm>
          <a:off x="32956500" y="19850100"/>
          <a:ext cx="914400" cy="228600"/>
        </a:xfrm>
        <a:prstGeom prst="rect">
          <a:avLst/>
        </a:prstGeom>
      </xdr:spPr>
    </xdr:pic>
    <xdr:clientData/>
  </xdr:oneCellAnchor>
  <xdr:oneCellAnchor>
    <xdr:from>
      <xdr:col>25</xdr:col>
      <xdr:colOff>0</xdr:colOff>
      <xdr:row>15</xdr:row>
      <xdr:rowOff>0</xdr:rowOff>
    </xdr:from>
    <xdr:ext cx="914400" cy="228600"/>
    <xdr:pic>
      <xdr:nvPicPr>
        <xdr:cNvPr id="55" name="Control 7" hidden="1">
          <a:extLst>
            <a:ext uri="{FF2B5EF4-FFF2-40B4-BE49-F238E27FC236}">
              <a16:creationId xmlns:a16="http://schemas.microsoft.com/office/drawing/2014/main" id="{C4059E65-73DC-4293-846D-BED82D224EDD}"/>
            </a:ext>
            <a:ext uri="{147F2762-F138-4A5C-976F-8EAC2B608ADB}">
              <a16:predDERef xmlns:a16="http://schemas.microsoft.com/office/drawing/2014/main" pred="{A3C009A7-E61F-49CC-854B-AAB73B66BB7D}"/>
            </a:ext>
          </a:extLst>
        </xdr:cNvPr>
        <xdr:cNvPicPr>
          <a:picLocks noChangeAspect="1"/>
        </xdr:cNvPicPr>
      </xdr:nvPicPr>
      <xdr:blipFill>
        <a:blip xmlns:r="http://schemas.openxmlformats.org/officeDocument/2006/relationships" r:embed="rId4"/>
        <a:stretch>
          <a:fillRect/>
        </a:stretch>
      </xdr:blipFill>
      <xdr:spPr>
        <a:xfrm>
          <a:off x="32956500" y="19850100"/>
          <a:ext cx="914400" cy="228600"/>
        </a:xfrm>
        <a:prstGeom prst="rect">
          <a:avLst/>
        </a:prstGeom>
      </xdr:spPr>
    </xdr:pic>
    <xdr:clientData/>
  </xdr:oneCellAnchor>
  <xdr:oneCellAnchor>
    <xdr:from>
      <xdr:col>25</xdr:col>
      <xdr:colOff>0</xdr:colOff>
      <xdr:row>15</xdr:row>
      <xdr:rowOff>0</xdr:rowOff>
    </xdr:from>
    <xdr:ext cx="914400" cy="228600"/>
    <xdr:pic>
      <xdr:nvPicPr>
        <xdr:cNvPr id="56" name="Control 8" hidden="1">
          <a:extLst>
            <a:ext uri="{FF2B5EF4-FFF2-40B4-BE49-F238E27FC236}">
              <a16:creationId xmlns:a16="http://schemas.microsoft.com/office/drawing/2014/main" id="{60B949F5-EFEA-4DCF-8077-9058F524EE2F}"/>
            </a:ext>
            <a:ext uri="{147F2762-F138-4A5C-976F-8EAC2B608ADB}">
              <a16:predDERef xmlns:a16="http://schemas.microsoft.com/office/drawing/2014/main" pred="{C4059E65-73DC-4293-846D-BED82D224EDD}"/>
            </a:ext>
          </a:extLst>
        </xdr:cNvPr>
        <xdr:cNvPicPr>
          <a:picLocks noChangeAspect="1"/>
        </xdr:cNvPicPr>
      </xdr:nvPicPr>
      <xdr:blipFill>
        <a:blip xmlns:r="http://schemas.openxmlformats.org/officeDocument/2006/relationships" r:embed="rId5"/>
        <a:stretch>
          <a:fillRect/>
        </a:stretch>
      </xdr:blipFill>
      <xdr:spPr>
        <a:xfrm>
          <a:off x="32956500" y="19850100"/>
          <a:ext cx="914400" cy="228600"/>
        </a:xfrm>
        <a:prstGeom prst="rect">
          <a:avLst/>
        </a:prstGeom>
      </xdr:spPr>
    </xdr:pic>
    <xdr:clientData/>
  </xdr:oneCellAnchor>
  <xdr:oneCellAnchor>
    <xdr:from>
      <xdr:col>25</xdr:col>
      <xdr:colOff>0</xdr:colOff>
      <xdr:row>16</xdr:row>
      <xdr:rowOff>0</xdr:rowOff>
    </xdr:from>
    <xdr:ext cx="914400" cy="228600"/>
    <xdr:pic>
      <xdr:nvPicPr>
        <xdr:cNvPr id="57" name="Control 4" hidden="1">
          <a:extLst>
            <a:ext uri="{FF2B5EF4-FFF2-40B4-BE49-F238E27FC236}">
              <a16:creationId xmlns:a16="http://schemas.microsoft.com/office/drawing/2014/main" id="{D8CBE71A-722B-4218-9989-E1FF958E4C5D}"/>
            </a:ext>
            <a:ext uri="{147F2762-F138-4A5C-976F-8EAC2B608ADB}">
              <a16:predDERef xmlns:a16="http://schemas.microsoft.com/office/drawing/2014/main" pred="{60B949F5-EFEA-4DCF-8077-9058F524EE2F}"/>
            </a:ext>
          </a:extLst>
        </xdr:cNvPr>
        <xdr:cNvPicPr>
          <a:picLocks noChangeAspect="1"/>
        </xdr:cNvPicPr>
      </xdr:nvPicPr>
      <xdr:blipFill>
        <a:blip xmlns:r="http://schemas.openxmlformats.org/officeDocument/2006/relationships" r:embed="rId1"/>
        <a:stretch>
          <a:fillRect/>
        </a:stretch>
      </xdr:blipFill>
      <xdr:spPr>
        <a:xfrm>
          <a:off x="32956500" y="19850100"/>
          <a:ext cx="914400" cy="228600"/>
        </a:xfrm>
        <a:prstGeom prst="rect">
          <a:avLst/>
        </a:prstGeom>
      </xdr:spPr>
    </xdr:pic>
    <xdr:clientData/>
  </xdr:oneCellAnchor>
  <xdr:oneCellAnchor>
    <xdr:from>
      <xdr:col>25</xdr:col>
      <xdr:colOff>0</xdr:colOff>
      <xdr:row>16</xdr:row>
      <xdr:rowOff>0</xdr:rowOff>
    </xdr:from>
    <xdr:ext cx="914400" cy="228600"/>
    <xdr:pic>
      <xdr:nvPicPr>
        <xdr:cNvPr id="58" name="Control 5" hidden="1">
          <a:extLst>
            <a:ext uri="{FF2B5EF4-FFF2-40B4-BE49-F238E27FC236}">
              <a16:creationId xmlns:a16="http://schemas.microsoft.com/office/drawing/2014/main" id="{08260206-8E7D-4763-9B9F-E6A957059935}"/>
            </a:ext>
            <a:ext uri="{147F2762-F138-4A5C-976F-8EAC2B608ADB}">
              <a16:predDERef xmlns:a16="http://schemas.microsoft.com/office/drawing/2014/main" pred="{D8CBE71A-722B-4218-9989-E1FF958E4C5D}"/>
            </a:ext>
          </a:extLst>
        </xdr:cNvPr>
        <xdr:cNvPicPr>
          <a:picLocks noChangeAspect="1"/>
        </xdr:cNvPicPr>
      </xdr:nvPicPr>
      <xdr:blipFill>
        <a:blip xmlns:r="http://schemas.openxmlformats.org/officeDocument/2006/relationships" r:embed="rId2"/>
        <a:stretch>
          <a:fillRect/>
        </a:stretch>
      </xdr:blipFill>
      <xdr:spPr>
        <a:xfrm>
          <a:off x="32956500" y="19850100"/>
          <a:ext cx="914400" cy="228600"/>
        </a:xfrm>
        <a:prstGeom prst="rect">
          <a:avLst/>
        </a:prstGeom>
      </xdr:spPr>
    </xdr:pic>
    <xdr:clientData/>
  </xdr:oneCellAnchor>
  <xdr:oneCellAnchor>
    <xdr:from>
      <xdr:col>25</xdr:col>
      <xdr:colOff>0</xdr:colOff>
      <xdr:row>16</xdr:row>
      <xdr:rowOff>0</xdr:rowOff>
    </xdr:from>
    <xdr:ext cx="914400" cy="228600"/>
    <xdr:pic>
      <xdr:nvPicPr>
        <xdr:cNvPr id="59" name="Control 6" hidden="1">
          <a:extLst>
            <a:ext uri="{FF2B5EF4-FFF2-40B4-BE49-F238E27FC236}">
              <a16:creationId xmlns:a16="http://schemas.microsoft.com/office/drawing/2014/main" id="{784F354A-A1B5-4CBE-8224-626BF8954644}"/>
            </a:ext>
            <a:ext uri="{147F2762-F138-4A5C-976F-8EAC2B608ADB}">
              <a16:predDERef xmlns:a16="http://schemas.microsoft.com/office/drawing/2014/main" pred="{08260206-8E7D-4763-9B9F-E6A957059935}"/>
            </a:ext>
          </a:extLst>
        </xdr:cNvPr>
        <xdr:cNvPicPr>
          <a:picLocks noChangeAspect="1"/>
        </xdr:cNvPicPr>
      </xdr:nvPicPr>
      <xdr:blipFill>
        <a:blip xmlns:r="http://schemas.openxmlformats.org/officeDocument/2006/relationships" r:embed="rId3"/>
        <a:stretch>
          <a:fillRect/>
        </a:stretch>
      </xdr:blipFill>
      <xdr:spPr>
        <a:xfrm>
          <a:off x="32956500" y="19850100"/>
          <a:ext cx="914400" cy="228600"/>
        </a:xfrm>
        <a:prstGeom prst="rect">
          <a:avLst/>
        </a:prstGeom>
      </xdr:spPr>
    </xdr:pic>
    <xdr:clientData/>
  </xdr:oneCellAnchor>
  <xdr:oneCellAnchor>
    <xdr:from>
      <xdr:col>25</xdr:col>
      <xdr:colOff>0</xdr:colOff>
      <xdr:row>16</xdr:row>
      <xdr:rowOff>0</xdr:rowOff>
    </xdr:from>
    <xdr:ext cx="914400" cy="228600"/>
    <xdr:pic>
      <xdr:nvPicPr>
        <xdr:cNvPr id="60" name="Control 7" hidden="1">
          <a:extLst>
            <a:ext uri="{FF2B5EF4-FFF2-40B4-BE49-F238E27FC236}">
              <a16:creationId xmlns:a16="http://schemas.microsoft.com/office/drawing/2014/main" id="{2642AF45-2A9C-4618-A11E-CA27AEFD0439}"/>
            </a:ext>
            <a:ext uri="{147F2762-F138-4A5C-976F-8EAC2B608ADB}">
              <a16:predDERef xmlns:a16="http://schemas.microsoft.com/office/drawing/2014/main" pred="{784F354A-A1B5-4CBE-8224-626BF8954644}"/>
            </a:ext>
          </a:extLst>
        </xdr:cNvPr>
        <xdr:cNvPicPr>
          <a:picLocks noChangeAspect="1"/>
        </xdr:cNvPicPr>
      </xdr:nvPicPr>
      <xdr:blipFill>
        <a:blip xmlns:r="http://schemas.openxmlformats.org/officeDocument/2006/relationships" r:embed="rId4"/>
        <a:stretch>
          <a:fillRect/>
        </a:stretch>
      </xdr:blipFill>
      <xdr:spPr>
        <a:xfrm>
          <a:off x="32956500" y="19850100"/>
          <a:ext cx="914400" cy="228600"/>
        </a:xfrm>
        <a:prstGeom prst="rect">
          <a:avLst/>
        </a:prstGeom>
      </xdr:spPr>
    </xdr:pic>
    <xdr:clientData/>
  </xdr:oneCellAnchor>
  <xdr:oneCellAnchor>
    <xdr:from>
      <xdr:col>25</xdr:col>
      <xdr:colOff>0</xdr:colOff>
      <xdr:row>16</xdr:row>
      <xdr:rowOff>0</xdr:rowOff>
    </xdr:from>
    <xdr:ext cx="914400" cy="228600"/>
    <xdr:pic>
      <xdr:nvPicPr>
        <xdr:cNvPr id="61" name="Control 8" hidden="1">
          <a:extLst>
            <a:ext uri="{FF2B5EF4-FFF2-40B4-BE49-F238E27FC236}">
              <a16:creationId xmlns:a16="http://schemas.microsoft.com/office/drawing/2014/main" id="{C45842C7-7A8F-415B-A7D6-36DBDA2A14B2}"/>
            </a:ext>
            <a:ext uri="{147F2762-F138-4A5C-976F-8EAC2B608ADB}">
              <a16:predDERef xmlns:a16="http://schemas.microsoft.com/office/drawing/2014/main" pred="{2642AF45-2A9C-4618-A11E-CA27AEFD0439}"/>
            </a:ext>
          </a:extLst>
        </xdr:cNvPr>
        <xdr:cNvPicPr>
          <a:picLocks noChangeAspect="1"/>
        </xdr:cNvPicPr>
      </xdr:nvPicPr>
      <xdr:blipFill>
        <a:blip xmlns:r="http://schemas.openxmlformats.org/officeDocument/2006/relationships" r:embed="rId5"/>
        <a:stretch>
          <a:fillRect/>
        </a:stretch>
      </xdr:blipFill>
      <xdr:spPr>
        <a:xfrm>
          <a:off x="32956500" y="19850100"/>
          <a:ext cx="914400" cy="228600"/>
        </a:xfrm>
        <a:prstGeom prst="rect">
          <a:avLst/>
        </a:prstGeom>
      </xdr:spPr>
    </xdr:pic>
    <xdr:clientData/>
  </xdr:oneCellAnchor>
  <xdr:oneCellAnchor>
    <xdr:from>
      <xdr:col>25</xdr:col>
      <xdr:colOff>0</xdr:colOff>
      <xdr:row>18</xdr:row>
      <xdr:rowOff>0</xdr:rowOff>
    </xdr:from>
    <xdr:ext cx="914400" cy="228600"/>
    <xdr:pic>
      <xdr:nvPicPr>
        <xdr:cNvPr id="67" name="Control 4" hidden="1">
          <a:extLst>
            <a:ext uri="{FF2B5EF4-FFF2-40B4-BE49-F238E27FC236}">
              <a16:creationId xmlns:a16="http://schemas.microsoft.com/office/drawing/2014/main" id="{095C0A2D-231E-4949-B194-2604794B8625}"/>
            </a:ext>
            <a:ext uri="{147F2762-F138-4A5C-976F-8EAC2B608ADB}">
              <a16:predDERef xmlns:a16="http://schemas.microsoft.com/office/drawing/2014/main" pred="{C45842C7-7A8F-415B-A7D6-36DBDA2A14B2}"/>
            </a:ext>
          </a:extLst>
        </xdr:cNvPr>
        <xdr:cNvPicPr>
          <a:picLocks noChangeAspect="1"/>
        </xdr:cNvPicPr>
      </xdr:nvPicPr>
      <xdr:blipFill>
        <a:blip xmlns:r="http://schemas.openxmlformats.org/officeDocument/2006/relationships" r:embed="rId1"/>
        <a:stretch>
          <a:fillRect/>
        </a:stretch>
      </xdr:blipFill>
      <xdr:spPr>
        <a:xfrm>
          <a:off x="32956500" y="23098125"/>
          <a:ext cx="914400" cy="228600"/>
        </a:xfrm>
        <a:prstGeom prst="rect">
          <a:avLst/>
        </a:prstGeom>
      </xdr:spPr>
    </xdr:pic>
    <xdr:clientData/>
  </xdr:oneCellAnchor>
  <xdr:oneCellAnchor>
    <xdr:from>
      <xdr:col>25</xdr:col>
      <xdr:colOff>0</xdr:colOff>
      <xdr:row>18</xdr:row>
      <xdr:rowOff>0</xdr:rowOff>
    </xdr:from>
    <xdr:ext cx="914400" cy="228600"/>
    <xdr:pic>
      <xdr:nvPicPr>
        <xdr:cNvPr id="68" name="Control 5" hidden="1">
          <a:extLst>
            <a:ext uri="{FF2B5EF4-FFF2-40B4-BE49-F238E27FC236}">
              <a16:creationId xmlns:a16="http://schemas.microsoft.com/office/drawing/2014/main" id="{94FA6E8B-D0DE-4284-9317-F12FC888D05E}"/>
            </a:ext>
            <a:ext uri="{147F2762-F138-4A5C-976F-8EAC2B608ADB}">
              <a16:predDERef xmlns:a16="http://schemas.microsoft.com/office/drawing/2014/main" pred="{095C0A2D-231E-4949-B194-2604794B8625}"/>
            </a:ext>
          </a:extLst>
        </xdr:cNvPr>
        <xdr:cNvPicPr>
          <a:picLocks noChangeAspect="1"/>
        </xdr:cNvPicPr>
      </xdr:nvPicPr>
      <xdr:blipFill>
        <a:blip xmlns:r="http://schemas.openxmlformats.org/officeDocument/2006/relationships" r:embed="rId2"/>
        <a:stretch>
          <a:fillRect/>
        </a:stretch>
      </xdr:blipFill>
      <xdr:spPr>
        <a:xfrm>
          <a:off x="32956500" y="23098125"/>
          <a:ext cx="914400" cy="228600"/>
        </a:xfrm>
        <a:prstGeom prst="rect">
          <a:avLst/>
        </a:prstGeom>
      </xdr:spPr>
    </xdr:pic>
    <xdr:clientData/>
  </xdr:oneCellAnchor>
  <xdr:oneCellAnchor>
    <xdr:from>
      <xdr:col>25</xdr:col>
      <xdr:colOff>0</xdr:colOff>
      <xdr:row>18</xdr:row>
      <xdr:rowOff>0</xdr:rowOff>
    </xdr:from>
    <xdr:ext cx="914400" cy="228600"/>
    <xdr:pic>
      <xdr:nvPicPr>
        <xdr:cNvPr id="69" name="Control 6" hidden="1">
          <a:extLst>
            <a:ext uri="{FF2B5EF4-FFF2-40B4-BE49-F238E27FC236}">
              <a16:creationId xmlns:a16="http://schemas.microsoft.com/office/drawing/2014/main" id="{B845235E-E1A2-4379-A0E4-4F4AB8A9C600}"/>
            </a:ext>
            <a:ext uri="{147F2762-F138-4A5C-976F-8EAC2B608ADB}">
              <a16:predDERef xmlns:a16="http://schemas.microsoft.com/office/drawing/2014/main" pred="{94FA6E8B-D0DE-4284-9317-F12FC888D05E}"/>
            </a:ext>
          </a:extLst>
        </xdr:cNvPr>
        <xdr:cNvPicPr>
          <a:picLocks noChangeAspect="1"/>
        </xdr:cNvPicPr>
      </xdr:nvPicPr>
      <xdr:blipFill>
        <a:blip xmlns:r="http://schemas.openxmlformats.org/officeDocument/2006/relationships" r:embed="rId3"/>
        <a:stretch>
          <a:fillRect/>
        </a:stretch>
      </xdr:blipFill>
      <xdr:spPr>
        <a:xfrm>
          <a:off x="32956500" y="23098125"/>
          <a:ext cx="914400" cy="228600"/>
        </a:xfrm>
        <a:prstGeom prst="rect">
          <a:avLst/>
        </a:prstGeom>
      </xdr:spPr>
    </xdr:pic>
    <xdr:clientData/>
  </xdr:oneCellAnchor>
  <xdr:oneCellAnchor>
    <xdr:from>
      <xdr:col>25</xdr:col>
      <xdr:colOff>0</xdr:colOff>
      <xdr:row>18</xdr:row>
      <xdr:rowOff>0</xdr:rowOff>
    </xdr:from>
    <xdr:ext cx="914400" cy="228600"/>
    <xdr:pic>
      <xdr:nvPicPr>
        <xdr:cNvPr id="70" name="Control 7" hidden="1">
          <a:extLst>
            <a:ext uri="{FF2B5EF4-FFF2-40B4-BE49-F238E27FC236}">
              <a16:creationId xmlns:a16="http://schemas.microsoft.com/office/drawing/2014/main" id="{3BBF7803-4EC7-462F-A93B-A18919C42CC7}"/>
            </a:ext>
            <a:ext uri="{147F2762-F138-4A5C-976F-8EAC2B608ADB}">
              <a16:predDERef xmlns:a16="http://schemas.microsoft.com/office/drawing/2014/main" pred="{B845235E-E1A2-4379-A0E4-4F4AB8A9C600}"/>
            </a:ext>
          </a:extLst>
        </xdr:cNvPr>
        <xdr:cNvPicPr>
          <a:picLocks noChangeAspect="1"/>
        </xdr:cNvPicPr>
      </xdr:nvPicPr>
      <xdr:blipFill>
        <a:blip xmlns:r="http://schemas.openxmlformats.org/officeDocument/2006/relationships" r:embed="rId4"/>
        <a:stretch>
          <a:fillRect/>
        </a:stretch>
      </xdr:blipFill>
      <xdr:spPr>
        <a:xfrm>
          <a:off x="32956500" y="23098125"/>
          <a:ext cx="914400" cy="228600"/>
        </a:xfrm>
        <a:prstGeom prst="rect">
          <a:avLst/>
        </a:prstGeom>
      </xdr:spPr>
    </xdr:pic>
    <xdr:clientData/>
  </xdr:oneCellAnchor>
  <xdr:oneCellAnchor>
    <xdr:from>
      <xdr:col>25</xdr:col>
      <xdr:colOff>0</xdr:colOff>
      <xdr:row>18</xdr:row>
      <xdr:rowOff>0</xdr:rowOff>
    </xdr:from>
    <xdr:ext cx="914400" cy="228600"/>
    <xdr:pic>
      <xdr:nvPicPr>
        <xdr:cNvPr id="71" name="Control 8" hidden="1">
          <a:extLst>
            <a:ext uri="{FF2B5EF4-FFF2-40B4-BE49-F238E27FC236}">
              <a16:creationId xmlns:a16="http://schemas.microsoft.com/office/drawing/2014/main" id="{D5D72340-DB38-47BB-9F0B-249EBFA9BF53}"/>
            </a:ext>
            <a:ext uri="{147F2762-F138-4A5C-976F-8EAC2B608ADB}">
              <a16:predDERef xmlns:a16="http://schemas.microsoft.com/office/drawing/2014/main" pred="{3BBF7803-4EC7-462F-A93B-A18919C42CC7}"/>
            </a:ext>
          </a:extLst>
        </xdr:cNvPr>
        <xdr:cNvPicPr>
          <a:picLocks noChangeAspect="1"/>
        </xdr:cNvPicPr>
      </xdr:nvPicPr>
      <xdr:blipFill>
        <a:blip xmlns:r="http://schemas.openxmlformats.org/officeDocument/2006/relationships" r:embed="rId5"/>
        <a:stretch>
          <a:fillRect/>
        </a:stretch>
      </xdr:blipFill>
      <xdr:spPr>
        <a:xfrm>
          <a:off x="32956500" y="23098125"/>
          <a:ext cx="914400" cy="228600"/>
        </a:xfrm>
        <a:prstGeom prst="rect">
          <a:avLst/>
        </a:prstGeom>
      </xdr:spPr>
    </xdr:pic>
    <xdr:clientData/>
  </xdr:oneCellAnchor>
  <xdr:oneCellAnchor>
    <xdr:from>
      <xdr:col>25</xdr:col>
      <xdr:colOff>0</xdr:colOff>
      <xdr:row>21</xdr:row>
      <xdr:rowOff>0</xdr:rowOff>
    </xdr:from>
    <xdr:ext cx="914400" cy="228600"/>
    <xdr:pic>
      <xdr:nvPicPr>
        <xdr:cNvPr id="77" name="Control 4" hidden="1">
          <a:extLst>
            <a:ext uri="{FF2B5EF4-FFF2-40B4-BE49-F238E27FC236}">
              <a16:creationId xmlns:a16="http://schemas.microsoft.com/office/drawing/2014/main" id="{F24F55B6-04CE-4090-9F7F-A309BA7D5402}"/>
            </a:ext>
            <a:ext uri="{147F2762-F138-4A5C-976F-8EAC2B608ADB}">
              <a16:predDERef xmlns:a16="http://schemas.microsoft.com/office/drawing/2014/main" pred="{D5D72340-DB38-47BB-9F0B-249EBFA9BF53}"/>
            </a:ext>
          </a:extLst>
        </xdr:cNvPr>
        <xdr:cNvPicPr>
          <a:picLocks noChangeAspect="1"/>
        </xdr:cNvPicPr>
      </xdr:nvPicPr>
      <xdr:blipFill>
        <a:blip xmlns:r="http://schemas.openxmlformats.org/officeDocument/2006/relationships" r:embed="rId1"/>
        <a:stretch>
          <a:fillRect/>
        </a:stretch>
      </xdr:blipFill>
      <xdr:spPr>
        <a:xfrm>
          <a:off x="32956500" y="26593800"/>
          <a:ext cx="914400" cy="228600"/>
        </a:xfrm>
        <a:prstGeom prst="rect">
          <a:avLst/>
        </a:prstGeom>
      </xdr:spPr>
    </xdr:pic>
    <xdr:clientData/>
  </xdr:oneCellAnchor>
  <xdr:oneCellAnchor>
    <xdr:from>
      <xdr:col>25</xdr:col>
      <xdr:colOff>0</xdr:colOff>
      <xdr:row>21</xdr:row>
      <xdr:rowOff>0</xdr:rowOff>
    </xdr:from>
    <xdr:ext cx="914400" cy="228600"/>
    <xdr:pic>
      <xdr:nvPicPr>
        <xdr:cNvPr id="78" name="Control 5" hidden="1">
          <a:extLst>
            <a:ext uri="{FF2B5EF4-FFF2-40B4-BE49-F238E27FC236}">
              <a16:creationId xmlns:a16="http://schemas.microsoft.com/office/drawing/2014/main" id="{EAD1094B-CE8E-4F4C-A8E7-DEE00D7451D9}"/>
            </a:ext>
            <a:ext uri="{147F2762-F138-4A5C-976F-8EAC2B608ADB}">
              <a16:predDERef xmlns:a16="http://schemas.microsoft.com/office/drawing/2014/main" pred="{F24F55B6-04CE-4090-9F7F-A309BA7D5402}"/>
            </a:ext>
          </a:extLst>
        </xdr:cNvPr>
        <xdr:cNvPicPr>
          <a:picLocks noChangeAspect="1"/>
        </xdr:cNvPicPr>
      </xdr:nvPicPr>
      <xdr:blipFill>
        <a:blip xmlns:r="http://schemas.openxmlformats.org/officeDocument/2006/relationships" r:embed="rId2"/>
        <a:stretch>
          <a:fillRect/>
        </a:stretch>
      </xdr:blipFill>
      <xdr:spPr>
        <a:xfrm>
          <a:off x="32956500" y="26593800"/>
          <a:ext cx="914400" cy="228600"/>
        </a:xfrm>
        <a:prstGeom prst="rect">
          <a:avLst/>
        </a:prstGeom>
      </xdr:spPr>
    </xdr:pic>
    <xdr:clientData/>
  </xdr:oneCellAnchor>
  <xdr:oneCellAnchor>
    <xdr:from>
      <xdr:col>25</xdr:col>
      <xdr:colOff>0</xdr:colOff>
      <xdr:row>21</xdr:row>
      <xdr:rowOff>0</xdr:rowOff>
    </xdr:from>
    <xdr:ext cx="914400" cy="228600"/>
    <xdr:pic>
      <xdr:nvPicPr>
        <xdr:cNvPr id="79" name="Control 6" hidden="1">
          <a:extLst>
            <a:ext uri="{FF2B5EF4-FFF2-40B4-BE49-F238E27FC236}">
              <a16:creationId xmlns:a16="http://schemas.microsoft.com/office/drawing/2014/main" id="{9B3E6417-E015-4A24-92D4-51709A5BA929}"/>
            </a:ext>
            <a:ext uri="{147F2762-F138-4A5C-976F-8EAC2B608ADB}">
              <a16:predDERef xmlns:a16="http://schemas.microsoft.com/office/drawing/2014/main" pred="{EAD1094B-CE8E-4F4C-A8E7-DEE00D7451D9}"/>
            </a:ext>
          </a:extLst>
        </xdr:cNvPr>
        <xdr:cNvPicPr>
          <a:picLocks noChangeAspect="1"/>
        </xdr:cNvPicPr>
      </xdr:nvPicPr>
      <xdr:blipFill>
        <a:blip xmlns:r="http://schemas.openxmlformats.org/officeDocument/2006/relationships" r:embed="rId3"/>
        <a:stretch>
          <a:fillRect/>
        </a:stretch>
      </xdr:blipFill>
      <xdr:spPr>
        <a:xfrm>
          <a:off x="32956500" y="26593800"/>
          <a:ext cx="914400" cy="228600"/>
        </a:xfrm>
        <a:prstGeom prst="rect">
          <a:avLst/>
        </a:prstGeom>
      </xdr:spPr>
    </xdr:pic>
    <xdr:clientData/>
  </xdr:oneCellAnchor>
  <xdr:oneCellAnchor>
    <xdr:from>
      <xdr:col>25</xdr:col>
      <xdr:colOff>0</xdr:colOff>
      <xdr:row>21</xdr:row>
      <xdr:rowOff>0</xdr:rowOff>
    </xdr:from>
    <xdr:ext cx="914400" cy="228600"/>
    <xdr:pic>
      <xdr:nvPicPr>
        <xdr:cNvPr id="80" name="Control 7" hidden="1">
          <a:extLst>
            <a:ext uri="{FF2B5EF4-FFF2-40B4-BE49-F238E27FC236}">
              <a16:creationId xmlns:a16="http://schemas.microsoft.com/office/drawing/2014/main" id="{FB9DDB94-D14B-4555-A219-7C783D9198E3}"/>
            </a:ext>
            <a:ext uri="{147F2762-F138-4A5C-976F-8EAC2B608ADB}">
              <a16:predDERef xmlns:a16="http://schemas.microsoft.com/office/drawing/2014/main" pred="{9B3E6417-E015-4A24-92D4-51709A5BA929}"/>
            </a:ext>
          </a:extLst>
        </xdr:cNvPr>
        <xdr:cNvPicPr>
          <a:picLocks noChangeAspect="1"/>
        </xdr:cNvPicPr>
      </xdr:nvPicPr>
      <xdr:blipFill>
        <a:blip xmlns:r="http://schemas.openxmlformats.org/officeDocument/2006/relationships" r:embed="rId4"/>
        <a:stretch>
          <a:fillRect/>
        </a:stretch>
      </xdr:blipFill>
      <xdr:spPr>
        <a:xfrm>
          <a:off x="32956500" y="26593800"/>
          <a:ext cx="914400" cy="228600"/>
        </a:xfrm>
        <a:prstGeom prst="rect">
          <a:avLst/>
        </a:prstGeom>
      </xdr:spPr>
    </xdr:pic>
    <xdr:clientData/>
  </xdr:oneCellAnchor>
  <xdr:oneCellAnchor>
    <xdr:from>
      <xdr:col>25</xdr:col>
      <xdr:colOff>0</xdr:colOff>
      <xdr:row>21</xdr:row>
      <xdr:rowOff>0</xdr:rowOff>
    </xdr:from>
    <xdr:ext cx="914400" cy="228600"/>
    <xdr:pic>
      <xdr:nvPicPr>
        <xdr:cNvPr id="81" name="Control 8" hidden="1">
          <a:extLst>
            <a:ext uri="{FF2B5EF4-FFF2-40B4-BE49-F238E27FC236}">
              <a16:creationId xmlns:a16="http://schemas.microsoft.com/office/drawing/2014/main" id="{49B79845-4A89-4645-91FE-6A03BD83CD1D}"/>
            </a:ext>
            <a:ext uri="{147F2762-F138-4A5C-976F-8EAC2B608ADB}">
              <a16:predDERef xmlns:a16="http://schemas.microsoft.com/office/drawing/2014/main" pred="{FB9DDB94-D14B-4555-A219-7C783D9198E3}"/>
            </a:ext>
          </a:extLst>
        </xdr:cNvPr>
        <xdr:cNvPicPr>
          <a:picLocks noChangeAspect="1"/>
        </xdr:cNvPicPr>
      </xdr:nvPicPr>
      <xdr:blipFill>
        <a:blip xmlns:r="http://schemas.openxmlformats.org/officeDocument/2006/relationships" r:embed="rId5"/>
        <a:stretch>
          <a:fillRect/>
        </a:stretch>
      </xdr:blipFill>
      <xdr:spPr>
        <a:xfrm>
          <a:off x="32956500" y="26593800"/>
          <a:ext cx="914400" cy="228600"/>
        </a:xfrm>
        <a:prstGeom prst="rect">
          <a:avLst/>
        </a:prstGeom>
      </xdr:spPr>
    </xdr:pic>
    <xdr:clientData/>
  </xdr:oneCellAnchor>
  <xdr:oneCellAnchor>
    <xdr:from>
      <xdr:col>25</xdr:col>
      <xdr:colOff>0</xdr:colOff>
      <xdr:row>22</xdr:row>
      <xdr:rowOff>0</xdr:rowOff>
    </xdr:from>
    <xdr:ext cx="914400" cy="228600"/>
    <xdr:pic>
      <xdr:nvPicPr>
        <xdr:cNvPr id="82" name="Control 4" hidden="1">
          <a:extLst>
            <a:ext uri="{FF2B5EF4-FFF2-40B4-BE49-F238E27FC236}">
              <a16:creationId xmlns:a16="http://schemas.microsoft.com/office/drawing/2014/main" id="{342E9326-305E-412B-BF71-4D22CB41613F}"/>
            </a:ext>
            <a:ext uri="{147F2762-F138-4A5C-976F-8EAC2B608ADB}">
              <a16:predDERef xmlns:a16="http://schemas.microsoft.com/office/drawing/2014/main" pred="{49B79845-4A89-4645-91FE-6A03BD83CD1D}"/>
            </a:ext>
          </a:extLst>
        </xdr:cNvPr>
        <xdr:cNvPicPr>
          <a:picLocks noChangeAspect="1"/>
        </xdr:cNvPicPr>
      </xdr:nvPicPr>
      <xdr:blipFill>
        <a:blip xmlns:r="http://schemas.openxmlformats.org/officeDocument/2006/relationships" r:embed="rId1"/>
        <a:stretch>
          <a:fillRect/>
        </a:stretch>
      </xdr:blipFill>
      <xdr:spPr>
        <a:xfrm>
          <a:off x="32956500" y="26593800"/>
          <a:ext cx="914400" cy="228600"/>
        </a:xfrm>
        <a:prstGeom prst="rect">
          <a:avLst/>
        </a:prstGeom>
      </xdr:spPr>
    </xdr:pic>
    <xdr:clientData/>
  </xdr:oneCellAnchor>
  <xdr:oneCellAnchor>
    <xdr:from>
      <xdr:col>25</xdr:col>
      <xdr:colOff>0</xdr:colOff>
      <xdr:row>22</xdr:row>
      <xdr:rowOff>0</xdr:rowOff>
    </xdr:from>
    <xdr:ext cx="914400" cy="228600"/>
    <xdr:pic>
      <xdr:nvPicPr>
        <xdr:cNvPr id="83" name="Control 5" hidden="1">
          <a:extLst>
            <a:ext uri="{FF2B5EF4-FFF2-40B4-BE49-F238E27FC236}">
              <a16:creationId xmlns:a16="http://schemas.microsoft.com/office/drawing/2014/main" id="{5E56B49A-8868-4C63-89F7-8D6647E7DEDA}"/>
            </a:ext>
            <a:ext uri="{147F2762-F138-4A5C-976F-8EAC2B608ADB}">
              <a16:predDERef xmlns:a16="http://schemas.microsoft.com/office/drawing/2014/main" pred="{342E9326-305E-412B-BF71-4D22CB41613F}"/>
            </a:ext>
          </a:extLst>
        </xdr:cNvPr>
        <xdr:cNvPicPr>
          <a:picLocks noChangeAspect="1"/>
        </xdr:cNvPicPr>
      </xdr:nvPicPr>
      <xdr:blipFill>
        <a:blip xmlns:r="http://schemas.openxmlformats.org/officeDocument/2006/relationships" r:embed="rId2"/>
        <a:stretch>
          <a:fillRect/>
        </a:stretch>
      </xdr:blipFill>
      <xdr:spPr>
        <a:xfrm>
          <a:off x="32956500" y="26593800"/>
          <a:ext cx="914400" cy="228600"/>
        </a:xfrm>
        <a:prstGeom prst="rect">
          <a:avLst/>
        </a:prstGeom>
      </xdr:spPr>
    </xdr:pic>
    <xdr:clientData/>
  </xdr:oneCellAnchor>
  <xdr:oneCellAnchor>
    <xdr:from>
      <xdr:col>25</xdr:col>
      <xdr:colOff>0</xdr:colOff>
      <xdr:row>22</xdr:row>
      <xdr:rowOff>0</xdr:rowOff>
    </xdr:from>
    <xdr:ext cx="914400" cy="228600"/>
    <xdr:pic>
      <xdr:nvPicPr>
        <xdr:cNvPr id="84" name="Control 6" hidden="1">
          <a:extLst>
            <a:ext uri="{FF2B5EF4-FFF2-40B4-BE49-F238E27FC236}">
              <a16:creationId xmlns:a16="http://schemas.microsoft.com/office/drawing/2014/main" id="{B96300B1-4758-42A3-8090-E428D5D6AD7D}"/>
            </a:ext>
            <a:ext uri="{147F2762-F138-4A5C-976F-8EAC2B608ADB}">
              <a16:predDERef xmlns:a16="http://schemas.microsoft.com/office/drawing/2014/main" pred="{5E56B49A-8868-4C63-89F7-8D6647E7DEDA}"/>
            </a:ext>
          </a:extLst>
        </xdr:cNvPr>
        <xdr:cNvPicPr>
          <a:picLocks noChangeAspect="1"/>
        </xdr:cNvPicPr>
      </xdr:nvPicPr>
      <xdr:blipFill>
        <a:blip xmlns:r="http://schemas.openxmlformats.org/officeDocument/2006/relationships" r:embed="rId3"/>
        <a:stretch>
          <a:fillRect/>
        </a:stretch>
      </xdr:blipFill>
      <xdr:spPr>
        <a:xfrm>
          <a:off x="32956500" y="26593800"/>
          <a:ext cx="914400" cy="228600"/>
        </a:xfrm>
        <a:prstGeom prst="rect">
          <a:avLst/>
        </a:prstGeom>
      </xdr:spPr>
    </xdr:pic>
    <xdr:clientData/>
  </xdr:oneCellAnchor>
  <xdr:oneCellAnchor>
    <xdr:from>
      <xdr:col>25</xdr:col>
      <xdr:colOff>0</xdr:colOff>
      <xdr:row>22</xdr:row>
      <xdr:rowOff>0</xdr:rowOff>
    </xdr:from>
    <xdr:ext cx="914400" cy="228600"/>
    <xdr:pic>
      <xdr:nvPicPr>
        <xdr:cNvPr id="85" name="Control 7" hidden="1">
          <a:extLst>
            <a:ext uri="{FF2B5EF4-FFF2-40B4-BE49-F238E27FC236}">
              <a16:creationId xmlns:a16="http://schemas.microsoft.com/office/drawing/2014/main" id="{308D7DFD-34F1-4422-AB1C-2A19F929D493}"/>
            </a:ext>
            <a:ext uri="{147F2762-F138-4A5C-976F-8EAC2B608ADB}">
              <a16:predDERef xmlns:a16="http://schemas.microsoft.com/office/drawing/2014/main" pred="{B96300B1-4758-42A3-8090-E428D5D6AD7D}"/>
            </a:ext>
          </a:extLst>
        </xdr:cNvPr>
        <xdr:cNvPicPr>
          <a:picLocks noChangeAspect="1"/>
        </xdr:cNvPicPr>
      </xdr:nvPicPr>
      <xdr:blipFill>
        <a:blip xmlns:r="http://schemas.openxmlformats.org/officeDocument/2006/relationships" r:embed="rId4"/>
        <a:stretch>
          <a:fillRect/>
        </a:stretch>
      </xdr:blipFill>
      <xdr:spPr>
        <a:xfrm>
          <a:off x="32956500" y="26593800"/>
          <a:ext cx="914400" cy="228600"/>
        </a:xfrm>
        <a:prstGeom prst="rect">
          <a:avLst/>
        </a:prstGeom>
      </xdr:spPr>
    </xdr:pic>
    <xdr:clientData/>
  </xdr:oneCellAnchor>
  <xdr:oneCellAnchor>
    <xdr:from>
      <xdr:col>25</xdr:col>
      <xdr:colOff>0</xdr:colOff>
      <xdr:row>22</xdr:row>
      <xdr:rowOff>0</xdr:rowOff>
    </xdr:from>
    <xdr:ext cx="914400" cy="228600"/>
    <xdr:pic>
      <xdr:nvPicPr>
        <xdr:cNvPr id="86" name="Control 8" hidden="1">
          <a:extLst>
            <a:ext uri="{FF2B5EF4-FFF2-40B4-BE49-F238E27FC236}">
              <a16:creationId xmlns:a16="http://schemas.microsoft.com/office/drawing/2014/main" id="{433C3F67-E1E6-42B4-95DA-E27BAE63AC96}"/>
            </a:ext>
            <a:ext uri="{147F2762-F138-4A5C-976F-8EAC2B608ADB}">
              <a16:predDERef xmlns:a16="http://schemas.microsoft.com/office/drawing/2014/main" pred="{308D7DFD-34F1-4422-AB1C-2A19F929D493}"/>
            </a:ext>
          </a:extLst>
        </xdr:cNvPr>
        <xdr:cNvPicPr>
          <a:picLocks noChangeAspect="1"/>
        </xdr:cNvPicPr>
      </xdr:nvPicPr>
      <xdr:blipFill>
        <a:blip xmlns:r="http://schemas.openxmlformats.org/officeDocument/2006/relationships" r:embed="rId5"/>
        <a:stretch>
          <a:fillRect/>
        </a:stretch>
      </xdr:blipFill>
      <xdr:spPr>
        <a:xfrm>
          <a:off x="32956500" y="26593800"/>
          <a:ext cx="914400" cy="228600"/>
        </a:xfrm>
        <a:prstGeom prst="rect">
          <a:avLst/>
        </a:prstGeom>
      </xdr:spPr>
    </xdr:pic>
    <xdr:clientData/>
  </xdr:oneCellAnchor>
  <xdr:oneCellAnchor>
    <xdr:from>
      <xdr:col>25</xdr:col>
      <xdr:colOff>0</xdr:colOff>
      <xdr:row>23</xdr:row>
      <xdr:rowOff>0</xdr:rowOff>
    </xdr:from>
    <xdr:ext cx="914400" cy="228600"/>
    <xdr:pic>
      <xdr:nvPicPr>
        <xdr:cNvPr id="87" name="Control 4" hidden="1">
          <a:extLst>
            <a:ext uri="{FF2B5EF4-FFF2-40B4-BE49-F238E27FC236}">
              <a16:creationId xmlns:a16="http://schemas.microsoft.com/office/drawing/2014/main" id="{B772F38E-3EEB-4E89-9B0D-2DFE281CC633}"/>
            </a:ext>
            <a:ext uri="{147F2762-F138-4A5C-976F-8EAC2B608ADB}">
              <a16:predDERef xmlns:a16="http://schemas.microsoft.com/office/drawing/2014/main" pred="{433C3F67-E1E6-42B4-95DA-E27BAE63AC96}"/>
            </a:ext>
          </a:extLst>
        </xdr:cNvPr>
        <xdr:cNvPicPr>
          <a:picLocks noChangeAspect="1"/>
        </xdr:cNvPicPr>
      </xdr:nvPicPr>
      <xdr:blipFill>
        <a:blip xmlns:r="http://schemas.openxmlformats.org/officeDocument/2006/relationships" r:embed="rId1"/>
        <a:stretch>
          <a:fillRect/>
        </a:stretch>
      </xdr:blipFill>
      <xdr:spPr>
        <a:xfrm>
          <a:off x="32956500" y="33308925"/>
          <a:ext cx="914400" cy="228600"/>
        </a:xfrm>
        <a:prstGeom prst="rect">
          <a:avLst/>
        </a:prstGeom>
      </xdr:spPr>
    </xdr:pic>
    <xdr:clientData/>
  </xdr:oneCellAnchor>
  <xdr:oneCellAnchor>
    <xdr:from>
      <xdr:col>25</xdr:col>
      <xdr:colOff>0</xdr:colOff>
      <xdr:row>23</xdr:row>
      <xdr:rowOff>0</xdr:rowOff>
    </xdr:from>
    <xdr:ext cx="914400" cy="228600"/>
    <xdr:pic>
      <xdr:nvPicPr>
        <xdr:cNvPr id="88" name="Control 5" hidden="1">
          <a:extLst>
            <a:ext uri="{FF2B5EF4-FFF2-40B4-BE49-F238E27FC236}">
              <a16:creationId xmlns:a16="http://schemas.microsoft.com/office/drawing/2014/main" id="{4452EF03-CF79-4A65-98DC-B338A39BF366}"/>
            </a:ext>
            <a:ext uri="{147F2762-F138-4A5C-976F-8EAC2B608ADB}">
              <a16:predDERef xmlns:a16="http://schemas.microsoft.com/office/drawing/2014/main" pred="{B772F38E-3EEB-4E89-9B0D-2DFE281CC633}"/>
            </a:ext>
          </a:extLst>
        </xdr:cNvPr>
        <xdr:cNvPicPr>
          <a:picLocks noChangeAspect="1"/>
        </xdr:cNvPicPr>
      </xdr:nvPicPr>
      <xdr:blipFill>
        <a:blip xmlns:r="http://schemas.openxmlformats.org/officeDocument/2006/relationships" r:embed="rId2"/>
        <a:stretch>
          <a:fillRect/>
        </a:stretch>
      </xdr:blipFill>
      <xdr:spPr>
        <a:xfrm>
          <a:off x="32956500" y="33308925"/>
          <a:ext cx="914400" cy="228600"/>
        </a:xfrm>
        <a:prstGeom prst="rect">
          <a:avLst/>
        </a:prstGeom>
      </xdr:spPr>
    </xdr:pic>
    <xdr:clientData/>
  </xdr:oneCellAnchor>
  <xdr:oneCellAnchor>
    <xdr:from>
      <xdr:col>25</xdr:col>
      <xdr:colOff>0</xdr:colOff>
      <xdr:row>23</xdr:row>
      <xdr:rowOff>0</xdr:rowOff>
    </xdr:from>
    <xdr:ext cx="914400" cy="228600"/>
    <xdr:pic>
      <xdr:nvPicPr>
        <xdr:cNvPr id="89" name="Control 6" hidden="1">
          <a:extLst>
            <a:ext uri="{FF2B5EF4-FFF2-40B4-BE49-F238E27FC236}">
              <a16:creationId xmlns:a16="http://schemas.microsoft.com/office/drawing/2014/main" id="{D7FCEA54-8464-4721-9D35-B658939CA970}"/>
            </a:ext>
            <a:ext uri="{147F2762-F138-4A5C-976F-8EAC2B608ADB}">
              <a16:predDERef xmlns:a16="http://schemas.microsoft.com/office/drawing/2014/main" pred="{4452EF03-CF79-4A65-98DC-B338A39BF366}"/>
            </a:ext>
          </a:extLst>
        </xdr:cNvPr>
        <xdr:cNvPicPr>
          <a:picLocks noChangeAspect="1"/>
        </xdr:cNvPicPr>
      </xdr:nvPicPr>
      <xdr:blipFill>
        <a:blip xmlns:r="http://schemas.openxmlformats.org/officeDocument/2006/relationships" r:embed="rId3"/>
        <a:stretch>
          <a:fillRect/>
        </a:stretch>
      </xdr:blipFill>
      <xdr:spPr>
        <a:xfrm>
          <a:off x="32956500" y="33308925"/>
          <a:ext cx="914400" cy="228600"/>
        </a:xfrm>
        <a:prstGeom prst="rect">
          <a:avLst/>
        </a:prstGeom>
      </xdr:spPr>
    </xdr:pic>
    <xdr:clientData/>
  </xdr:oneCellAnchor>
  <xdr:oneCellAnchor>
    <xdr:from>
      <xdr:col>25</xdr:col>
      <xdr:colOff>0</xdr:colOff>
      <xdr:row>23</xdr:row>
      <xdr:rowOff>0</xdr:rowOff>
    </xdr:from>
    <xdr:ext cx="914400" cy="228600"/>
    <xdr:pic>
      <xdr:nvPicPr>
        <xdr:cNvPr id="90" name="Control 7" hidden="1">
          <a:extLst>
            <a:ext uri="{FF2B5EF4-FFF2-40B4-BE49-F238E27FC236}">
              <a16:creationId xmlns:a16="http://schemas.microsoft.com/office/drawing/2014/main" id="{F122C1F6-70F1-4887-8B3A-C641FDC92F6E}"/>
            </a:ext>
            <a:ext uri="{147F2762-F138-4A5C-976F-8EAC2B608ADB}">
              <a16:predDERef xmlns:a16="http://schemas.microsoft.com/office/drawing/2014/main" pred="{D7FCEA54-8464-4721-9D35-B658939CA970}"/>
            </a:ext>
          </a:extLst>
        </xdr:cNvPr>
        <xdr:cNvPicPr>
          <a:picLocks noChangeAspect="1"/>
        </xdr:cNvPicPr>
      </xdr:nvPicPr>
      <xdr:blipFill>
        <a:blip xmlns:r="http://schemas.openxmlformats.org/officeDocument/2006/relationships" r:embed="rId4"/>
        <a:stretch>
          <a:fillRect/>
        </a:stretch>
      </xdr:blipFill>
      <xdr:spPr>
        <a:xfrm>
          <a:off x="32956500" y="33308925"/>
          <a:ext cx="914400" cy="228600"/>
        </a:xfrm>
        <a:prstGeom prst="rect">
          <a:avLst/>
        </a:prstGeom>
      </xdr:spPr>
    </xdr:pic>
    <xdr:clientData/>
  </xdr:oneCellAnchor>
  <xdr:oneCellAnchor>
    <xdr:from>
      <xdr:col>25</xdr:col>
      <xdr:colOff>0</xdr:colOff>
      <xdr:row>23</xdr:row>
      <xdr:rowOff>0</xdr:rowOff>
    </xdr:from>
    <xdr:ext cx="914400" cy="228600"/>
    <xdr:pic>
      <xdr:nvPicPr>
        <xdr:cNvPr id="91" name="Control 8" hidden="1">
          <a:extLst>
            <a:ext uri="{FF2B5EF4-FFF2-40B4-BE49-F238E27FC236}">
              <a16:creationId xmlns:a16="http://schemas.microsoft.com/office/drawing/2014/main" id="{7002F4C7-3BD0-489F-9583-2EFDA3A814D2}"/>
            </a:ext>
            <a:ext uri="{147F2762-F138-4A5C-976F-8EAC2B608ADB}">
              <a16:predDERef xmlns:a16="http://schemas.microsoft.com/office/drawing/2014/main" pred="{F122C1F6-70F1-4887-8B3A-C641FDC92F6E}"/>
            </a:ext>
          </a:extLst>
        </xdr:cNvPr>
        <xdr:cNvPicPr>
          <a:picLocks noChangeAspect="1"/>
        </xdr:cNvPicPr>
      </xdr:nvPicPr>
      <xdr:blipFill>
        <a:blip xmlns:r="http://schemas.openxmlformats.org/officeDocument/2006/relationships" r:embed="rId5"/>
        <a:stretch>
          <a:fillRect/>
        </a:stretch>
      </xdr:blipFill>
      <xdr:spPr>
        <a:xfrm>
          <a:off x="32956500" y="33308925"/>
          <a:ext cx="914400" cy="228600"/>
        </a:xfrm>
        <a:prstGeom prst="rect">
          <a:avLst/>
        </a:prstGeom>
      </xdr:spPr>
    </xdr:pic>
    <xdr:clientData/>
  </xdr:oneCellAnchor>
  <xdr:oneCellAnchor>
    <xdr:from>
      <xdr:col>25</xdr:col>
      <xdr:colOff>0</xdr:colOff>
      <xdr:row>24</xdr:row>
      <xdr:rowOff>0</xdr:rowOff>
    </xdr:from>
    <xdr:ext cx="914400" cy="228600"/>
    <xdr:pic>
      <xdr:nvPicPr>
        <xdr:cNvPr id="92" name="Control 4" hidden="1">
          <a:extLst>
            <a:ext uri="{FF2B5EF4-FFF2-40B4-BE49-F238E27FC236}">
              <a16:creationId xmlns:a16="http://schemas.microsoft.com/office/drawing/2014/main" id="{B2772F19-502E-4875-8BCD-555D01C8BFB1}"/>
            </a:ext>
            <a:ext uri="{147F2762-F138-4A5C-976F-8EAC2B608ADB}">
              <a16:predDERef xmlns:a16="http://schemas.microsoft.com/office/drawing/2014/main" pred="{7002F4C7-3BD0-489F-9583-2EFDA3A814D2}"/>
            </a:ext>
          </a:extLst>
        </xdr:cNvPr>
        <xdr:cNvPicPr>
          <a:picLocks noChangeAspect="1"/>
        </xdr:cNvPicPr>
      </xdr:nvPicPr>
      <xdr:blipFill>
        <a:blip xmlns:r="http://schemas.openxmlformats.org/officeDocument/2006/relationships" r:embed="rId1"/>
        <a:stretch>
          <a:fillRect/>
        </a:stretch>
      </xdr:blipFill>
      <xdr:spPr>
        <a:xfrm>
          <a:off x="32956500" y="34499550"/>
          <a:ext cx="914400" cy="228600"/>
        </a:xfrm>
        <a:prstGeom prst="rect">
          <a:avLst/>
        </a:prstGeom>
      </xdr:spPr>
    </xdr:pic>
    <xdr:clientData/>
  </xdr:oneCellAnchor>
  <xdr:oneCellAnchor>
    <xdr:from>
      <xdr:col>25</xdr:col>
      <xdr:colOff>0</xdr:colOff>
      <xdr:row>24</xdr:row>
      <xdr:rowOff>0</xdr:rowOff>
    </xdr:from>
    <xdr:ext cx="914400" cy="228600"/>
    <xdr:pic>
      <xdr:nvPicPr>
        <xdr:cNvPr id="93" name="Control 5" hidden="1">
          <a:extLst>
            <a:ext uri="{FF2B5EF4-FFF2-40B4-BE49-F238E27FC236}">
              <a16:creationId xmlns:a16="http://schemas.microsoft.com/office/drawing/2014/main" id="{B9FD40AB-96B0-451A-AF16-4B8B8A4A6C53}"/>
            </a:ext>
            <a:ext uri="{147F2762-F138-4A5C-976F-8EAC2B608ADB}">
              <a16:predDERef xmlns:a16="http://schemas.microsoft.com/office/drawing/2014/main" pred="{B2772F19-502E-4875-8BCD-555D01C8BFB1}"/>
            </a:ext>
          </a:extLst>
        </xdr:cNvPr>
        <xdr:cNvPicPr>
          <a:picLocks noChangeAspect="1"/>
        </xdr:cNvPicPr>
      </xdr:nvPicPr>
      <xdr:blipFill>
        <a:blip xmlns:r="http://schemas.openxmlformats.org/officeDocument/2006/relationships" r:embed="rId2"/>
        <a:stretch>
          <a:fillRect/>
        </a:stretch>
      </xdr:blipFill>
      <xdr:spPr>
        <a:xfrm>
          <a:off x="32956500" y="34499550"/>
          <a:ext cx="914400" cy="228600"/>
        </a:xfrm>
        <a:prstGeom prst="rect">
          <a:avLst/>
        </a:prstGeom>
      </xdr:spPr>
    </xdr:pic>
    <xdr:clientData/>
  </xdr:oneCellAnchor>
  <xdr:oneCellAnchor>
    <xdr:from>
      <xdr:col>25</xdr:col>
      <xdr:colOff>0</xdr:colOff>
      <xdr:row>24</xdr:row>
      <xdr:rowOff>0</xdr:rowOff>
    </xdr:from>
    <xdr:ext cx="914400" cy="228600"/>
    <xdr:pic>
      <xdr:nvPicPr>
        <xdr:cNvPr id="94" name="Control 6" hidden="1">
          <a:extLst>
            <a:ext uri="{FF2B5EF4-FFF2-40B4-BE49-F238E27FC236}">
              <a16:creationId xmlns:a16="http://schemas.microsoft.com/office/drawing/2014/main" id="{A2F784B4-7F88-485E-AAD2-6CAEE2940CF7}"/>
            </a:ext>
            <a:ext uri="{147F2762-F138-4A5C-976F-8EAC2B608ADB}">
              <a16:predDERef xmlns:a16="http://schemas.microsoft.com/office/drawing/2014/main" pred="{B9FD40AB-96B0-451A-AF16-4B8B8A4A6C53}"/>
            </a:ext>
          </a:extLst>
        </xdr:cNvPr>
        <xdr:cNvPicPr>
          <a:picLocks noChangeAspect="1"/>
        </xdr:cNvPicPr>
      </xdr:nvPicPr>
      <xdr:blipFill>
        <a:blip xmlns:r="http://schemas.openxmlformats.org/officeDocument/2006/relationships" r:embed="rId3"/>
        <a:stretch>
          <a:fillRect/>
        </a:stretch>
      </xdr:blipFill>
      <xdr:spPr>
        <a:xfrm>
          <a:off x="32956500" y="34499550"/>
          <a:ext cx="914400" cy="228600"/>
        </a:xfrm>
        <a:prstGeom prst="rect">
          <a:avLst/>
        </a:prstGeom>
      </xdr:spPr>
    </xdr:pic>
    <xdr:clientData/>
  </xdr:oneCellAnchor>
  <xdr:oneCellAnchor>
    <xdr:from>
      <xdr:col>25</xdr:col>
      <xdr:colOff>0</xdr:colOff>
      <xdr:row>24</xdr:row>
      <xdr:rowOff>0</xdr:rowOff>
    </xdr:from>
    <xdr:ext cx="914400" cy="228600"/>
    <xdr:pic>
      <xdr:nvPicPr>
        <xdr:cNvPr id="95" name="Control 7" hidden="1">
          <a:extLst>
            <a:ext uri="{FF2B5EF4-FFF2-40B4-BE49-F238E27FC236}">
              <a16:creationId xmlns:a16="http://schemas.microsoft.com/office/drawing/2014/main" id="{0DBC3E6D-ADC4-414B-B4C2-DFB8C99ECF21}"/>
            </a:ext>
            <a:ext uri="{147F2762-F138-4A5C-976F-8EAC2B608ADB}">
              <a16:predDERef xmlns:a16="http://schemas.microsoft.com/office/drawing/2014/main" pred="{A2F784B4-7F88-485E-AAD2-6CAEE2940CF7}"/>
            </a:ext>
          </a:extLst>
        </xdr:cNvPr>
        <xdr:cNvPicPr>
          <a:picLocks noChangeAspect="1"/>
        </xdr:cNvPicPr>
      </xdr:nvPicPr>
      <xdr:blipFill>
        <a:blip xmlns:r="http://schemas.openxmlformats.org/officeDocument/2006/relationships" r:embed="rId4"/>
        <a:stretch>
          <a:fillRect/>
        </a:stretch>
      </xdr:blipFill>
      <xdr:spPr>
        <a:xfrm>
          <a:off x="32956500" y="34499550"/>
          <a:ext cx="914400" cy="228600"/>
        </a:xfrm>
        <a:prstGeom prst="rect">
          <a:avLst/>
        </a:prstGeom>
      </xdr:spPr>
    </xdr:pic>
    <xdr:clientData/>
  </xdr:oneCellAnchor>
  <xdr:oneCellAnchor>
    <xdr:from>
      <xdr:col>25</xdr:col>
      <xdr:colOff>0</xdr:colOff>
      <xdr:row>24</xdr:row>
      <xdr:rowOff>0</xdr:rowOff>
    </xdr:from>
    <xdr:ext cx="914400" cy="228600"/>
    <xdr:pic>
      <xdr:nvPicPr>
        <xdr:cNvPr id="96" name="Control 8" hidden="1">
          <a:extLst>
            <a:ext uri="{FF2B5EF4-FFF2-40B4-BE49-F238E27FC236}">
              <a16:creationId xmlns:a16="http://schemas.microsoft.com/office/drawing/2014/main" id="{23BEC376-E89B-48F4-8347-0468AF2022F0}"/>
            </a:ext>
            <a:ext uri="{147F2762-F138-4A5C-976F-8EAC2B608ADB}">
              <a16:predDERef xmlns:a16="http://schemas.microsoft.com/office/drawing/2014/main" pred="{0DBC3E6D-ADC4-414B-B4C2-DFB8C99ECF21}"/>
            </a:ext>
          </a:extLst>
        </xdr:cNvPr>
        <xdr:cNvPicPr>
          <a:picLocks noChangeAspect="1"/>
        </xdr:cNvPicPr>
      </xdr:nvPicPr>
      <xdr:blipFill>
        <a:blip xmlns:r="http://schemas.openxmlformats.org/officeDocument/2006/relationships" r:embed="rId5"/>
        <a:stretch>
          <a:fillRect/>
        </a:stretch>
      </xdr:blipFill>
      <xdr:spPr>
        <a:xfrm>
          <a:off x="32956500" y="34499550"/>
          <a:ext cx="914400" cy="228600"/>
        </a:xfrm>
        <a:prstGeom prst="rect">
          <a:avLst/>
        </a:prstGeom>
      </xdr:spPr>
    </xdr:pic>
    <xdr:clientData/>
  </xdr:oneCellAnchor>
  <xdr:oneCellAnchor>
    <xdr:from>
      <xdr:col>25</xdr:col>
      <xdr:colOff>0</xdr:colOff>
      <xdr:row>25</xdr:row>
      <xdr:rowOff>0</xdr:rowOff>
    </xdr:from>
    <xdr:ext cx="914400" cy="228600"/>
    <xdr:pic>
      <xdr:nvPicPr>
        <xdr:cNvPr id="97" name="Control 4" hidden="1">
          <a:extLst>
            <a:ext uri="{FF2B5EF4-FFF2-40B4-BE49-F238E27FC236}">
              <a16:creationId xmlns:a16="http://schemas.microsoft.com/office/drawing/2014/main" id="{0AFB16BB-8D1B-447C-B3D4-028A0A8C5748}"/>
            </a:ext>
            <a:ext uri="{147F2762-F138-4A5C-976F-8EAC2B608ADB}">
              <a16:predDERef xmlns:a16="http://schemas.microsoft.com/office/drawing/2014/main" pred="{23BEC376-E89B-48F4-8347-0468AF2022F0}"/>
            </a:ext>
          </a:extLst>
        </xdr:cNvPr>
        <xdr:cNvPicPr>
          <a:picLocks noChangeAspect="1"/>
        </xdr:cNvPicPr>
      </xdr:nvPicPr>
      <xdr:blipFill>
        <a:blip xmlns:r="http://schemas.openxmlformats.org/officeDocument/2006/relationships" r:embed="rId1"/>
        <a:stretch>
          <a:fillRect/>
        </a:stretch>
      </xdr:blipFill>
      <xdr:spPr>
        <a:xfrm>
          <a:off x="32956500" y="35690175"/>
          <a:ext cx="914400" cy="228600"/>
        </a:xfrm>
        <a:prstGeom prst="rect">
          <a:avLst/>
        </a:prstGeom>
      </xdr:spPr>
    </xdr:pic>
    <xdr:clientData/>
  </xdr:oneCellAnchor>
  <xdr:oneCellAnchor>
    <xdr:from>
      <xdr:col>25</xdr:col>
      <xdr:colOff>0</xdr:colOff>
      <xdr:row>25</xdr:row>
      <xdr:rowOff>0</xdr:rowOff>
    </xdr:from>
    <xdr:ext cx="914400" cy="228600"/>
    <xdr:pic>
      <xdr:nvPicPr>
        <xdr:cNvPr id="98" name="Control 5" hidden="1">
          <a:extLst>
            <a:ext uri="{FF2B5EF4-FFF2-40B4-BE49-F238E27FC236}">
              <a16:creationId xmlns:a16="http://schemas.microsoft.com/office/drawing/2014/main" id="{C6523299-03A2-4778-AC0D-C96DDF096860}"/>
            </a:ext>
            <a:ext uri="{147F2762-F138-4A5C-976F-8EAC2B608ADB}">
              <a16:predDERef xmlns:a16="http://schemas.microsoft.com/office/drawing/2014/main" pred="{0AFB16BB-8D1B-447C-B3D4-028A0A8C5748}"/>
            </a:ext>
          </a:extLst>
        </xdr:cNvPr>
        <xdr:cNvPicPr>
          <a:picLocks noChangeAspect="1"/>
        </xdr:cNvPicPr>
      </xdr:nvPicPr>
      <xdr:blipFill>
        <a:blip xmlns:r="http://schemas.openxmlformats.org/officeDocument/2006/relationships" r:embed="rId2"/>
        <a:stretch>
          <a:fillRect/>
        </a:stretch>
      </xdr:blipFill>
      <xdr:spPr>
        <a:xfrm>
          <a:off x="32956500" y="35690175"/>
          <a:ext cx="914400" cy="228600"/>
        </a:xfrm>
        <a:prstGeom prst="rect">
          <a:avLst/>
        </a:prstGeom>
      </xdr:spPr>
    </xdr:pic>
    <xdr:clientData/>
  </xdr:oneCellAnchor>
  <xdr:oneCellAnchor>
    <xdr:from>
      <xdr:col>25</xdr:col>
      <xdr:colOff>0</xdr:colOff>
      <xdr:row>25</xdr:row>
      <xdr:rowOff>0</xdr:rowOff>
    </xdr:from>
    <xdr:ext cx="914400" cy="228600"/>
    <xdr:pic>
      <xdr:nvPicPr>
        <xdr:cNvPr id="99" name="Control 6" hidden="1">
          <a:extLst>
            <a:ext uri="{FF2B5EF4-FFF2-40B4-BE49-F238E27FC236}">
              <a16:creationId xmlns:a16="http://schemas.microsoft.com/office/drawing/2014/main" id="{79D440EF-AB3B-4C5B-883A-9A46204ED75A}"/>
            </a:ext>
            <a:ext uri="{147F2762-F138-4A5C-976F-8EAC2B608ADB}">
              <a16:predDERef xmlns:a16="http://schemas.microsoft.com/office/drawing/2014/main" pred="{C6523299-03A2-4778-AC0D-C96DDF096860}"/>
            </a:ext>
          </a:extLst>
        </xdr:cNvPr>
        <xdr:cNvPicPr>
          <a:picLocks noChangeAspect="1"/>
        </xdr:cNvPicPr>
      </xdr:nvPicPr>
      <xdr:blipFill>
        <a:blip xmlns:r="http://schemas.openxmlformats.org/officeDocument/2006/relationships" r:embed="rId3"/>
        <a:stretch>
          <a:fillRect/>
        </a:stretch>
      </xdr:blipFill>
      <xdr:spPr>
        <a:xfrm>
          <a:off x="32956500" y="35690175"/>
          <a:ext cx="914400" cy="228600"/>
        </a:xfrm>
        <a:prstGeom prst="rect">
          <a:avLst/>
        </a:prstGeom>
      </xdr:spPr>
    </xdr:pic>
    <xdr:clientData/>
  </xdr:oneCellAnchor>
  <xdr:oneCellAnchor>
    <xdr:from>
      <xdr:col>25</xdr:col>
      <xdr:colOff>0</xdr:colOff>
      <xdr:row>25</xdr:row>
      <xdr:rowOff>0</xdr:rowOff>
    </xdr:from>
    <xdr:ext cx="914400" cy="228600"/>
    <xdr:pic>
      <xdr:nvPicPr>
        <xdr:cNvPr id="100" name="Control 7" hidden="1">
          <a:extLst>
            <a:ext uri="{FF2B5EF4-FFF2-40B4-BE49-F238E27FC236}">
              <a16:creationId xmlns:a16="http://schemas.microsoft.com/office/drawing/2014/main" id="{0113EACE-279A-4975-9BD6-4963C21C3DA5}"/>
            </a:ext>
            <a:ext uri="{147F2762-F138-4A5C-976F-8EAC2B608ADB}">
              <a16:predDERef xmlns:a16="http://schemas.microsoft.com/office/drawing/2014/main" pred="{79D440EF-AB3B-4C5B-883A-9A46204ED75A}"/>
            </a:ext>
          </a:extLst>
        </xdr:cNvPr>
        <xdr:cNvPicPr>
          <a:picLocks noChangeAspect="1"/>
        </xdr:cNvPicPr>
      </xdr:nvPicPr>
      <xdr:blipFill>
        <a:blip xmlns:r="http://schemas.openxmlformats.org/officeDocument/2006/relationships" r:embed="rId4"/>
        <a:stretch>
          <a:fillRect/>
        </a:stretch>
      </xdr:blipFill>
      <xdr:spPr>
        <a:xfrm>
          <a:off x="32956500" y="35690175"/>
          <a:ext cx="914400" cy="228600"/>
        </a:xfrm>
        <a:prstGeom prst="rect">
          <a:avLst/>
        </a:prstGeom>
      </xdr:spPr>
    </xdr:pic>
    <xdr:clientData/>
  </xdr:oneCellAnchor>
  <xdr:oneCellAnchor>
    <xdr:from>
      <xdr:col>25</xdr:col>
      <xdr:colOff>0</xdr:colOff>
      <xdr:row>25</xdr:row>
      <xdr:rowOff>0</xdr:rowOff>
    </xdr:from>
    <xdr:ext cx="914400" cy="228600"/>
    <xdr:pic>
      <xdr:nvPicPr>
        <xdr:cNvPr id="101" name="Control 8" hidden="1">
          <a:extLst>
            <a:ext uri="{FF2B5EF4-FFF2-40B4-BE49-F238E27FC236}">
              <a16:creationId xmlns:a16="http://schemas.microsoft.com/office/drawing/2014/main" id="{DD0C5AEC-5B9A-4EB2-9E92-A2B49E76EC0B}"/>
            </a:ext>
            <a:ext uri="{147F2762-F138-4A5C-976F-8EAC2B608ADB}">
              <a16:predDERef xmlns:a16="http://schemas.microsoft.com/office/drawing/2014/main" pred="{0113EACE-279A-4975-9BD6-4963C21C3DA5}"/>
            </a:ext>
          </a:extLst>
        </xdr:cNvPr>
        <xdr:cNvPicPr>
          <a:picLocks noChangeAspect="1"/>
        </xdr:cNvPicPr>
      </xdr:nvPicPr>
      <xdr:blipFill>
        <a:blip xmlns:r="http://schemas.openxmlformats.org/officeDocument/2006/relationships" r:embed="rId5"/>
        <a:stretch>
          <a:fillRect/>
        </a:stretch>
      </xdr:blipFill>
      <xdr:spPr>
        <a:xfrm>
          <a:off x="32956500" y="35690175"/>
          <a:ext cx="914400" cy="228600"/>
        </a:xfrm>
        <a:prstGeom prst="rect">
          <a:avLst/>
        </a:prstGeom>
      </xdr:spPr>
    </xdr:pic>
    <xdr:clientData/>
  </xdr:oneCellAnchor>
  <xdr:oneCellAnchor>
    <xdr:from>
      <xdr:col>25</xdr:col>
      <xdr:colOff>0</xdr:colOff>
      <xdr:row>26</xdr:row>
      <xdr:rowOff>0</xdr:rowOff>
    </xdr:from>
    <xdr:ext cx="914400" cy="228600"/>
    <xdr:pic>
      <xdr:nvPicPr>
        <xdr:cNvPr id="102" name="Control 4" hidden="1">
          <a:extLst>
            <a:ext uri="{FF2B5EF4-FFF2-40B4-BE49-F238E27FC236}">
              <a16:creationId xmlns:a16="http://schemas.microsoft.com/office/drawing/2014/main" id="{5F75F048-C4DD-4951-A0FE-7144425CFE13}"/>
            </a:ext>
            <a:ext uri="{147F2762-F138-4A5C-976F-8EAC2B608ADB}">
              <a16:predDERef xmlns:a16="http://schemas.microsoft.com/office/drawing/2014/main" pred="{DD0C5AEC-5B9A-4EB2-9E92-A2B49E76EC0B}"/>
            </a:ext>
          </a:extLst>
        </xdr:cNvPr>
        <xdr:cNvPicPr>
          <a:picLocks noChangeAspect="1"/>
        </xdr:cNvPicPr>
      </xdr:nvPicPr>
      <xdr:blipFill>
        <a:blip xmlns:r="http://schemas.openxmlformats.org/officeDocument/2006/relationships" r:embed="rId1"/>
        <a:stretch>
          <a:fillRect/>
        </a:stretch>
      </xdr:blipFill>
      <xdr:spPr>
        <a:xfrm>
          <a:off x="32956500" y="35690175"/>
          <a:ext cx="914400" cy="228600"/>
        </a:xfrm>
        <a:prstGeom prst="rect">
          <a:avLst/>
        </a:prstGeom>
      </xdr:spPr>
    </xdr:pic>
    <xdr:clientData/>
  </xdr:oneCellAnchor>
  <xdr:oneCellAnchor>
    <xdr:from>
      <xdr:col>25</xdr:col>
      <xdr:colOff>0</xdr:colOff>
      <xdr:row>26</xdr:row>
      <xdr:rowOff>0</xdr:rowOff>
    </xdr:from>
    <xdr:ext cx="914400" cy="228600"/>
    <xdr:pic>
      <xdr:nvPicPr>
        <xdr:cNvPr id="103" name="Control 5" hidden="1">
          <a:extLst>
            <a:ext uri="{FF2B5EF4-FFF2-40B4-BE49-F238E27FC236}">
              <a16:creationId xmlns:a16="http://schemas.microsoft.com/office/drawing/2014/main" id="{85CE73A3-6F76-4DE1-9C20-F57FE71FD39B}"/>
            </a:ext>
            <a:ext uri="{147F2762-F138-4A5C-976F-8EAC2B608ADB}">
              <a16:predDERef xmlns:a16="http://schemas.microsoft.com/office/drawing/2014/main" pred="{5F75F048-C4DD-4951-A0FE-7144425CFE13}"/>
            </a:ext>
          </a:extLst>
        </xdr:cNvPr>
        <xdr:cNvPicPr>
          <a:picLocks noChangeAspect="1"/>
        </xdr:cNvPicPr>
      </xdr:nvPicPr>
      <xdr:blipFill>
        <a:blip xmlns:r="http://schemas.openxmlformats.org/officeDocument/2006/relationships" r:embed="rId2"/>
        <a:stretch>
          <a:fillRect/>
        </a:stretch>
      </xdr:blipFill>
      <xdr:spPr>
        <a:xfrm>
          <a:off x="32956500" y="35690175"/>
          <a:ext cx="914400" cy="228600"/>
        </a:xfrm>
        <a:prstGeom prst="rect">
          <a:avLst/>
        </a:prstGeom>
      </xdr:spPr>
    </xdr:pic>
    <xdr:clientData/>
  </xdr:oneCellAnchor>
  <xdr:oneCellAnchor>
    <xdr:from>
      <xdr:col>25</xdr:col>
      <xdr:colOff>0</xdr:colOff>
      <xdr:row>26</xdr:row>
      <xdr:rowOff>0</xdr:rowOff>
    </xdr:from>
    <xdr:ext cx="914400" cy="228600"/>
    <xdr:pic>
      <xdr:nvPicPr>
        <xdr:cNvPr id="104" name="Control 6" hidden="1">
          <a:extLst>
            <a:ext uri="{FF2B5EF4-FFF2-40B4-BE49-F238E27FC236}">
              <a16:creationId xmlns:a16="http://schemas.microsoft.com/office/drawing/2014/main" id="{47D95ABB-D98D-4B4D-B0BD-636A78F054FC}"/>
            </a:ext>
            <a:ext uri="{147F2762-F138-4A5C-976F-8EAC2B608ADB}">
              <a16:predDERef xmlns:a16="http://schemas.microsoft.com/office/drawing/2014/main" pred="{85CE73A3-6F76-4DE1-9C20-F57FE71FD39B}"/>
            </a:ext>
          </a:extLst>
        </xdr:cNvPr>
        <xdr:cNvPicPr>
          <a:picLocks noChangeAspect="1"/>
        </xdr:cNvPicPr>
      </xdr:nvPicPr>
      <xdr:blipFill>
        <a:blip xmlns:r="http://schemas.openxmlformats.org/officeDocument/2006/relationships" r:embed="rId3"/>
        <a:stretch>
          <a:fillRect/>
        </a:stretch>
      </xdr:blipFill>
      <xdr:spPr>
        <a:xfrm>
          <a:off x="32956500" y="35690175"/>
          <a:ext cx="914400" cy="228600"/>
        </a:xfrm>
        <a:prstGeom prst="rect">
          <a:avLst/>
        </a:prstGeom>
      </xdr:spPr>
    </xdr:pic>
    <xdr:clientData/>
  </xdr:oneCellAnchor>
  <xdr:oneCellAnchor>
    <xdr:from>
      <xdr:col>25</xdr:col>
      <xdr:colOff>0</xdr:colOff>
      <xdr:row>26</xdr:row>
      <xdr:rowOff>0</xdr:rowOff>
    </xdr:from>
    <xdr:ext cx="914400" cy="228600"/>
    <xdr:pic>
      <xdr:nvPicPr>
        <xdr:cNvPr id="105" name="Control 7" hidden="1">
          <a:extLst>
            <a:ext uri="{FF2B5EF4-FFF2-40B4-BE49-F238E27FC236}">
              <a16:creationId xmlns:a16="http://schemas.microsoft.com/office/drawing/2014/main" id="{3C807421-4322-455F-A9D9-5B97FABFF21C}"/>
            </a:ext>
            <a:ext uri="{147F2762-F138-4A5C-976F-8EAC2B608ADB}">
              <a16:predDERef xmlns:a16="http://schemas.microsoft.com/office/drawing/2014/main" pred="{47D95ABB-D98D-4B4D-B0BD-636A78F054FC}"/>
            </a:ext>
          </a:extLst>
        </xdr:cNvPr>
        <xdr:cNvPicPr>
          <a:picLocks noChangeAspect="1"/>
        </xdr:cNvPicPr>
      </xdr:nvPicPr>
      <xdr:blipFill>
        <a:blip xmlns:r="http://schemas.openxmlformats.org/officeDocument/2006/relationships" r:embed="rId4"/>
        <a:stretch>
          <a:fillRect/>
        </a:stretch>
      </xdr:blipFill>
      <xdr:spPr>
        <a:xfrm>
          <a:off x="32956500" y="35690175"/>
          <a:ext cx="914400" cy="228600"/>
        </a:xfrm>
        <a:prstGeom prst="rect">
          <a:avLst/>
        </a:prstGeom>
      </xdr:spPr>
    </xdr:pic>
    <xdr:clientData/>
  </xdr:oneCellAnchor>
  <xdr:oneCellAnchor>
    <xdr:from>
      <xdr:col>25</xdr:col>
      <xdr:colOff>0</xdr:colOff>
      <xdr:row>26</xdr:row>
      <xdr:rowOff>0</xdr:rowOff>
    </xdr:from>
    <xdr:ext cx="914400" cy="228600"/>
    <xdr:pic>
      <xdr:nvPicPr>
        <xdr:cNvPr id="106" name="Control 8" hidden="1">
          <a:extLst>
            <a:ext uri="{FF2B5EF4-FFF2-40B4-BE49-F238E27FC236}">
              <a16:creationId xmlns:a16="http://schemas.microsoft.com/office/drawing/2014/main" id="{32A0D50D-3D6A-464E-875C-4BB67DAC6AEB}"/>
            </a:ext>
            <a:ext uri="{147F2762-F138-4A5C-976F-8EAC2B608ADB}">
              <a16:predDERef xmlns:a16="http://schemas.microsoft.com/office/drawing/2014/main" pred="{3C807421-4322-455F-A9D9-5B97FABFF21C}"/>
            </a:ext>
          </a:extLst>
        </xdr:cNvPr>
        <xdr:cNvPicPr>
          <a:picLocks noChangeAspect="1"/>
        </xdr:cNvPicPr>
      </xdr:nvPicPr>
      <xdr:blipFill>
        <a:blip xmlns:r="http://schemas.openxmlformats.org/officeDocument/2006/relationships" r:embed="rId5"/>
        <a:stretch>
          <a:fillRect/>
        </a:stretch>
      </xdr:blipFill>
      <xdr:spPr>
        <a:xfrm>
          <a:off x="32956500" y="35690175"/>
          <a:ext cx="914400" cy="228600"/>
        </a:xfrm>
        <a:prstGeom prst="rect">
          <a:avLst/>
        </a:prstGeom>
      </xdr:spPr>
    </xdr:pic>
    <xdr:clientData/>
  </xdr:oneCellAnchor>
  <xdr:oneCellAnchor>
    <xdr:from>
      <xdr:col>25</xdr:col>
      <xdr:colOff>0</xdr:colOff>
      <xdr:row>27</xdr:row>
      <xdr:rowOff>0</xdr:rowOff>
    </xdr:from>
    <xdr:ext cx="914400" cy="228600"/>
    <xdr:pic>
      <xdr:nvPicPr>
        <xdr:cNvPr id="107" name="Control 4" hidden="1">
          <a:extLst>
            <a:ext uri="{FF2B5EF4-FFF2-40B4-BE49-F238E27FC236}">
              <a16:creationId xmlns:a16="http://schemas.microsoft.com/office/drawing/2014/main" id="{6AE7DB01-A852-48A8-8469-9DA6282654F0}"/>
            </a:ext>
            <a:ext uri="{147F2762-F138-4A5C-976F-8EAC2B608ADB}">
              <a16:predDERef xmlns:a16="http://schemas.microsoft.com/office/drawing/2014/main" pred="{32A0D50D-3D6A-464E-875C-4BB67DAC6AEB}"/>
            </a:ext>
          </a:extLst>
        </xdr:cNvPr>
        <xdr:cNvPicPr>
          <a:picLocks noChangeAspect="1"/>
        </xdr:cNvPicPr>
      </xdr:nvPicPr>
      <xdr:blipFill>
        <a:blip xmlns:r="http://schemas.openxmlformats.org/officeDocument/2006/relationships" r:embed="rId1"/>
        <a:stretch>
          <a:fillRect/>
        </a:stretch>
      </xdr:blipFill>
      <xdr:spPr>
        <a:xfrm>
          <a:off x="32956500" y="38071425"/>
          <a:ext cx="914400" cy="228600"/>
        </a:xfrm>
        <a:prstGeom prst="rect">
          <a:avLst/>
        </a:prstGeom>
      </xdr:spPr>
    </xdr:pic>
    <xdr:clientData/>
  </xdr:oneCellAnchor>
  <xdr:oneCellAnchor>
    <xdr:from>
      <xdr:col>25</xdr:col>
      <xdr:colOff>0</xdr:colOff>
      <xdr:row>27</xdr:row>
      <xdr:rowOff>0</xdr:rowOff>
    </xdr:from>
    <xdr:ext cx="914400" cy="228600"/>
    <xdr:pic>
      <xdr:nvPicPr>
        <xdr:cNvPr id="108" name="Control 5" hidden="1">
          <a:extLst>
            <a:ext uri="{FF2B5EF4-FFF2-40B4-BE49-F238E27FC236}">
              <a16:creationId xmlns:a16="http://schemas.microsoft.com/office/drawing/2014/main" id="{15CB0562-DBEC-4EFA-B3FD-E27A0A4E1AC6}"/>
            </a:ext>
            <a:ext uri="{147F2762-F138-4A5C-976F-8EAC2B608ADB}">
              <a16:predDERef xmlns:a16="http://schemas.microsoft.com/office/drawing/2014/main" pred="{6AE7DB01-A852-48A8-8469-9DA6282654F0}"/>
            </a:ext>
          </a:extLst>
        </xdr:cNvPr>
        <xdr:cNvPicPr>
          <a:picLocks noChangeAspect="1"/>
        </xdr:cNvPicPr>
      </xdr:nvPicPr>
      <xdr:blipFill>
        <a:blip xmlns:r="http://schemas.openxmlformats.org/officeDocument/2006/relationships" r:embed="rId2"/>
        <a:stretch>
          <a:fillRect/>
        </a:stretch>
      </xdr:blipFill>
      <xdr:spPr>
        <a:xfrm>
          <a:off x="32956500" y="38071425"/>
          <a:ext cx="914400" cy="228600"/>
        </a:xfrm>
        <a:prstGeom prst="rect">
          <a:avLst/>
        </a:prstGeom>
      </xdr:spPr>
    </xdr:pic>
    <xdr:clientData/>
  </xdr:oneCellAnchor>
  <xdr:oneCellAnchor>
    <xdr:from>
      <xdr:col>25</xdr:col>
      <xdr:colOff>0</xdr:colOff>
      <xdr:row>27</xdr:row>
      <xdr:rowOff>0</xdr:rowOff>
    </xdr:from>
    <xdr:ext cx="914400" cy="228600"/>
    <xdr:pic>
      <xdr:nvPicPr>
        <xdr:cNvPr id="109" name="Control 6" hidden="1">
          <a:extLst>
            <a:ext uri="{FF2B5EF4-FFF2-40B4-BE49-F238E27FC236}">
              <a16:creationId xmlns:a16="http://schemas.microsoft.com/office/drawing/2014/main" id="{C506635C-AE00-448F-BB3D-FC240D7FCECA}"/>
            </a:ext>
            <a:ext uri="{147F2762-F138-4A5C-976F-8EAC2B608ADB}">
              <a16:predDERef xmlns:a16="http://schemas.microsoft.com/office/drawing/2014/main" pred="{15CB0562-DBEC-4EFA-B3FD-E27A0A4E1AC6}"/>
            </a:ext>
          </a:extLst>
        </xdr:cNvPr>
        <xdr:cNvPicPr>
          <a:picLocks noChangeAspect="1"/>
        </xdr:cNvPicPr>
      </xdr:nvPicPr>
      <xdr:blipFill>
        <a:blip xmlns:r="http://schemas.openxmlformats.org/officeDocument/2006/relationships" r:embed="rId3"/>
        <a:stretch>
          <a:fillRect/>
        </a:stretch>
      </xdr:blipFill>
      <xdr:spPr>
        <a:xfrm>
          <a:off x="32956500" y="38071425"/>
          <a:ext cx="914400" cy="228600"/>
        </a:xfrm>
        <a:prstGeom prst="rect">
          <a:avLst/>
        </a:prstGeom>
      </xdr:spPr>
    </xdr:pic>
    <xdr:clientData/>
  </xdr:oneCellAnchor>
  <xdr:oneCellAnchor>
    <xdr:from>
      <xdr:col>25</xdr:col>
      <xdr:colOff>0</xdr:colOff>
      <xdr:row>27</xdr:row>
      <xdr:rowOff>0</xdr:rowOff>
    </xdr:from>
    <xdr:ext cx="914400" cy="228600"/>
    <xdr:pic>
      <xdr:nvPicPr>
        <xdr:cNvPr id="110" name="Control 7" hidden="1">
          <a:extLst>
            <a:ext uri="{FF2B5EF4-FFF2-40B4-BE49-F238E27FC236}">
              <a16:creationId xmlns:a16="http://schemas.microsoft.com/office/drawing/2014/main" id="{62855F9C-C2D8-42FC-89AF-88FB4D585F6C}"/>
            </a:ext>
            <a:ext uri="{147F2762-F138-4A5C-976F-8EAC2B608ADB}">
              <a16:predDERef xmlns:a16="http://schemas.microsoft.com/office/drawing/2014/main" pred="{C506635C-AE00-448F-BB3D-FC240D7FCECA}"/>
            </a:ext>
          </a:extLst>
        </xdr:cNvPr>
        <xdr:cNvPicPr>
          <a:picLocks noChangeAspect="1"/>
        </xdr:cNvPicPr>
      </xdr:nvPicPr>
      <xdr:blipFill>
        <a:blip xmlns:r="http://schemas.openxmlformats.org/officeDocument/2006/relationships" r:embed="rId4"/>
        <a:stretch>
          <a:fillRect/>
        </a:stretch>
      </xdr:blipFill>
      <xdr:spPr>
        <a:xfrm>
          <a:off x="32956500" y="38071425"/>
          <a:ext cx="914400" cy="228600"/>
        </a:xfrm>
        <a:prstGeom prst="rect">
          <a:avLst/>
        </a:prstGeom>
      </xdr:spPr>
    </xdr:pic>
    <xdr:clientData/>
  </xdr:oneCellAnchor>
  <xdr:oneCellAnchor>
    <xdr:from>
      <xdr:col>25</xdr:col>
      <xdr:colOff>0</xdr:colOff>
      <xdr:row>27</xdr:row>
      <xdr:rowOff>0</xdr:rowOff>
    </xdr:from>
    <xdr:ext cx="914400" cy="228600"/>
    <xdr:pic>
      <xdr:nvPicPr>
        <xdr:cNvPr id="111" name="Control 8" hidden="1">
          <a:extLst>
            <a:ext uri="{FF2B5EF4-FFF2-40B4-BE49-F238E27FC236}">
              <a16:creationId xmlns:a16="http://schemas.microsoft.com/office/drawing/2014/main" id="{BBDEB03C-EB1B-4D9A-983E-BB3E3F6F482A}"/>
            </a:ext>
            <a:ext uri="{147F2762-F138-4A5C-976F-8EAC2B608ADB}">
              <a16:predDERef xmlns:a16="http://schemas.microsoft.com/office/drawing/2014/main" pred="{62855F9C-C2D8-42FC-89AF-88FB4D585F6C}"/>
            </a:ext>
          </a:extLst>
        </xdr:cNvPr>
        <xdr:cNvPicPr>
          <a:picLocks noChangeAspect="1"/>
        </xdr:cNvPicPr>
      </xdr:nvPicPr>
      <xdr:blipFill>
        <a:blip xmlns:r="http://schemas.openxmlformats.org/officeDocument/2006/relationships" r:embed="rId5"/>
        <a:stretch>
          <a:fillRect/>
        </a:stretch>
      </xdr:blipFill>
      <xdr:spPr>
        <a:xfrm>
          <a:off x="32956500" y="38071425"/>
          <a:ext cx="914400" cy="228600"/>
        </a:xfrm>
        <a:prstGeom prst="rect">
          <a:avLst/>
        </a:prstGeom>
      </xdr:spPr>
    </xdr:pic>
    <xdr:clientData/>
  </xdr:oneCellAnchor>
  <xdr:oneCellAnchor>
    <xdr:from>
      <xdr:col>25</xdr:col>
      <xdr:colOff>0</xdr:colOff>
      <xdr:row>28</xdr:row>
      <xdr:rowOff>0</xdr:rowOff>
    </xdr:from>
    <xdr:ext cx="914400" cy="228600"/>
    <xdr:pic>
      <xdr:nvPicPr>
        <xdr:cNvPr id="112" name="Control 4" hidden="1">
          <a:extLst>
            <a:ext uri="{FF2B5EF4-FFF2-40B4-BE49-F238E27FC236}">
              <a16:creationId xmlns:a16="http://schemas.microsoft.com/office/drawing/2014/main" id="{87201883-80E5-467B-8801-2D249903D1A1}"/>
            </a:ext>
            <a:ext uri="{147F2762-F138-4A5C-976F-8EAC2B608ADB}">
              <a16:predDERef xmlns:a16="http://schemas.microsoft.com/office/drawing/2014/main" pred="{BBDEB03C-EB1B-4D9A-983E-BB3E3F6F482A}"/>
            </a:ext>
          </a:extLst>
        </xdr:cNvPr>
        <xdr:cNvPicPr>
          <a:picLocks noChangeAspect="1"/>
        </xdr:cNvPicPr>
      </xdr:nvPicPr>
      <xdr:blipFill>
        <a:blip xmlns:r="http://schemas.openxmlformats.org/officeDocument/2006/relationships" r:embed="rId1"/>
        <a:stretch>
          <a:fillRect/>
        </a:stretch>
      </xdr:blipFill>
      <xdr:spPr>
        <a:xfrm>
          <a:off x="32956500" y="38071425"/>
          <a:ext cx="914400" cy="228600"/>
        </a:xfrm>
        <a:prstGeom prst="rect">
          <a:avLst/>
        </a:prstGeom>
      </xdr:spPr>
    </xdr:pic>
    <xdr:clientData/>
  </xdr:oneCellAnchor>
  <xdr:oneCellAnchor>
    <xdr:from>
      <xdr:col>25</xdr:col>
      <xdr:colOff>0</xdr:colOff>
      <xdr:row>28</xdr:row>
      <xdr:rowOff>0</xdr:rowOff>
    </xdr:from>
    <xdr:ext cx="914400" cy="228600"/>
    <xdr:pic>
      <xdr:nvPicPr>
        <xdr:cNvPr id="113" name="Control 5" hidden="1">
          <a:extLst>
            <a:ext uri="{FF2B5EF4-FFF2-40B4-BE49-F238E27FC236}">
              <a16:creationId xmlns:a16="http://schemas.microsoft.com/office/drawing/2014/main" id="{274A3FBC-2DFE-4BA6-A7BE-D9466D601FF4}"/>
            </a:ext>
            <a:ext uri="{147F2762-F138-4A5C-976F-8EAC2B608ADB}">
              <a16:predDERef xmlns:a16="http://schemas.microsoft.com/office/drawing/2014/main" pred="{87201883-80E5-467B-8801-2D249903D1A1}"/>
            </a:ext>
          </a:extLst>
        </xdr:cNvPr>
        <xdr:cNvPicPr>
          <a:picLocks noChangeAspect="1"/>
        </xdr:cNvPicPr>
      </xdr:nvPicPr>
      <xdr:blipFill>
        <a:blip xmlns:r="http://schemas.openxmlformats.org/officeDocument/2006/relationships" r:embed="rId2"/>
        <a:stretch>
          <a:fillRect/>
        </a:stretch>
      </xdr:blipFill>
      <xdr:spPr>
        <a:xfrm>
          <a:off x="32956500" y="38071425"/>
          <a:ext cx="914400" cy="228600"/>
        </a:xfrm>
        <a:prstGeom prst="rect">
          <a:avLst/>
        </a:prstGeom>
      </xdr:spPr>
    </xdr:pic>
    <xdr:clientData/>
  </xdr:oneCellAnchor>
  <xdr:oneCellAnchor>
    <xdr:from>
      <xdr:col>25</xdr:col>
      <xdr:colOff>0</xdr:colOff>
      <xdr:row>28</xdr:row>
      <xdr:rowOff>0</xdr:rowOff>
    </xdr:from>
    <xdr:ext cx="914400" cy="228600"/>
    <xdr:pic>
      <xdr:nvPicPr>
        <xdr:cNvPr id="114" name="Control 6" hidden="1">
          <a:extLst>
            <a:ext uri="{FF2B5EF4-FFF2-40B4-BE49-F238E27FC236}">
              <a16:creationId xmlns:a16="http://schemas.microsoft.com/office/drawing/2014/main" id="{6F8B9A18-FF2D-4389-B1F9-896E73441342}"/>
            </a:ext>
            <a:ext uri="{147F2762-F138-4A5C-976F-8EAC2B608ADB}">
              <a16:predDERef xmlns:a16="http://schemas.microsoft.com/office/drawing/2014/main" pred="{274A3FBC-2DFE-4BA6-A7BE-D9466D601FF4}"/>
            </a:ext>
          </a:extLst>
        </xdr:cNvPr>
        <xdr:cNvPicPr>
          <a:picLocks noChangeAspect="1"/>
        </xdr:cNvPicPr>
      </xdr:nvPicPr>
      <xdr:blipFill>
        <a:blip xmlns:r="http://schemas.openxmlformats.org/officeDocument/2006/relationships" r:embed="rId3"/>
        <a:stretch>
          <a:fillRect/>
        </a:stretch>
      </xdr:blipFill>
      <xdr:spPr>
        <a:xfrm>
          <a:off x="32956500" y="38071425"/>
          <a:ext cx="914400" cy="228600"/>
        </a:xfrm>
        <a:prstGeom prst="rect">
          <a:avLst/>
        </a:prstGeom>
      </xdr:spPr>
    </xdr:pic>
    <xdr:clientData/>
  </xdr:oneCellAnchor>
  <xdr:oneCellAnchor>
    <xdr:from>
      <xdr:col>25</xdr:col>
      <xdr:colOff>0</xdr:colOff>
      <xdr:row>28</xdr:row>
      <xdr:rowOff>0</xdr:rowOff>
    </xdr:from>
    <xdr:ext cx="914400" cy="228600"/>
    <xdr:pic>
      <xdr:nvPicPr>
        <xdr:cNvPr id="115" name="Control 7" hidden="1">
          <a:extLst>
            <a:ext uri="{FF2B5EF4-FFF2-40B4-BE49-F238E27FC236}">
              <a16:creationId xmlns:a16="http://schemas.microsoft.com/office/drawing/2014/main" id="{D6F490DE-BE14-4D06-B442-9501433356E2}"/>
            </a:ext>
            <a:ext uri="{147F2762-F138-4A5C-976F-8EAC2B608ADB}">
              <a16:predDERef xmlns:a16="http://schemas.microsoft.com/office/drawing/2014/main" pred="{6F8B9A18-FF2D-4389-B1F9-896E73441342}"/>
            </a:ext>
          </a:extLst>
        </xdr:cNvPr>
        <xdr:cNvPicPr>
          <a:picLocks noChangeAspect="1"/>
        </xdr:cNvPicPr>
      </xdr:nvPicPr>
      <xdr:blipFill>
        <a:blip xmlns:r="http://schemas.openxmlformats.org/officeDocument/2006/relationships" r:embed="rId4"/>
        <a:stretch>
          <a:fillRect/>
        </a:stretch>
      </xdr:blipFill>
      <xdr:spPr>
        <a:xfrm>
          <a:off x="32956500" y="38071425"/>
          <a:ext cx="914400" cy="228600"/>
        </a:xfrm>
        <a:prstGeom prst="rect">
          <a:avLst/>
        </a:prstGeom>
      </xdr:spPr>
    </xdr:pic>
    <xdr:clientData/>
  </xdr:oneCellAnchor>
  <xdr:oneCellAnchor>
    <xdr:from>
      <xdr:col>25</xdr:col>
      <xdr:colOff>0</xdr:colOff>
      <xdr:row>28</xdr:row>
      <xdr:rowOff>0</xdr:rowOff>
    </xdr:from>
    <xdr:ext cx="914400" cy="228600"/>
    <xdr:pic>
      <xdr:nvPicPr>
        <xdr:cNvPr id="116" name="Control 8" hidden="1">
          <a:extLst>
            <a:ext uri="{FF2B5EF4-FFF2-40B4-BE49-F238E27FC236}">
              <a16:creationId xmlns:a16="http://schemas.microsoft.com/office/drawing/2014/main" id="{C6A956CE-5BC8-453F-A6BC-22900F99E075}"/>
            </a:ext>
            <a:ext uri="{147F2762-F138-4A5C-976F-8EAC2B608ADB}">
              <a16:predDERef xmlns:a16="http://schemas.microsoft.com/office/drawing/2014/main" pred="{D6F490DE-BE14-4D06-B442-9501433356E2}"/>
            </a:ext>
          </a:extLst>
        </xdr:cNvPr>
        <xdr:cNvPicPr>
          <a:picLocks noChangeAspect="1"/>
        </xdr:cNvPicPr>
      </xdr:nvPicPr>
      <xdr:blipFill>
        <a:blip xmlns:r="http://schemas.openxmlformats.org/officeDocument/2006/relationships" r:embed="rId5"/>
        <a:stretch>
          <a:fillRect/>
        </a:stretch>
      </xdr:blipFill>
      <xdr:spPr>
        <a:xfrm>
          <a:off x="32956500" y="38071425"/>
          <a:ext cx="914400" cy="228600"/>
        </a:xfrm>
        <a:prstGeom prst="rect">
          <a:avLst/>
        </a:prstGeom>
      </xdr:spPr>
    </xdr:pic>
    <xdr:clientData/>
  </xdr:oneCellAnchor>
  <xdr:oneCellAnchor>
    <xdr:from>
      <xdr:col>25</xdr:col>
      <xdr:colOff>0</xdr:colOff>
      <xdr:row>30</xdr:row>
      <xdr:rowOff>0</xdr:rowOff>
    </xdr:from>
    <xdr:ext cx="914400" cy="228600"/>
    <xdr:pic>
      <xdr:nvPicPr>
        <xdr:cNvPr id="117" name="Control 4" hidden="1">
          <a:extLst>
            <a:ext uri="{FF2B5EF4-FFF2-40B4-BE49-F238E27FC236}">
              <a16:creationId xmlns:a16="http://schemas.microsoft.com/office/drawing/2014/main" id="{BB5169CF-DB43-4D5D-B567-E554A21DEDF1}"/>
            </a:ext>
            <a:ext uri="{147F2762-F138-4A5C-976F-8EAC2B608ADB}">
              <a16:predDERef xmlns:a16="http://schemas.microsoft.com/office/drawing/2014/main" pred="{C6A956CE-5BC8-453F-A6BC-22900F99E075}"/>
            </a:ext>
          </a:extLst>
        </xdr:cNvPr>
        <xdr:cNvPicPr>
          <a:picLocks noChangeAspect="1"/>
        </xdr:cNvPicPr>
      </xdr:nvPicPr>
      <xdr:blipFill>
        <a:blip xmlns:r="http://schemas.openxmlformats.org/officeDocument/2006/relationships" r:embed="rId1"/>
        <a:stretch>
          <a:fillRect/>
        </a:stretch>
      </xdr:blipFill>
      <xdr:spPr>
        <a:xfrm>
          <a:off x="32956500" y="40452675"/>
          <a:ext cx="914400" cy="228600"/>
        </a:xfrm>
        <a:prstGeom prst="rect">
          <a:avLst/>
        </a:prstGeom>
      </xdr:spPr>
    </xdr:pic>
    <xdr:clientData/>
  </xdr:oneCellAnchor>
  <xdr:oneCellAnchor>
    <xdr:from>
      <xdr:col>25</xdr:col>
      <xdr:colOff>0</xdr:colOff>
      <xdr:row>30</xdr:row>
      <xdr:rowOff>0</xdr:rowOff>
    </xdr:from>
    <xdr:ext cx="914400" cy="228600"/>
    <xdr:pic>
      <xdr:nvPicPr>
        <xdr:cNvPr id="118" name="Control 5" hidden="1">
          <a:extLst>
            <a:ext uri="{FF2B5EF4-FFF2-40B4-BE49-F238E27FC236}">
              <a16:creationId xmlns:a16="http://schemas.microsoft.com/office/drawing/2014/main" id="{6C0E8E13-7F9A-45FC-808F-F832F092E5E2}"/>
            </a:ext>
            <a:ext uri="{147F2762-F138-4A5C-976F-8EAC2B608ADB}">
              <a16:predDERef xmlns:a16="http://schemas.microsoft.com/office/drawing/2014/main" pred="{BB5169CF-DB43-4D5D-B567-E554A21DEDF1}"/>
            </a:ext>
          </a:extLst>
        </xdr:cNvPr>
        <xdr:cNvPicPr>
          <a:picLocks noChangeAspect="1"/>
        </xdr:cNvPicPr>
      </xdr:nvPicPr>
      <xdr:blipFill>
        <a:blip xmlns:r="http://schemas.openxmlformats.org/officeDocument/2006/relationships" r:embed="rId2"/>
        <a:stretch>
          <a:fillRect/>
        </a:stretch>
      </xdr:blipFill>
      <xdr:spPr>
        <a:xfrm>
          <a:off x="32956500" y="40452675"/>
          <a:ext cx="914400" cy="228600"/>
        </a:xfrm>
        <a:prstGeom prst="rect">
          <a:avLst/>
        </a:prstGeom>
      </xdr:spPr>
    </xdr:pic>
    <xdr:clientData/>
  </xdr:oneCellAnchor>
  <xdr:oneCellAnchor>
    <xdr:from>
      <xdr:col>25</xdr:col>
      <xdr:colOff>0</xdr:colOff>
      <xdr:row>30</xdr:row>
      <xdr:rowOff>0</xdr:rowOff>
    </xdr:from>
    <xdr:ext cx="914400" cy="228600"/>
    <xdr:pic>
      <xdr:nvPicPr>
        <xdr:cNvPr id="119" name="Control 6" hidden="1">
          <a:extLst>
            <a:ext uri="{FF2B5EF4-FFF2-40B4-BE49-F238E27FC236}">
              <a16:creationId xmlns:a16="http://schemas.microsoft.com/office/drawing/2014/main" id="{487369F2-C44B-439B-B622-12987AB03160}"/>
            </a:ext>
            <a:ext uri="{147F2762-F138-4A5C-976F-8EAC2B608ADB}">
              <a16:predDERef xmlns:a16="http://schemas.microsoft.com/office/drawing/2014/main" pred="{6C0E8E13-7F9A-45FC-808F-F832F092E5E2}"/>
            </a:ext>
          </a:extLst>
        </xdr:cNvPr>
        <xdr:cNvPicPr>
          <a:picLocks noChangeAspect="1"/>
        </xdr:cNvPicPr>
      </xdr:nvPicPr>
      <xdr:blipFill>
        <a:blip xmlns:r="http://schemas.openxmlformats.org/officeDocument/2006/relationships" r:embed="rId3"/>
        <a:stretch>
          <a:fillRect/>
        </a:stretch>
      </xdr:blipFill>
      <xdr:spPr>
        <a:xfrm>
          <a:off x="32956500" y="40452675"/>
          <a:ext cx="914400" cy="228600"/>
        </a:xfrm>
        <a:prstGeom prst="rect">
          <a:avLst/>
        </a:prstGeom>
      </xdr:spPr>
    </xdr:pic>
    <xdr:clientData/>
  </xdr:oneCellAnchor>
  <xdr:oneCellAnchor>
    <xdr:from>
      <xdr:col>25</xdr:col>
      <xdr:colOff>0</xdr:colOff>
      <xdr:row>30</xdr:row>
      <xdr:rowOff>0</xdr:rowOff>
    </xdr:from>
    <xdr:ext cx="914400" cy="228600"/>
    <xdr:pic>
      <xdr:nvPicPr>
        <xdr:cNvPr id="120" name="Control 7" hidden="1">
          <a:extLst>
            <a:ext uri="{FF2B5EF4-FFF2-40B4-BE49-F238E27FC236}">
              <a16:creationId xmlns:a16="http://schemas.microsoft.com/office/drawing/2014/main" id="{F8BD1E6D-BC47-419E-9F44-364FFDCFC2AC}"/>
            </a:ext>
            <a:ext uri="{147F2762-F138-4A5C-976F-8EAC2B608ADB}">
              <a16:predDERef xmlns:a16="http://schemas.microsoft.com/office/drawing/2014/main" pred="{487369F2-C44B-439B-B622-12987AB03160}"/>
            </a:ext>
          </a:extLst>
        </xdr:cNvPr>
        <xdr:cNvPicPr>
          <a:picLocks noChangeAspect="1"/>
        </xdr:cNvPicPr>
      </xdr:nvPicPr>
      <xdr:blipFill>
        <a:blip xmlns:r="http://schemas.openxmlformats.org/officeDocument/2006/relationships" r:embed="rId4"/>
        <a:stretch>
          <a:fillRect/>
        </a:stretch>
      </xdr:blipFill>
      <xdr:spPr>
        <a:xfrm>
          <a:off x="32956500" y="40452675"/>
          <a:ext cx="914400" cy="228600"/>
        </a:xfrm>
        <a:prstGeom prst="rect">
          <a:avLst/>
        </a:prstGeom>
      </xdr:spPr>
    </xdr:pic>
    <xdr:clientData/>
  </xdr:oneCellAnchor>
  <xdr:oneCellAnchor>
    <xdr:from>
      <xdr:col>25</xdr:col>
      <xdr:colOff>0</xdr:colOff>
      <xdr:row>30</xdr:row>
      <xdr:rowOff>0</xdr:rowOff>
    </xdr:from>
    <xdr:ext cx="914400" cy="228600"/>
    <xdr:pic>
      <xdr:nvPicPr>
        <xdr:cNvPr id="121" name="Control 8" hidden="1">
          <a:extLst>
            <a:ext uri="{FF2B5EF4-FFF2-40B4-BE49-F238E27FC236}">
              <a16:creationId xmlns:a16="http://schemas.microsoft.com/office/drawing/2014/main" id="{F0AF9D1A-B13B-4CB7-9A3F-8563B7A1FA33}"/>
            </a:ext>
            <a:ext uri="{147F2762-F138-4A5C-976F-8EAC2B608ADB}">
              <a16:predDERef xmlns:a16="http://schemas.microsoft.com/office/drawing/2014/main" pred="{F8BD1E6D-BC47-419E-9F44-364FFDCFC2AC}"/>
            </a:ext>
          </a:extLst>
        </xdr:cNvPr>
        <xdr:cNvPicPr>
          <a:picLocks noChangeAspect="1"/>
        </xdr:cNvPicPr>
      </xdr:nvPicPr>
      <xdr:blipFill>
        <a:blip xmlns:r="http://schemas.openxmlformats.org/officeDocument/2006/relationships" r:embed="rId5"/>
        <a:stretch>
          <a:fillRect/>
        </a:stretch>
      </xdr:blipFill>
      <xdr:spPr>
        <a:xfrm>
          <a:off x="32956500" y="40452675"/>
          <a:ext cx="914400" cy="228600"/>
        </a:xfrm>
        <a:prstGeom prst="rect">
          <a:avLst/>
        </a:prstGeom>
      </xdr:spPr>
    </xdr:pic>
    <xdr:clientData/>
  </xdr:oneCellAnchor>
  <xdr:oneCellAnchor>
    <xdr:from>
      <xdr:col>25</xdr:col>
      <xdr:colOff>0</xdr:colOff>
      <xdr:row>31</xdr:row>
      <xdr:rowOff>0</xdr:rowOff>
    </xdr:from>
    <xdr:ext cx="914400" cy="228600"/>
    <xdr:pic>
      <xdr:nvPicPr>
        <xdr:cNvPr id="122" name="Control 4" hidden="1">
          <a:extLst>
            <a:ext uri="{FF2B5EF4-FFF2-40B4-BE49-F238E27FC236}">
              <a16:creationId xmlns:a16="http://schemas.microsoft.com/office/drawing/2014/main" id="{1BCAF9E5-FC7B-4EB3-BEC0-7674910D21F1}"/>
            </a:ext>
            <a:ext uri="{147F2762-F138-4A5C-976F-8EAC2B608ADB}">
              <a16:predDERef xmlns:a16="http://schemas.microsoft.com/office/drawing/2014/main" pred="{F0AF9D1A-B13B-4CB7-9A3F-8563B7A1FA33}"/>
            </a:ext>
          </a:extLst>
        </xdr:cNvPr>
        <xdr:cNvPicPr>
          <a:picLocks noChangeAspect="1"/>
        </xdr:cNvPicPr>
      </xdr:nvPicPr>
      <xdr:blipFill>
        <a:blip xmlns:r="http://schemas.openxmlformats.org/officeDocument/2006/relationships" r:embed="rId1"/>
        <a:stretch>
          <a:fillRect/>
        </a:stretch>
      </xdr:blipFill>
      <xdr:spPr>
        <a:xfrm>
          <a:off x="32956500" y="42833925"/>
          <a:ext cx="914400" cy="228600"/>
        </a:xfrm>
        <a:prstGeom prst="rect">
          <a:avLst/>
        </a:prstGeom>
      </xdr:spPr>
    </xdr:pic>
    <xdr:clientData/>
  </xdr:oneCellAnchor>
  <xdr:oneCellAnchor>
    <xdr:from>
      <xdr:col>25</xdr:col>
      <xdr:colOff>0</xdr:colOff>
      <xdr:row>31</xdr:row>
      <xdr:rowOff>0</xdr:rowOff>
    </xdr:from>
    <xdr:ext cx="914400" cy="228600"/>
    <xdr:pic>
      <xdr:nvPicPr>
        <xdr:cNvPr id="123" name="Control 5" hidden="1">
          <a:extLst>
            <a:ext uri="{FF2B5EF4-FFF2-40B4-BE49-F238E27FC236}">
              <a16:creationId xmlns:a16="http://schemas.microsoft.com/office/drawing/2014/main" id="{2CC8ED42-31A6-40EF-8C05-9163A5E88170}"/>
            </a:ext>
            <a:ext uri="{147F2762-F138-4A5C-976F-8EAC2B608ADB}">
              <a16:predDERef xmlns:a16="http://schemas.microsoft.com/office/drawing/2014/main" pred="{1BCAF9E5-FC7B-4EB3-BEC0-7674910D21F1}"/>
            </a:ext>
          </a:extLst>
        </xdr:cNvPr>
        <xdr:cNvPicPr>
          <a:picLocks noChangeAspect="1"/>
        </xdr:cNvPicPr>
      </xdr:nvPicPr>
      <xdr:blipFill>
        <a:blip xmlns:r="http://schemas.openxmlformats.org/officeDocument/2006/relationships" r:embed="rId2"/>
        <a:stretch>
          <a:fillRect/>
        </a:stretch>
      </xdr:blipFill>
      <xdr:spPr>
        <a:xfrm>
          <a:off x="32956500" y="42833925"/>
          <a:ext cx="914400" cy="228600"/>
        </a:xfrm>
        <a:prstGeom prst="rect">
          <a:avLst/>
        </a:prstGeom>
      </xdr:spPr>
    </xdr:pic>
    <xdr:clientData/>
  </xdr:oneCellAnchor>
  <xdr:oneCellAnchor>
    <xdr:from>
      <xdr:col>25</xdr:col>
      <xdr:colOff>0</xdr:colOff>
      <xdr:row>31</xdr:row>
      <xdr:rowOff>0</xdr:rowOff>
    </xdr:from>
    <xdr:ext cx="914400" cy="228600"/>
    <xdr:pic>
      <xdr:nvPicPr>
        <xdr:cNvPr id="124" name="Control 6" hidden="1">
          <a:extLst>
            <a:ext uri="{FF2B5EF4-FFF2-40B4-BE49-F238E27FC236}">
              <a16:creationId xmlns:a16="http://schemas.microsoft.com/office/drawing/2014/main" id="{B9F13AD0-6600-49D1-915B-6F66378EE100}"/>
            </a:ext>
            <a:ext uri="{147F2762-F138-4A5C-976F-8EAC2B608ADB}">
              <a16:predDERef xmlns:a16="http://schemas.microsoft.com/office/drawing/2014/main" pred="{2CC8ED42-31A6-40EF-8C05-9163A5E88170}"/>
            </a:ext>
          </a:extLst>
        </xdr:cNvPr>
        <xdr:cNvPicPr>
          <a:picLocks noChangeAspect="1"/>
        </xdr:cNvPicPr>
      </xdr:nvPicPr>
      <xdr:blipFill>
        <a:blip xmlns:r="http://schemas.openxmlformats.org/officeDocument/2006/relationships" r:embed="rId3"/>
        <a:stretch>
          <a:fillRect/>
        </a:stretch>
      </xdr:blipFill>
      <xdr:spPr>
        <a:xfrm>
          <a:off x="32956500" y="42833925"/>
          <a:ext cx="914400" cy="228600"/>
        </a:xfrm>
        <a:prstGeom prst="rect">
          <a:avLst/>
        </a:prstGeom>
      </xdr:spPr>
    </xdr:pic>
    <xdr:clientData/>
  </xdr:oneCellAnchor>
  <xdr:oneCellAnchor>
    <xdr:from>
      <xdr:col>25</xdr:col>
      <xdr:colOff>0</xdr:colOff>
      <xdr:row>31</xdr:row>
      <xdr:rowOff>0</xdr:rowOff>
    </xdr:from>
    <xdr:ext cx="914400" cy="228600"/>
    <xdr:pic>
      <xdr:nvPicPr>
        <xdr:cNvPr id="125" name="Control 7" hidden="1">
          <a:extLst>
            <a:ext uri="{FF2B5EF4-FFF2-40B4-BE49-F238E27FC236}">
              <a16:creationId xmlns:a16="http://schemas.microsoft.com/office/drawing/2014/main" id="{FDEA7C88-C2B6-4E09-9982-3E2134CDCECB}"/>
            </a:ext>
            <a:ext uri="{147F2762-F138-4A5C-976F-8EAC2B608ADB}">
              <a16:predDERef xmlns:a16="http://schemas.microsoft.com/office/drawing/2014/main" pred="{B9F13AD0-6600-49D1-915B-6F66378EE100}"/>
            </a:ext>
          </a:extLst>
        </xdr:cNvPr>
        <xdr:cNvPicPr>
          <a:picLocks noChangeAspect="1"/>
        </xdr:cNvPicPr>
      </xdr:nvPicPr>
      <xdr:blipFill>
        <a:blip xmlns:r="http://schemas.openxmlformats.org/officeDocument/2006/relationships" r:embed="rId4"/>
        <a:stretch>
          <a:fillRect/>
        </a:stretch>
      </xdr:blipFill>
      <xdr:spPr>
        <a:xfrm>
          <a:off x="32956500" y="42833925"/>
          <a:ext cx="914400" cy="228600"/>
        </a:xfrm>
        <a:prstGeom prst="rect">
          <a:avLst/>
        </a:prstGeom>
      </xdr:spPr>
    </xdr:pic>
    <xdr:clientData/>
  </xdr:oneCellAnchor>
  <xdr:oneCellAnchor>
    <xdr:from>
      <xdr:col>25</xdr:col>
      <xdr:colOff>0</xdr:colOff>
      <xdr:row>31</xdr:row>
      <xdr:rowOff>0</xdr:rowOff>
    </xdr:from>
    <xdr:ext cx="914400" cy="228600"/>
    <xdr:pic>
      <xdr:nvPicPr>
        <xdr:cNvPr id="126" name="Control 8" hidden="1">
          <a:extLst>
            <a:ext uri="{FF2B5EF4-FFF2-40B4-BE49-F238E27FC236}">
              <a16:creationId xmlns:a16="http://schemas.microsoft.com/office/drawing/2014/main" id="{3F5724D6-DB2C-47A2-B5EC-A56E45BED032}"/>
            </a:ext>
            <a:ext uri="{147F2762-F138-4A5C-976F-8EAC2B608ADB}">
              <a16:predDERef xmlns:a16="http://schemas.microsoft.com/office/drawing/2014/main" pred="{FDEA7C88-C2B6-4E09-9982-3E2134CDCECB}"/>
            </a:ext>
          </a:extLst>
        </xdr:cNvPr>
        <xdr:cNvPicPr>
          <a:picLocks noChangeAspect="1"/>
        </xdr:cNvPicPr>
      </xdr:nvPicPr>
      <xdr:blipFill>
        <a:blip xmlns:r="http://schemas.openxmlformats.org/officeDocument/2006/relationships" r:embed="rId5"/>
        <a:stretch>
          <a:fillRect/>
        </a:stretch>
      </xdr:blipFill>
      <xdr:spPr>
        <a:xfrm>
          <a:off x="32956500" y="42833925"/>
          <a:ext cx="914400" cy="228600"/>
        </a:xfrm>
        <a:prstGeom prst="rect">
          <a:avLst/>
        </a:prstGeom>
      </xdr:spPr>
    </xdr:pic>
    <xdr:clientData/>
  </xdr:oneCellAnchor>
  <xdr:oneCellAnchor>
    <xdr:from>
      <xdr:col>25</xdr:col>
      <xdr:colOff>0</xdr:colOff>
      <xdr:row>32</xdr:row>
      <xdr:rowOff>0</xdr:rowOff>
    </xdr:from>
    <xdr:ext cx="914400" cy="228600"/>
    <xdr:pic>
      <xdr:nvPicPr>
        <xdr:cNvPr id="72" name="Control 4" hidden="1">
          <a:extLst>
            <a:ext uri="{FF2B5EF4-FFF2-40B4-BE49-F238E27FC236}">
              <a16:creationId xmlns:a16="http://schemas.microsoft.com/office/drawing/2014/main" id="{C38B622C-4A5D-4EBF-BD9F-4AD319134224}"/>
            </a:ext>
            <a:ext uri="{147F2762-F138-4A5C-976F-8EAC2B608ADB}">
              <a16:predDERef xmlns:a16="http://schemas.microsoft.com/office/drawing/2014/main" pred="{3F5724D6-DB2C-47A2-B5EC-A56E45BED032}"/>
            </a:ext>
          </a:extLst>
        </xdr:cNvPr>
        <xdr:cNvPicPr>
          <a:picLocks noChangeAspect="1"/>
        </xdr:cNvPicPr>
      </xdr:nvPicPr>
      <xdr:blipFill>
        <a:blip xmlns:r="http://schemas.openxmlformats.org/officeDocument/2006/relationships" r:embed="rId1"/>
        <a:stretch>
          <a:fillRect/>
        </a:stretch>
      </xdr:blipFill>
      <xdr:spPr>
        <a:xfrm>
          <a:off x="32956500" y="43624500"/>
          <a:ext cx="914400" cy="228600"/>
        </a:xfrm>
        <a:prstGeom prst="rect">
          <a:avLst/>
        </a:prstGeom>
      </xdr:spPr>
    </xdr:pic>
    <xdr:clientData/>
  </xdr:oneCellAnchor>
  <xdr:oneCellAnchor>
    <xdr:from>
      <xdr:col>25</xdr:col>
      <xdr:colOff>0</xdr:colOff>
      <xdr:row>32</xdr:row>
      <xdr:rowOff>0</xdr:rowOff>
    </xdr:from>
    <xdr:ext cx="914400" cy="228600"/>
    <xdr:pic>
      <xdr:nvPicPr>
        <xdr:cNvPr id="73" name="Control 5" hidden="1">
          <a:extLst>
            <a:ext uri="{FF2B5EF4-FFF2-40B4-BE49-F238E27FC236}">
              <a16:creationId xmlns:a16="http://schemas.microsoft.com/office/drawing/2014/main" id="{14638417-14BF-44A4-90BB-DA5A6D9F89B0}"/>
            </a:ext>
            <a:ext uri="{147F2762-F138-4A5C-976F-8EAC2B608ADB}">
              <a16:predDERef xmlns:a16="http://schemas.microsoft.com/office/drawing/2014/main" pred="{C38B622C-4A5D-4EBF-BD9F-4AD319134224}"/>
            </a:ext>
          </a:extLst>
        </xdr:cNvPr>
        <xdr:cNvPicPr>
          <a:picLocks noChangeAspect="1"/>
        </xdr:cNvPicPr>
      </xdr:nvPicPr>
      <xdr:blipFill>
        <a:blip xmlns:r="http://schemas.openxmlformats.org/officeDocument/2006/relationships" r:embed="rId2"/>
        <a:stretch>
          <a:fillRect/>
        </a:stretch>
      </xdr:blipFill>
      <xdr:spPr>
        <a:xfrm>
          <a:off x="32956500" y="43624500"/>
          <a:ext cx="914400" cy="228600"/>
        </a:xfrm>
        <a:prstGeom prst="rect">
          <a:avLst/>
        </a:prstGeom>
      </xdr:spPr>
    </xdr:pic>
    <xdr:clientData/>
  </xdr:oneCellAnchor>
  <xdr:oneCellAnchor>
    <xdr:from>
      <xdr:col>25</xdr:col>
      <xdr:colOff>0</xdr:colOff>
      <xdr:row>32</xdr:row>
      <xdr:rowOff>0</xdr:rowOff>
    </xdr:from>
    <xdr:ext cx="914400" cy="228600"/>
    <xdr:pic>
      <xdr:nvPicPr>
        <xdr:cNvPr id="74" name="Control 6" hidden="1">
          <a:extLst>
            <a:ext uri="{FF2B5EF4-FFF2-40B4-BE49-F238E27FC236}">
              <a16:creationId xmlns:a16="http://schemas.microsoft.com/office/drawing/2014/main" id="{9DB1F225-127D-48B1-BDE7-F68E88EFAC44}"/>
            </a:ext>
            <a:ext uri="{147F2762-F138-4A5C-976F-8EAC2B608ADB}">
              <a16:predDERef xmlns:a16="http://schemas.microsoft.com/office/drawing/2014/main" pred="{14638417-14BF-44A4-90BB-DA5A6D9F89B0}"/>
            </a:ext>
          </a:extLst>
        </xdr:cNvPr>
        <xdr:cNvPicPr>
          <a:picLocks noChangeAspect="1"/>
        </xdr:cNvPicPr>
      </xdr:nvPicPr>
      <xdr:blipFill>
        <a:blip xmlns:r="http://schemas.openxmlformats.org/officeDocument/2006/relationships" r:embed="rId3"/>
        <a:stretch>
          <a:fillRect/>
        </a:stretch>
      </xdr:blipFill>
      <xdr:spPr>
        <a:xfrm>
          <a:off x="32956500" y="43624500"/>
          <a:ext cx="914400" cy="228600"/>
        </a:xfrm>
        <a:prstGeom prst="rect">
          <a:avLst/>
        </a:prstGeom>
      </xdr:spPr>
    </xdr:pic>
    <xdr:clientData/>
  </xdr:oneCellAnchor>
  <xdr:oneCellAnchor>
    <xdr:from>
      <xdr:col>25</xdr:col>
      <xdr:colOff>0</xdr:colOff>
      <xdr:row>32</xdr:row>
      <xdr:rowOff>0</xdr:rowOff>
    </xdr:from>
    <xdr:ext cx="914400" cy="228600"/>
    <xdr:pic>
      <xdr:nvPicPr>
        <xdr:cNvPr id="75" name="Control 7" hidden="1">
          <a:extLst>
            <a:ext uri="{FF2B5EF4-FFF2-40B4-BE49-F238E27FC236}">
              <a16:creationId xmlns:a16="http://schemas.microsoft.com/office/drawing/2014/main" id="{F73A36F2-96E8-47D8-9046-93DDBDD15DCD}"/>
            </a:ext>
            <a:ext uri="{147F2762-F138-4A5C-976F-8EAC2B608ADB}">
              <a16:predDERef xmlns:a16="http://schemas.microsoft.com/office/drawing/2014/main" pred="{9DB1F225-127D-48B1-BDE7-F68E88EFAC44}"/>
            </a:ext>
          </a:extLst>
        </xdr:cNvPr>
        <xdr:cNvPicPr>
          <a:picLocks noChangeAspect="1"/>
        </xdr:cNvPicPr>
      </xdr:nvPicPr>
      <xdr:blipFill>
        <a:blip xmlns:r="http://schemas.openxmlformats.org/officeDocument/2006/relationships" r:embed="rId4"/>
        <a:stretch>
          <a:fillRect/>
        </a:stretch>
      </xdr:blipFill>
      <xdr:spPr>
        <a:xfrm>
          <a:off x="32956500" y="43624500"/>
          <a:ext cx="914400" cy="228600"/>
        </a:xfrm>
        <a:prstGeom prst="rect">
          <a:avLst/>
        </a:prstGeom>
      </xdr:spPr>
    </xdr:pic>
    <xdr:clientData/>
  </xdr:oneCellAnchor>
  <xdr:oneCellAnchor>
    <xdr:from>
      <xdr:col>25</xdr:col>
      <xdr:colOff>0</xdr:colOff>
      <xdr:row>32</xdr:row>
      <xdr:rowOff>0</xdr:rowOff>
    </xdr:from>
    <xdr:ext cx="914400" cy="228600"/>
    <xdr:pic>
      <xdr:nvPicPr>
        <xdr:cNvPr id="76" name="Control 8" hidden="1">
          <a:extLst>
            <a:ext uri="{FF2B5EF4-FFF2-40B4-BE49-F238E27FC236}">
              <a16:creationId xmlns:a16="http://schemas.microsoft.com/office/drawing/2014/main" id="{76CFA3B7-E470-4390-89C7-6F5626E24029}"/>
            </a:ext>
            <a:ext uri="{147F2762-F138-4A5C-976F-8EAC2B608ADB}">
              <a16:predDERef xmlns:a16="http://schemas.microsoft.com/office/drawing/2014/main" pred="{F73A36F2-96E8-47D8-9046-93DDBDD15DCD}"/>
            </a:ext>
          </a:extLst>
        </xdr:cNvPr>
        <xdr:cNvPicPr>
          <a:picLocks noChangeAspect="1"/>
        </xdr:cNvPicPr>
      </xdr:nvPicPr>
      <xdr:blipFill>
        <a:blip xmlns:r="http://schemas.openxmlformats.org/officeDocument/2006/relationships" r:embed="rId5"/>
        <a:stretch>
          <a:fillRect/>
        </a:stretch>
      </xdr:blipFill>
      <xdr:spPr>
        <a:xfrm>
          <a:off x="32956500" y="43624500"/>
          <a:ext cx="914400" cy="228600"/>
        </a:xfrm>
        <a:prstGeom prst="rect">
          <a:avLst/>
        </a:prstGeom>
      </xdr:spPr>
    </xdr:pic>
    <xdr:clientData/>
  </xdr:oneCellAnchor>
  <xdr:oneCellAnchor>
    <xdr:from>
      <xdr:col>25</xdr:col>
      <xdr:colOff>0</xdr:colOff>
      <xdr:row>33</xdr:row>
      <xdr:rowOff>0</xdr:rowOff>
    </xdr:from>
    <xdr:ext cx="914400" cy="228600"/>
    <xdr:pic>
      <xdr:nvPicPr>
        <xdr:cNvPr id="127" name="Control 4" hidden="1">
          <a:extLst>
            <a:ext uri="{FF2B5EF4-FFF2-40B4-BE49-F238E27FC236}">
              <a16:creationId xmlns:a16="http://schemas.microsoft.com/office/drawing/2014/main" id="{CFEEEE29-028E-49B4-A4B3-2CAA492DFABC}"/>
            </a:ext>
            <a:ext uri="{147F2762-F138-4A5C-976F-8EAC2B608ADB}">
              <a16:predDERef xmlns:a16="http://schemas.microsoft.com/office/drawing/2014/main" pred="{76CFA3B7-E470-4390-89C7-6F5626E24029}"/>
            </a:ext>
          </a:extLst>
        </xdr:cNvPr>
        <xdr:cNvPicPr>
          <a:picLocks noChangeAspect="1"/>
        </xdr:cNvPicPr>
      </xdr:nvPicPr>
      <xdr:blipFill>
        <a:blip xmlns:r="http://schemas.openxmlformats.org/officeDocument/2006/relationships" r:embed="rId1"/>
        <a:stretch>
          <a:fillRect/>
        </a:stretch>
      </xdr:blipFill>
      <xdr:spPr>
        <a:xfrm>
          <a:off x="32956500" y="43624500"/>
          <a:ext cx="914400" cy="228600"/>
        </a:xfrm>
        <a:prstGeom prst="rect">
          <a:avLst/>
        </a:prstGeom>
      </xdr:spPr>
    </xdr:pic>
    <xdr:clientData/>
  </xdr:oneCellAnchor>
  <xdr:oneCellAnchor>
    <xdr:from>
      <xdr:col>25</xdr:col>
      <xdr:colOff>0</xdr:colOff>
      <xdr:row>33</xdr:row>
      <xdr:rowOff>0</xdr:rowOff>
    </xdr:from>
    <xdr:ext cx="914400" cy="228600"/>
    <xdr:pic>
      <xdr:nvPicPr>
        <xdr:cNvPr id="128" name="Control 5" hidden="1">
          <a:extLst>
            <a:ext uri="{FF2B5EF4-FFF2-40B4-BE49-F238E27FC236}">
              <a16:creationId xmlns:a16="http://schemas.microsoft.com/office/drawing/2014/main" id="{B8F87631-F950-46D9-8E02-A5D5626487BE}"/>
            </a:ext>
            <a:ext uri="{147F2762-F138-4A5C-976F-8EAC2B608ADB}">
              <a16:predDERef xmlns:a16="http://schemas.microsoft.com/office/drawing/2014/main" pred="{CFEEEE29-028E-49B4-A4B3-2CAA492DFABC}"/>
            </a:ext>
          </a:extLst>
        </xdr:cNvPr>
        <xdr:cNvPicPr>
          <a:picLocks noChangeAspect="1"/>
        </xdr:cNvPicPr>
      </xdr:nvPicPr>
      <xdr:blipFill>
        <a:blip xmlns:r="http://schemas.openxmlformats.org/officeDocument/2006/relationships" r:embed="rId2"/>
        <a:stretch>
          <a:fillRect/>
        </a:stretch>
      </xdr:blipFill>
      <xdr:spPr>
        <a:xfrm>
          <a:off x="32956500" y="43624500"/>
          <a:ext cx="914400" cy="228600"/>
        </a:xfrm>
        <a:prstGeom prst="rect">
          <a:avLst/>
        </a:prstGeom>
      </xdr:spPr>
    </xdr:pic>
    <xdr:clientData/>
  </xdr:oneCellAnchor>
  <xdr:oneCellAnchor>
    <xdr:from>
      <xdr:col>25</xdr:col>
      <xdr:colOff>0</xdr:colOff>
      <xdr:row>33</xdr:row>
      <xdr:rowOff>0</xdr:rowOff>
    </xdr:from>
    <xdr:ext cx="914400" cy="228600"/>
    <xdr:pic>
      <xdr:nvPicPr>
        <xdr:cNvPr id="129" name="Control 6" hidden="1">
          <a:extLst>
            <a:ext uri="{FF2B5EF4-FFF2-40B4-BE49-F238E27FC236}">
              <a16:creationId xmlns:a16="http://schemas.microsoft.com/office/drawing/2014/main" id="{B6DE8D05-0EA9-403A-A2F7-D749BAD5EAC0}"/>
            </a:ext>
            <a:ext uri="{147F2762-F138-4A5C-976F-8EAC2B608ADB}">
              <a16:predDERef xmlns:a16="http://schemas.microsoft.com/office/drawing/2014/main" pred="{B8F87631-F950-46D9-8E02-A5D5626487BE}"/>
            </a:ext>
          </a:extLst>
        </xdr:cNvPr>
        <xdr:cNvPicPr>
          <a:picLocks noChangeAspect="1"/>
        </xdr:cNvPicPr>
      </xdr:nvPicPr>
      <xdr:blipFill>
        <a:blip xmlns:r="http://schemas.openxmlformats.org/officeDocument/2006/relationships" r:embed="rId3"/>
        <a:stretch>
          <a:fillRect/>
        </a:stretch>
      </xdr:blipFill>
      <xdr:spPr>
        <a:xfrm>
          <a:off x="32956500" y="43624500"/>
          <a:ext cx="914400" cy="228600"/>
        </a:xfrm>
        <a:prstGeom prst="rect">
          <a:avLst/>
        </a:prstGeom>
      </xdr:spPr>
    </xdr:pic>
    <xdr:clientData/>
  </xdr:oneCellAnchor>
  <xdr:oneCellAnchor>
    <xdr:from>
      <xdr:col>25</xdr:col>
      <xdr:colOff>0</xdr:colOff>
      <xdr:row>33</xdr:row>
      <xdr:rowOff>0</xdr:rowOff>
    </xdr:from>
    <xdr:ext cx="914400" cy="228600"/>
    <xdr:pic>
      <xdr:nvPicPr>
        <xdr:cNvPr id="130" name="Control 7" hidden="1">
          <a:extLst>
            <a:ext uri="{FF2B5EF4-FFF2-40B4-BE49-F238E27FC236}">
              <a16:creationId xmlns:a16="http://schemas.microsoft.com/office/drawing/2014/main" id="{5FD6F681-0778-4A9E-8AA1-D70DC01EFA01}"/>
            </a:ext>
            <a:ext uri="{147F2762-F138-4A5C-976F-8EAC2B608ADB}">
              <a16:predDERef xmlns:a16="http://schemas.microsoft.com/office/drawing/2014/main" pred="{B6DE8D05-0EA9-403A-A2F7-D749BAD5EAC0}"/>
            </a:ext>
          </a:extLst>
        </xdr:cNvPr>
        <xdr:cNvPicPr>
          <a:picLocks noChangeAspect="1"/>
        </xdr:cNvPicPr>
      </xdr:nvPicPr>
      <xdr:blipFill>
        <a:blip xmlns:r="http://schemas.openxmlformats.org/officeDocument/2006/relationships" r:embed="rId4"/>
        <a:stretch>
          <a:fillRect/>
        </a:stretch>
      </xdr:blipFill>
      <xdr:spPr>
        <a:xfrm>
          <a:off x="32956500" y="43624500"/>
          <a:ext cx="914400" cy="228600"/>
        </a:xfrm>
        <a:prstGeom prst="rect">
          <a:avLst/>
        </a:prstGeom>
      </xdr:spPr>
    </xdr:pic>
    <xdr:clientData/>
  </xdr:oneCellAnchor>
  <xdr:oneCellAnchor>
    <xdr:from>
      <xdr:col>25</xdr:col>
      <xdr:colOff>0</xdr:colOff>
      <xdr:row>33</xdr:row>
      <xdr:rowOff>0</xdr:rowOff>
    </xdr:from>
    <xdr:ext cx="914400" cy="228600"/>
    <xdr:pic>
      <xdr:nvPicPr>
        <xdr:cNvPr id="131" name="Control 8" hidden="1">
          <a:extLst>
            <a:ext uri="{FF2B5EF4-FFF2-40B4-BE49-F238E27FC236}">
              <a16:creationId xmlns:a16="http://schemas.microsoft.com/office/drawing/2014/main" id="{60018C1D-99A2-479A-972D-3EE82A309622}"/>
            </a:ext>
            <a:ext uri="{147F2762-F138-4A5C-976F-8EAC2B608ADB}">
              <a16:predDERef xmlns:a16="http://schemas.microsoft.com/office/drawing/2014/main" pred="{5FD6F681-0778-4A9E-8AA1-D70DC01EFA01}"/>
            </a:ext>
          </a:extLst>
        </xdr:cNvPr>
        <xdr:cNvPicPr>
          <a:picLocks noChangeAspect="1"/>
        </xdr:cNvPicPr>
      </xdr:nvPicPr>
      <xdr:blipFill>
        <a:blip xmlns:r="http://schemas.openxmlformats.org/officeDocument/2006/relationships" r:embed="rId5"/>
        <a:stretch>
          <a:fillRect/>
        </a:stretch>
      </xdr:blipFill>
      <xdr:spPr>
        <a:xfrm>
          <a:off x="32956500" y="43624500"/>
          <a:ext cx="914400" cy="228600"/>
        </a:xfrm>
        <a:prstGeom prst="rect">
          <a:avLst/>
        </a:prstGeom>
      </xdr:spPr>
    </xdr:pic>
    <xdr:clientData/>
  </xdr:oneCellAnchor>
  <xdr:oneCellAnchor>
    <xdr:from>
      <xdr:col>25</xdr:col>
      <xdr:colOff>0</xdr:colOff>
      <xdr:row>34</xdr:row>
      <xdr:rowOff>0</xdr:rowOff>
    </xdr:from>
    <xdr:ext cx="914400" cy="228600"/>
    <xdr:pic>
      <xdr:nvPicPr>
        <xdr:cNvPr id="132" name="Control 4" hidden="1">
          <a:extLst>
            <a:ext uri="{FF2B5EF4-FFF2-40B4-BE49-F238E27FC236}">
              <a16:creationId xmlns:a16="http://schemas.microsoft.com/office/drawing/2014/main" id="{9B67F6EB-A679-4636-921B-85BE146ABE26}"/>
            </a:ext>
            <a:ext uri="{147F2762-F138-4A5C-976F-8EAC2B608ADB}">
              <a16:predDERef xmlns:a16="http://schemas.microsoft.com/office/drawing/2014/main" pred="{60018C1D-99A2-479A-972D-3EE82A309622}"/>
            </a:ext>
          </a:extLst>
        </xdr:cNvPr>
        <xdr:cNvPicPr>
          <a:picLocks noChangeAspect="1"/>
        </xdr:cNvPicPr>
      </xdr:nvPicPr>
      <xdr:blipFill>
        <a:blip xmlns:r="http://schemas.openxmlformats.org/officeDocument/2006/relationships" r:embed="rId1"/>
        <a:stretch>
          <a:fillRect/>
        </a:stretch>
      </xdr:blipFill>
      <xdr:spPr>
        <a:xfrm>
          <a:off x="32956500" y="43624500"/>
          <a:ext cx="914400" cy="228600"/>
        </a:xfrm>
        <a:prstGeom prst="rect">
          <a:avLst/>
        </a:prstGeom>
      </xdr:spPr>
    </xdr:pic>
    <xdr:clientData/>
  </xdr:oneCellAnchor>
  <xdr:oneCellAnchor>
    <xdr:from>
      <xdr:col>25</xdr:col>
      <xdr:colOff>0</xdr:colOff>
      <xdr:row>34</xdr:row>
      <xdr:rowOff>0</xdr:rowOff>
    </xdr:from>
    <xdr:ext cx="914400" cy="228600"/>
    <xdr:pic>
      <xdr:nvPicPr>
        <xdr:cNvPr id="133" name="Control 5" hidden="1">
          <a:extLst>
            <a:ext uri="{FF2B5EF4-FFF2-40B4-BE49-F238E27FC236}">
              <a16:creationId xmlns:a16="http://schemas.microsoft.com/office/drawing/2014/main" id="{C799E622-FFC0-454A-BA83-B8A73F59012F}"/>
            </a:ext>
            <a:ext uri="{147F2762-F138-4A5C-976F-8EAC2B608ADB}">
              <a16:predDERef xmlns:a16="http://schemas.microsoft.com/office/drawing/2014/main" pred="{9B67F6EB-A679-4636-921B-85BE146ABE26}"/>
            </a:ext>
          </a:extLst>
        </xdr:cNvPr>
        <xdr:cNvPicPr>
          <a:picLocks noChangeAspect="1"/>
        </xdr:cNvPicPr>
      </xdr:nvPicPr>
      <xdr:blipFill>
        <a:blip xmlns:r="http://schemas.openxmlformats.org/officeDocument/2006/relationships" r:embed="rId2"/>
        <a:stretch>
          <a:fillRect/>
        </a:stretch>
      </xdr:blipFill>
      <xdr:spPr>
        <a:xfrm>
          <a:off x="32956500" y="43624500"/>
          <a:ext cx="914400" cy="228600"/>
        </a:xfrm>
        <a:prstGeom prst="rect">
          <a:avLst/>
        </a:prstGeom>
      </xdr:spPr>
    </xdr:pic>
    <xdr:clientData/>
  </xdr:oneCellAnchor>
  <xdr:oneCellAnchor>
    <xdr:from>
      <xdr:col>25</xdr:col>
      <xdr:colOff>0</xdr:colOff>
      <xdr:row>34</xdr:row>
      <xdr:rowOff>0</xdr:rowOff>
    </xdr:from>
    <xdr:ext cx="914400" cy="228600"/>
    <xdr:pic>
      <xdr:nvPicPr>
        <xdr:cNvPr id="134" name="Control 6" hidden="1">
          <a:extLst>
            <a:ext uri="{FF2B5EF4-FFF2-40B4-BE49-F238E27FC236}">
              <a16:creationId xmlns:a16="http://schemas.microsoft.com/office/drawing/2014/main" id="{B528A83B-87A5-45AC-8D76-63CC0063C4DC}"/>
            </a:ext>
            <a:ext uri="{147F2762-F138-4A5C-976F-8EAC2B608ADB}">
              <a16:predDERef xmlns:a16="http://schemas.microsoft.com/office/drawing/2014/main" pred="{C799E622-FFC0-454A-BA83-B8A73F59012F}"/>
            </a:ext>
          </a:extLst>
        </xdr:cNvPr>
        <xdr:cNvPicPr>
          <a:picLocks noChangeAspect="1"/>
        </xdr:cNvPicPr>
      </xdr:nvPicPr>
      <xdr:blipFill>
        <a:blip xmlns:r="http://schemas.openxmlformats.org/officeDocument/2006/relationships" r:embed="rId3"/>
        <a:stretch>
          <a:fillRect/>
        </a:stretch>
      </xdr:blipFill>
      <xdr:spPr>
        <a:xfrm>
          <a:off x="32956500" y="43624500"/>
          <a:ext cx="914400" cy="228600"/>
        </a:xfrm>
        <a:prstGeom prst="rect">
          <a:avLst/>
        </a:prstGeom>
      </xdr:spPr>
    </xdr:pic>
    <xdr:clientData/>
  </xdr:oneCellAnchor>
  <xdr:oneCellAnchor>
    <xdr:from>
      <xdr:col>25</xdr:col>
      <xdr:colOff>0</xdr:colOff>
      <xdr:row>34</xdr:row>
      <xdr:rowOff>0</xdr:rowOff>
    </xdr:from>
    <xdr:ext cx="914400" cy="228600"/>
    <xdr:pic>
      <xdr:nvPicPr>
        <xdr:cNvPr id="135" name="Control 7" hidden="1">
          <a:extLst>
            <a:ext uri="{FF2B5EF4-FFF2-40B4-BE49-F238E27FC236}">
              <a16:creationId xmlns:a16="http://schemas.microsoft.com/office/drawing/2014/main" id="{4D548A07-A7C5-40A2-BFDE-CD308E9EE092}"/>
            </a:ext>
            <a:ext uri="{147F2762-F138-4A5C-976F-8EAC2B608ADB}">
              <a16:predDERef xmlns:a16="http://schemas.microsoft.com/office/drawing/2014/main" pred="{B528A83B-87A5-45AC-8D76-63CC0063C4DC}"/>
            </a:ext>
          </a:extLst>
        </xdr:cNvPr>
        <xdr:cNvPicPr>
          <a:picLocks noChangeAspect="1"/>
        </xdr:cNvPicPr>
      </xdr:nvPicPr>
      <xdr:blipFill>
        <a:blip xmlns:r="http://schemas.openxmlformats.org/officeDocument/2006/relationships" r:embed="rId4"/>
        <a:stretch>
          <a:fillRect/>
        </a:stretch>
      </xdr:blipFill>
      <xdr:spPr>
        <a:xfrm>
          <a:off x="32956500" y="43624500"/>
          <a:ext cx="914400" cy="228600"/>
        </a:xfrm>
        <a:prstGeom prst="rect">
          <a:avLst/>
        </a:prstGeom>
      </xdr:spPr>
    </xdr:pic>
    <xdr:clientData/>
  </xdr:oneCellAnchor>
  <xdr:oneCellAnchor>
    <xdr:from>
      <xdr:col>25</xdr:col>
      <xdr:colOff>0</xdr:colOff>
      <xdr:row>34</xdr:row>
      <xdr:rowOff>0</xdr:rowOff>
    </xdr:from>
    <xdr:ext cx="914400" cy="228600"/>
    <xdr:pic>
      <xdr:nvPicPr>
        <xdr:cNvPr id="136" name="Control 8" hidden="1">
          <a:extLst>
            <a:ext uri="{FF2B5EF4-FFF2-40B4-BE49-F238E27FC236}">
              <a16:creationId xmlns:a16="http://schemas.microsoft.com/office/drawing/2014/main" id="{DB658E99-2C78-412C-B67B-D2AC12544EF9}"/>
            </a:ext>
            <a:ext uri="{147F2762-F138-4A5C-976F-8EAC2B608ADB}">
              <a16:predDERef xmlns:a16="http://schemas.microsoft.com/office/drawing/2014/main" pred="{4D548A07-A7C5-40A2-BFDE-CD308E9EE092}"/>
            </a:ext>
          </a:extLst>
        </xdr:cNvPr>
        <xdr:cNvPicPr>
          <a:picLocks noChangeAspect="1"/>
        </xdr:cNvPicPr>
      </xdr:nvPicPr>
      <xdr:blipFill>
        <a:blip xmlns:r="http://schemas.openxmlformats.org/officeDocument/2006/relationships" r:embed="rId5"/>
        <a:stretch>
          <a:fillRect/>
        </a:stretch>
      </xdr:blipFill>
      <xdr:spPr>
        <a:xfrm>
          <a:off x="32956500" y="43624500"/>
          <a:ext cx="914400" cy="228600"/>
        </a:xfrm>
        <a:prstGeom prst="rect">
          <a:avLst/>
        </a:prstGeom>
      </xdr:spPr>
    </xdr:pic>
    <xdr:clientData/>
  </xdr:oneCellAnchor>
  <xdr:oneCellAnchor>
    <xdr:from>
      <xdr:col>25</xdr:col>
      <xdr:colOff>0</xdr:colOff>
      <xdr:row>35</xdr:row>
      <xdr:rowOff>0</xdr:rowOff>
    </xdr:from>
    <xdr:ext cx="914400" cy="228600"/>
    <xdr:pic>
      <xdr:nvPicPr>
        <xdr:cNvPr id="137" name="Control 4" hidden="1">
          <a:extLst>
            <a:ext uri="{FF2B5EF4-FFF2-40B4-BE49-F238E27FC236}">
              <a16:creationId xmlns:a16="http://schemas.microsoft.com/office/drawing/2014/main" id="{B03E9A5A-BB01-4B9F-A9E0-34D3B2BE143C}"/>
            </a:ext>
            <a:ext uri="{147F2762-F138-4A5C-976F-8EAC2B608ADB}">
              <a16:predDERef xmlns:a16="http://schemas.microsoft.com/office/drawing/2014/main" pred="{DB658E99-2C78-412C-B67B-D2AC12544EF9}"/>
            </a:ext>
          </a:extLst>
        </xdr:cNvPr>
        <xdr:cNvPicPr>
          <a:picLocks noChangeAspect="1"/>
        </xdr:cNvPicPr>
      </xdr:nvPicPr>
      <xdr:blipFill>
        <a:blip xmlns:r="http://schemas.openxmlformats.org/officeDocument/2006/relationships" r:embed="rId1"/>
        <a:stretch>
          <a:fillRect/>
        </a:stretch>
      </xdr:blipFill>
      <xdr:spPr>
        <a:xfrm>
          <a:off x="32956500" y="43624500"/>
          <a:ext cx="914400" cy="228600"/>
        </a:xfrm>
        <a:prstGeom prst="rect">
          <a:avLst/>
        </a:prstGeom>
      </xdr:spPr>
    </xdr:pic>
    <xdr:clientData/>
  </xdr:oneCellAnchor>
  <xdr:oneCellAnchor>
    <xdr:from>
      <xdr:col>25</xdr:col>
      <xdr:colOff>0</xdr:colOff>
      <xdr:row>35</xdr:row>
      <xdr:rowOff>0</xdr:rowOff>
    </xdr:from>
    <xdr:ext cx="914400" cy="228600"/>
    <xdr:pic>
      <xdr:nvPicPr>
        <xdr:cNvPr id="138" name="Control 5" hidden="1">
          <a:extLst>
            <a:ext uri="{FF2B5EF4-FFF2-40B4-BE49-F238E27FC236}">
              <a16:creationId xmlns:a16="http://schemas.microsoft.com/office/drawing/2014/main" id="{6A1D97A3-1811-472F-B6A9-70DE46AAE590}"/>
            </a:ext>
            <a:ext uri="{147F2762-F138-4A5C-976F-8EAC2B608ADB}">
              <a16:predDERef xmlns:a16="http://schemas.microsoft.com/office/drawing/2014/main" pred="{B03E9A5A-BB01-4B9F-A9E0-34D3B2BE143C}"/>
            </a:ext>
          </a:extLst>
        </xdr:cNvPr>
        <xdr:cNvPicPr>
          <a:picLocks noChangeAspect="1"/>
        </xdr:cNvPicPr>
      </xdr:nvPicPr>
      <xdr:blipFill>
        <a:blip xmlns:r="http://schemas.openxmlformats.org/officeDocument/2006/relationships" r:embed="rId2"/>
        <a:stretch>
          <a:fillRect/>
        </a:stretch>
      </xdr:blipFill>
      <xdr:spPr>
        <a:xfrm>
          <a:off x="32956500" y="43624500"/>
          <a:ext cx="914400" cy="228600"/>
        </a:xfrm>
        <a:prstGeom prst="rect">
          <a:avLst/>
        </a:prstGeom>
      </xdr:spPr>
    </xdr:pic>
    <xdr:clientData/>
  </xdr:oneCellAnchor>
  <xdr:oneCellAnchor>
    <xdr:from>
      <xdr:col>25</xdr:col>
      <xdr:colOff>0</xdr:colOff>
      <xdr:row>35</xdr:row>
      <xdr:rowOff>0</xdr:rowOff>
    </xdr:from>
    <xdr:ext cx="914400" cy="228600"/>
    <xdr:pic>
      <xdr:nvPicPr>
        <xdr:cNvPr id="139" name="Control 6" hidden="1">
          <a:extLst>
            <a:ext uri="{FF2B5EF4-FFF2-40B4-BE49-F238E27FC236}">
              <a16:creationId xmlns:a16="http://schemas.microsoft.com/office/drawing/2014/main" id="{55091DE5-010E-4D85-BB11-4DBFFFC7923C}"/>
            </a:ext>
            <a:ext uri="{147F2762-F138-4A5C-976F-8EAC2B608ADB}">
              <a16:predDERef xmlns:a16="http://schemas.microsoft.com/office/drawing/2014/main" pred="{6A1D97A3-1811-472F-B6A9-70DE46AAE590}"/>
            </a:ext>
          </a:extLst>
        </xdr:cNvPr>
        <xdr:cNvPicPr>
          <a:picLocks noChangeAspect="1"/>
        </xdr:cNvPicPr>
      </xdr:nvPicPr>
      <xdr:blipFill>
        <a:blip xmlns:r="http://schemas.openxmlformats.org/officeDocument/2006/relationships" r:embed="rId3"/>
        <a:stretch>
          <a:fillRect/>
        </a:stretch>
      </xdr:blipFill>
      <xdr:spPr>
        <a:xfrm>
          <a:off x="32956500" y="43624500"/>
          <a:ext cx="914400" cy="228600"/>
        </a:xfrm>
        <a:prstGeom prst="rect">
          <a:avLst/>
        </a:prstGeom>
      </xdr:spPr>
    </xdr:pic>
    <xdr:clientData/>
  </xdr:oneCellAnchor>
  <xdr:oneCellAnchor>
    <xdr:from>
      <xdr:col>25</xdr:col>
      <xdr:colOff>0</xdr:colOff>
      <xdr:row>35</xdr:row>
      <xdr:rowOff>0</xdr:rowOff>
    </xdr:from>
    <xdr:ext cx="914400" cy="228600"/>
    <xdr:pic>
      <xdr:nvPicPr>
        <xdr:cNvPr id="140" name="Control 7" hidden="1">
          <a:extLst>
            <a:ext uri="{FF2B5EF4-FFF2-40B4-BE49-F238E27FC236}">
              <a16:creationId xmlns:a16="http://schemas.microsoft.com/office/drawing/2014/main" id="{3ACD2007-27DE-4A3A-83CF-FE2327335F4D}"/>
            </a:ext>
            <a:ext uri="{147F2762-F138-4A5C-976F-8EAC2B608ADB}">
              <a16:predDERef xmlns:a16="http://schemas.microsoft.com/office/drawing/2014/main" pred="{55091DE5-010E-4D85-BB11-4DBFFFC7923C}"/>
            </a:ext>
          </a:extLst>
        </xdr:cNvPr>
        <xdr:cNvPicPr>
          <a:picLocks noChangeAspect="1"/>
        </xdr:cNvPicPr>
      </xdr:nvPicPr>
      <xdr:blipFill>
        <a:blip xmlns:r="http://schemas.openxmlformats.org/officeDocument/2006/relationships" r:embed="rId4"/>
        <a:stretch>
          <a:fillRect/>
        </a:stretch>
      </xdr:blipFill>
      <xdr:spPr>
        <a:xfrm>
          <a:off x="32956500" y="43624500"/>
          <a:ext cx="914400" cy="228600"/>
        </a:xfrm>
        <a:prstGeom prst="rect">
          <a:avLst/>
        </a:prstGeom>
      </xdr:spPr>
    </xdr:pic>
    <xdr:clientData/>
  </xdr:oneCellAnchor>
  <xdr:oneCellAnchor>
    <xdr:from>
      <xdr:col>25</xdr:col>
      <xdr:colOff>0</xdr:colOff>
      <xdr:row>35</xdr:row>
      <xdr:rowOff>0</xdr:rowOff>
    </xdr:from>
    <xdr:ext cx="914400" cy="228600"/>
    <xdr:pic>
      <xdr:nvPicPr>
        <xdr:cNvPr id="141" name="Control 8" hidden="1">
          <a:extLst>
            <a:ext uri="{FF2B5EF4-FFF2-40B4-BE49-F238E27FC236}">
              <a16:creationId xmlns:a16="http://schemas.microsoft.com/office/drawing/2014/main" id="{D6F02F95-889E-4FB9-B5ED-1A44457A9B2A}"/>
            </a:ext>
            <a:ext uri="{147F2762-F138-4A5C-976F-8EAC2B608ADB}">
              <a16:predDERef xmlns:a16="http://schemas.microsoft.com/office/drawing/2014/main" pred="{3ACD2007-27DE-4A3A-83CF-FE2327335F4D}"/>
            </a:ext>
          </a:extLst>
        </xdr:cNvPr>
        <xdr:cNvPicPr>
          <a:picLocks noChangeAspect="1"/>
        </xdr:cNvPicPr>
      </xdr:nvPicPr>
      <xdr:blipFill>
        <a:blip xmlns:r="http://schemas.openxmlformats.org/officeDocument/2006/relationships" r:embed="rId5"/>
        <a:stretch>
          <a:fillRect/>
        </a:stretch>
      </xdr:blipFill>
      <xdr:spPr>
        <a:xfrm>
          <a:off x="32956500" y="43624500"/>
          <a:ext cx="914400" cy="228600"/>
        </a:xfrm>
        <a:prstGeom prst="rect">
          <a:avLst/>
        </a:prstGeom>
      </xdr:spPr>
    </xdr:pic>
    <xdr:clientData/>
  </xdr:oneCellAnchor>
  <xdr:oneCellAnchor>
    <xdr:from>
      <xdr:col>25</xdr:col>
      <xdr:colOff>0</xdr:colOff>
      <xdr:row>37</xdr:row>
      <xdr:rowOff>0</xdr:rowOff>
    </xdr:from>
    <xdr:ext cx="914400" cy="228600"/>
    <xdr:pic>
      <xdr:nvPicPr>
        <xdr:cNvPr id="142" name="Control 4" hidden="1">
          <a:extLst>
            <a:ext uri="{FF2B5EF4-FFF2-40B4-BE49-F238E27FC236}">
              <a16:creationId xmlns:a16="http://schemas.microsoft.com/office/drawing/2014/main" id="{13BC29E6-C354-4987-A827-B01956360A0B}"/>
            </a:ext>
            <a:ext uri="{147F2762-F138-4A5C-976F-8EAC2B608ADB}">
              <a16:predDERef xmlns:a16="http://schemas.microsoft.com/office/drawing/2014/main" pred="{D6F02F95-889E-4FB9-B5ED-1A44457A9B2A}"/>
            </a:ext>
          </a:extLst>
        </xdr:cNvPr>
        <xdr:cNvPicPr>
          <a:picLocks noChangeAspect="1"/>
        </xdr:cNvPicPr>
      </xdr:nvPicPr>
      <xdr:blipFill>
        <a:blip xmlns:r="http://schemas.openxmlformats.org/officeDocument/2006/relationships" r:embed="rId1"/>
        <a:stretch>
          <a:fillRect/>
        </a:stretch>
      </xdr:blipFill>
      <xdr:spPr>
        <a:xfrm>
          <a:off x="32956500" y="48387000"/>
          <a:ext cx="914400" cy="228600"/>
        </a:xfrm>
        <a:prstGeom prst="rect">
          <a:avLst/>
        </a:prstGeom>
      </xdr:spPr>
    </xdr:pic>
    <xdr:clientData/>
  </xdr:oneCellAnchor>
  <xdr:oneCellAnchor>
    <xdr:from>
      <xdr:col>25</xdr:col>
      <xdr:colOff>0</xdr:colOff>
      <xdr:row>37</xdr:row>
      <xdr:rowOff>0</xdr:rowOff>
    </xdr:from>
    <xdr:ext cx="914400" cy="228600"/>
    <xdr:pic>
      <xdr:nvPicPr>
        <xdr:cNvPr id="143" name="Control 5" hidden="1">
          <a:extLst>
            <a:ext uri="{FF2B5EF4-FFF2-40B4-BE49-F238E27FC236}">
              <a16:creationId xmlns:a16="http://schemas.microsoft.com/office/drawing/2014/main" id="{A1BDB989-17C2-454C-8C47-09F5AD919C2A}"/>
            </a:ext>
            <a:ext uri="{147F2762-F138-4A5C-976F-8EAC2B608ADB}">
              <a16:predDERef xmlns:a16="http://schemas.microsoft.com/office/drawing/2014/main" pred="{13BC29E6-C354-4987-A827-B01956360A0B}"/>
            </a:ext>
          </a:extLst>
        </xdr:cNvPr>
        <xdr:cNvPicPr>
          <a:picLocks noChangeAspect="1"/>
        </xdr:cNvPicPr>
      </xdr:nvPicPr>
      <xdr:blipFill>
        <a:blip xmlns:r="http://schemas.openxmlformats.org/officeDocument/2006/relationships" r:embed="rId2"/>
        <a:stretch>
          <a:fillRect/>
        </a:stretch>
      </xdr:blipFill>
      <xdr:spPr>
        <a:xfrm>
          <a:off x="32956500" y="48387000"/>
          <a:ext cx="914400" cy="228600"/>
        </a:xfrm>
        <a:prstGeom prst="rect">
          <a:avLst/>
        </a:prstGeom>
      </xdr:spPr>
    </xdr:pic>
    <xdr:clientData/>
  </xdr:oneCellAnchor>
  <xdr:oneCellAnchor>
    <xdr:from>
      <xdr:col>25</xdr:col>
      <xdr:colOff>0</xdr:colOff>
      <xdr:row>37</xdr:row>
      <xdr:rowOff>0</xdr:rowOff>
    </xdr:from>
    <xdr:ext cx="914400" cy="228600"/>
    <xdr:pic>
      <xdr:nvPicPr>
        <xdr:cNvPr id="144" name="Control 6" hidden="1">
          <a:extLst>
            <a:ext uri="{FF2B5EF4-FFF2-40B4-BE49-F238E27FC236}">
              <a16:creationId xmlns:a16="http://schemas.microsoft.com/office/drawing/2014/main" id="{9FBBD87E-C78F-47B2-84D6-1197C413C862}"/>
            </a:ext>
            <a:ext uri="{147F2762-F138-4A5C-976F-8EAC2B608ADB}">
              <a16:predDERef xmlns:a16="http://schemas.microsoft.com/office/drawing/2014/main" pred="{A1BDB989-17C2-454C-8C47-09F5AD919C2A}"/>
            </a:ext>
          </a:extLst>
        </xdr:cNvPr>
        <xdr:cNvPicPr>
          <a:picLocks noChangeAspect="1"/>
        </xdr:cNvPicPr>
      </xdr:nvPicPr>
      <xdr:blipFill>
        <a:blip xmlns:r="http://schemas.openxmlformats.org/officeDocument/2006/relationships" r:embed="rId3"/>
        <a:stretch>
          <a:fillRect/>
        </a:stretch>
      </xdr:blipFill>
      <xdr:spPr>
        <a:xfrm>
          <a:off x="32956500" y="48387000"/>
          <a:ext cx="914400" cy="228600"/>
        </a:xfrm>
        <a:prstGeom prst="rect">
          <a:avLst/>
        </a:prstGeom>
      </xdr:spPr>
    </xdr:pic>
    <xdr:clientData/>
  </xdr:oneCellAnchor>
  <xdr:oneCellAnchor>
    <xdr:from>
      <xdr:col>25</xdr:col>
      <xdr:colOff>0</xdr:colOff>
      <xdr:row>37</xdr:row>
      <xdr:rowOff>0</xdr:rowOff>
    </xdr:from>
    <xdr:ext cx="914400" cy="228600"/>
    <xdr:pic>
      <xdr:nvPicPr>
        <xdr:cNvPr id="145" name="Control 7" hidden="1">
          <a:extLst>
            <a:ext uri="{FF2B5EF4-FFF2-40B4-BE49-F238E27FC236}">
              <a16:creationId xmlns:a16="http://schemas.microsoft.com/office/drawing/2014/main" id="{C684B01E-50D7-48C4-8911-A1B93D41CABB}"/>
            </a:ext>
            <a:ext uri="{147F2762-F138-4A5C-976F-8EAC2B608ADB}">
              <a16:predDERef xmlns:a16="http://schemas.microsoft.com/office/drawing/2014/main" pred="{9FBBD87E-C78F-47B2-84D6-1197C413C862}"/>
            </a:ext>
          </a:extLst>
        </xdr:cNvPr>
        <xdr:cNvPicPr>
          <a:picLocks noChangeAspect="1"/>
        </xdr:cNvPicPr>
      </xdr:nvPicPr>
      <xdr:blipFill>
        <a:blip xmlns:r="http://schemas.openxmlformats.org/officeDocument/2006/relationships" r:embed="rId4"/>
        <a:stretch>
          <a:fillRect/>
        </a:stretch>
      </xdr:blipFill>
      <xdr:spPr>
        <a:xfrm>
          <a:off x="32956500" y="48387000"/>
          <a:ext cx="914400" cy="228600"/>
        </a:xfrm>
        <a:prstGeom prst="rect">
          <a:avLst/>
        </a:prstGeom>
      </xdr:spPr>
    </xdr:pic>
    <xdr:clientData/>
  </xdr:oneCellAnchor>
  <xdr:oneCellAnchor>
    <xdr:from>
      <xdr:col>25</xdr:col>
      <xdr:colOff>0</xdr:colOff>
      <xdr:row>37</xdr:row>
      <xdr:rowOff>0</xdr:rowOff>
    </xdr:from>
    <xdr:ext cx="914400" cy="228600"/>
    <xdr:pic>
      <xdr:nvPicPr>
        <xdr:cNvPr id="146" name="Control 8" hidden="1">
          <a:extLst>
            <a:ext uri="{FF2B5EF4-FFF2-40B4-BE49-F238E27FC236}">
              <a16:creationId xmlns:a16="http://schemas.microsoft.com/office/drawing/2014/main" id="{56B6B76C-428F-44D2-B0E2-66500AF93F11}"/>
            </a:ext>
            <a:ext uri="{147F2762-F138-4A5C-976F-8EAC2B608ADB}">
              <a16:predDERef xmlns:a16="http://schemas.microsoft.com/office/drawing/2014/main" pred="{C684B01E-50D7-48C4-8911-A1B93D41CABB}"/>
            </a:ext>
          </a:extLst>
        </xdr:cNvPr>
        <xdr:cNvPicPr>
          <a:picLocks noChangeAspect="1"/>
        </xdr:cNvPicPr>
      </xdr:nvPicPr>
      <xdr:blipFill>
        <a:blip xmlns:r="http://schemas.openxmlformats.org/officeDocument/2006/relationships" r:embed="rId5"/>
        <a:stretch>
          <a:fillRect/>
        </a:stretch>
      </xdr:blipFill>
      <xdr:spPr>
        <a:xfrm>
          <a:off x="32956500" y="48387000"/>
          <a:ext cx="914400" cy="228600"/>
        </a:xfrm>
        <a:prstGeom prst="rect">
          <a:avLst/>
        </a:prstGeom>
      </xdr:spPr>
    </xdr:pic>
    <xdr:clientData/>
  </xdr:oneCellAnchor>
  <xdr:oneCellAnchor>
    <xdr:from>
      <xdr:col>25</xdr:col>
      <xdr:colOff>0</xdr:colOff>
      <xdr:row>38</xdr:row>
      <xdr:rowOff>0</xdr:rowOff>
    </xdr:from>
    <xdr:ext cx="914400" cy="228600"/>
    <xdr:pic>
      <xdr:nvPicPr>
        <xdr:cNvPr id="147" name="Control 4" hidden="1">
          <a:extLst>
            <a:ext uri="{FF2B5EF4-FFF2-40B4-BE49-F238E27FC236}">
              <a16:creationId xmlns:a16="http://schemas.microsoft.com/office/drawing/2014/main" id="{BB3D5589-05D8-4570-B389-8FCA23E56827}"/>
            </a:ext>
            <a:ext uri="{147F2762-F138-4A5C-976F-8EAC2B608ADB}">
              <a16:predDERef xmlns:a16="http://schemas.microsoft.com/office/drawing/2014/main" pred="{56B6B76C-428F-44D2-B0E2-66500AF93F11}"/>
            </a:ext>
          </a:extLst>
        </xdr:cNvPr>
        <xdr:cNvPicPr>
          <a:picLocks noChangeAspect="1"/>
        </xdr:cNvPicPr>
      </xdr:nvPicPr>
      <xdr:blipFill>
        <a:blip xmlns:r="http://schemas.openxmlformats.org/officeDocument/2006/relationships" r:embed="rId1"/>
        <a:stretch>
          <a:fillRect/>
        </a:stretch>
      </xdr:blipFill>
      <xdr:spPr>
        <a:xfrm>
          <a:off x="32956500" y="48387000"/>
          <a:ext cx="914400" cy="228600"/>
        </a:xfrm>
        <a:prstGeom prst="rect">
          <a:avLst/>
        </a:prstGeom>
      </xdr:spPr>
    </xdr:pic>
    <xdr:clientData/>
  </xdr:oneCellAnchor>
  <xdr:oneCellAnchor>
    <xdr:from>
      <xdr:col>25</xdr:col>
      <xdr:colOff>0</xdr:colOff>
      <xdr:row>38</xdr:row>
      <xdr:rowOff>0</xdr:rowOff>
    </xdr:from>
    <xdr:ext cx="914400" cy="228600"/>
    <xdr:pic>
      <xdr:nvPicPr>
        <xdr:cNvPr id="148" name="Control 5" hidden="1">
          <a:extLst>
            <a:ext uri="{FF2B5EF4-FFF2-40B4-BE49-F238E27FC236}">
              <a16:creationId xmlns:a16="http://schemas.microsoft.com/office/drawing/2014/main" id="{CD885E0D-66C8-41C0-8678-07308CA2BEA4}"/>
            </a:ext>
            <a:ext uri="{147F2762-F138-4A5C-976F-8EAC2B608ADB}">
              <a16:predDERef xmlns:a16="http://schemas.microsoft.com/office/drawing/2014/main" pred="{BB3D5589-05D8-4570-B389-8FCA23E56827}"/>
            </a:ext>
          </a:extLst>
        </xdr:cNvPr>
        <xdr:cNvPicPr>
          <a:picLocks noChangeAspect="1"/>
        </xdr:cNvPicPr>
      </xdr:nvPicPr>
      <xdr:blipFill>
        <a:blip xmlns:r="http://schemas.openxmlformats.org/officeDocument/2006/relationships" r:embed="rId2"/>
        <a:stretch>
          <a:fillRect/>
        </a:stretch>
      </xdr:blipFill>
      <xdr:spPr>
        <a:xfrm>
          <a:off x="32956500" y="48387000"/>
          <a:ext cx="914400" cy="228600"/>
        </a:xfrm>
        <a:prstGeom prst="rect">
          <a:avLst/>
        </a:prstGeom>
      </xdr:spPr>
    </xdr:pic>
    <xdr:clientData/>
  </xdr:oneCellAnchor>
  <xdr:oneCellAnchor>
    <xdr:from>
      <xdr:col>25</xdr:col>
      <xdr:colOff>0</xdr:colOff>
      <xdr:row>38</xdr:row>
      <xdr:rowOff>0</xdr:rowOff>
    </xdr:from>
    <xdr:ext cx="914400" cy="228600"/>
    <xdr:pic>
      <xdr:nvPicPr>
        <xdr:cNvPr id="149" name="Control 6" hidden="1">
          <a:extLst>
            <a:ext uri="{FF2B5EF4-FFF2-40B4-BE49-F238E27FC236}">
              <a16:creationId xmlns:a16="http://schemas.microsoft.com/office/drawing/2014/main" id="{21F7608A-F022-49AB-8B99-B1CC3B49FEA5}"/>
            </a:ext>
            <a:ext uri="{147F2762-F138-4A5C-976F-8EAC2B608ADB}">
              <a16:predDERef xmlns:a16="http://schemas.microsoft.com/office/drawing/2014/main" pred="{CD885E0D-66C8-41C0-8678-07308CA2BEA4}"/>
            </a:ext>
          </a:extLst>
        </xdr:cNvPr>
        <xdr:cNvPicPr>
          <a:picLocks noChangeAspect="1"/>
        </xdr:cNvPicPr>
      </xdr:nvPicPr>
      <xdr:blipFill>
        <a:blip xmlns:r="http://schemas.openxmlformats.org/officeDocument/2006/relationships" r:embed="rId3"/>
        <a:stretch>
          <a:fillRect/>
        </a:stretch>
      </xdr:blipFill>
      <xdr:spPr>
        <a:xfrm>
          <a:off x="32956500" y="48387000"/>
          <a:ext cx="914400" cy="228600"/>
        </a:xfrm>
        <a:prstGeom prst="rect">
          <a:avLst/>
        </a:prstGeom>
      </xdr:spPr>
    </xdr:pic>
    <xdr:clientData/>
  </xdr:oneCellAnchor>
  <xdr:oneCellAnchor>
    <xdr:from>
      <xdr:col>25</xdr:col>
      <xdr:colOff>0</xdr:colOff>
      <xdr:row>38</xdr:row>
      <xdr:rowOff>0</xdr:rowOff>
    </xdr:from>
    <xdr:ext cx="914400" cy="228600"/>
    <xdr:pic>
      <xdr:nvPicPr>
        <xdr:cNvPr id="150" name="Control 7" hidden="1">
          <a:extLst>
            <a:ext uri="{FF2B5EF4-FFF2-40B4-BE49-F238E27FC236}">
              <a16:creationId xmlns:a16="http://schemas.microsoft.com/office/drawing/2014/main" id="{24A99809-7303-4E46-AC23-6460807042EC}"/>
            </a:ext>
            <a:ext uri="{147F2762-F138-4A5C-976F-8EAC2B608ADB}">
              <a16:predDERef xmlns:a16="http://schemas.microsoft.com/office/drawing/2014/main" pred="{21F7608A-F022-49AB-8B99-B1CC3B49FEA5}"/>
            </a:ext>
          </a:extLst>
        </xdr:cNvPr>
        <xdr:cNvPicPr>
          <a:picLocks noChangeAspect="1"/>
        </xdr:cNvPicPr>
      </xdr:nvPicPr>
      <xdr:blipFill>
        <a:blip xmlns:r="http://schemas.openxmlformats.org/officeDocument/2006/relationships" r:embed="rId4"/>
        <a:stretch>
          <a:fillRect/>
        </a:stretch>
      </xdr:blipFill>
      <xdr:spPr>
        <a:xfrm>
          <a:off x="32956500" y="48387000"/>
          <a:ext cx="914400" cy="228600"/>
        </a:xfrm>
        <a:prstGeom prst="rect">
          <a:avLst/>
        </a:prstGeom>
      </xdr:spPr>
    </xdr:pic>
    <xdr:clientData/>
  </xdr:oneCellAnchor>
  <xdr:oneCellAnchor>
    <xdr:from>
      <xdr:col>25</xdr:col>
      <xdr:colOff>0</xdr:colOff>
      <xdr:row>38</xdr:row>
      <xdr:rowOff>0</xdr:rowOff>
    </xdr:from>
    <xdr:ext cx="914400" cy="228600"/>
    <xdr:pic>
      <xdr:nvPicPr>
        <xdr:cNvPr id="151" name="Control 8" hidden="1">
          <a:extLst>
            <a:ext uri="{FF2B5EF4-FFF2-40B4-BE49-F238E27FC236}">
              <a16:creationId xmlns:a16="http://schemas.microsoft.com/office/drawing/2014/main" id="{1EE7D2F2-8AEF-4274-AEB6-34268996EC9E}"/>
            </a:ext>
            <a:ext uri="{147F2762-F138-4A5C-976F-8EAC2B608ADB}">
              <a16:predDERef xmlns:a16="http://schemas.microsoft.com/office/drawing/2014/main" pred="{24A99809-7303-4E46-AC23-6460807042EC}"/>
            </a:ext>
          </a:extLst>
        </xdr:cNvPr>
        <xdr:cNvPicPr>
          <a:picLocks noChangeAspect="1"/>
        </xdr:cNvPicPr>
      </xdr:nvPicPr>
      <xdr:blipFill>
        <a:blip xmlns:r="http://schemas.openxmlformats.org/officeDocument/2006/relationships" r:embed="rId5"/>
        <a:stretch>
          <a:fillRect/>
        </a:stretch>
      </xdr:blipFill>
      <xdr:spPr>
        <a:xfrm>
          <a:off x="32956500" y="48387000"/>
          <a:ext cx="914400" cy="228600"/>
        </a:xfrm>
        <a:prstGeom prst="rect">
          <a:avLst/>
        </a:prstGeom>
      </xdr:spPr>
    </xdr:pic>
    <xdr:clientData/>
  </xdr:oneCellAnchor>
  <xdr:oneCellAnchor>
    <xdr:from>
      <xdr:col>25</xdr:col>
      <xdr:colOff>0</xdr:colOff>
      <xdr:row>39</xdr:row>
      <xdr:rowOff>0</xdr:rowOff>
    </xdr:from>
    <xdr:ext cx="914400" cy="228600"/>
    <xdr:pic>
      <xdr:nvPicPr>
        <xdr:cNvPr id="152" name="Control 4" hidden="1">
          <a:extLst>
            <a:ext uri="{FF2B5EF4-FFF2-40B4-BE49-F238E27FC236}">
              <a16:creationId xmlns:a16="http://schemas.microsoft.com/office/drawing/2014/main" id="{6C5763DD-A09C-4C01-925B-76FD9F351BC7}"/>
            </a:ext>
            <a:ext uri="{147F2762-F138-4A5C-976F-8EAC2B608ADB}">
              <a16:predDERef xmlns:a16="http://schemas.microsoft.com/office/drawing/2014/main" pred="{1EE7D2F2-8AEF-4274-AEB6-34268996EC9E}"/>
            </a:ext>
          </a:extLst>
        </xdr:cNvPr>
        <xdr:cNvPicPr>
          <a:picLocks noChangeAspect="1"/>
        </xdr:cNvPicPr>
      </xdr:nvPicPr>
      <xdr:blipFill>
        <a:blip xmlns:r="http://schemas.openxmlformats.org/officeDocument/2006/relationships" r:embed="rId1"/>
        <a:stretch>
          <a:fillRect/>
        </a:stretch>
      </xdr:blipFill>
      <xdr:spPr>
        <a:xfrm>
          <a:off x="32956500" y="48387000"/>
          <a:ext cx="914400" cy="228600"/>
        </a:xfrm>
        <a:prstGeom prst="rect">
          <a:avLst/>
        </a:prstGeom>
      </xdr:spPr>
    </xdr:pic>
    <xdr:clientData/>
  </xdr:oneCellAnchor>
  <xdr:oneCellAnchor>
    <xdr:from>
      <xdr:col>25</xdr:col>
      <xdr:colOff>0</xdr:colOff>
      <xdr:row>39</xdr:row>
      <xdr:rowOff>0</xdr:rowOff>
    </xdr:from>
    <xdr:ext cx="914400" cy="228600"/>
    <xdr:pic>
      <xdr:nvPicPr>
        <xdr:cNvPr id="153" name="Control 5" hidden="1">
          <a:extLst>
            <a:ext uri="{FF2B5EF4-FFF2-40B4-BE49-F238E27FC236}">
              <a16:creationId xmlns:a16="http://schemas.microsoft.com/office/drawing/2014/main" id="{CA159AB3-E1B5-482C-B1FF-9A69A0D5972A}"/>
            </a:ext>
            <a:ext uri="{147F2762-F138-4A5C-976F-8EAC2B608ADB}">
              <a16:predDERef xmlns:a16="http://schemas.microsoft.com/office/drawing/2014/main" pred="{6C5763DD-A09C-4C01-925B-76FD9F351BC7}"/>
            </a:ext>
          </a:extLst>
        </xdr:cNvPr>
        <xdr:cNvPicPr>
          <a:picLocks noChangeAspect="1"/>
        </xdr:cNvPicPr>
      </xdr:nvPicPr>
      <xdr:blipFill>
        <a:blip xmlns:r="http://schemas.openxmlformats.org/officeDocument/2006/relationships" r:embed="rId2"/>
        <a:stretch>
          <a:fillRect/>
        </a:stretch>
      </xdr:blipFill>
      <xdr:spPr>
        <a:xfrm>
          <a:off x="32956500" y="48387000"/>
          <a:ext cx="914400" cy="228600"/>
        </a:xfrm>
        <a:prstGeom prst="rect">
          <a:avLst/>
        </a:prstGeom>
      </xdr:spPr>
    </xdr:pic>
    <xdr:clientData/>
  </xdr:oneCellAnchor>
  <xdr:oneCellAnchor>
    <xdr:from>
      <xdr:col>25</xdr:col>
      <xdr:colOff>0</xdr:colOff>
      <xdr:row>39</xdr:row>
      <xdr:rowOff>0</xdr:rowOff>
    </xdr:from>
    <xdr:ext cx="914400" cy="228600"/>
    <xdr:pic>
      <xdr:nvPicPr>
        <xdr:cNvPr id="154" name="Control 6" hidden="1">
          <a:extLst>
            <a:ext uri="{FF2B5EF4-FFF2-40B4-BE49-F238E27FC236}">
              <a16:creationId xmlns:a16="http://schemas.microsoft.com/office/drawing/2014/main" id="{69619081-1CB4-40F6-8399-2FDBA21140D3}"/>
            </a:ext>
            <a:ext uri="{147F2762-F138-4A5C-976F-8EAC2B608ADB}">
              <a16:predDERef xmlns:a16="http://schemas.microsoft.com/office/drawing/2014/main" pred="{CA159AB3-E1B5-482C-B1FF-9A69A0D5972A}"/>
            </a:ext>
          </a:extLst>
        </xdr:cNvPr>
        <xdr:cNvPicPr>
          <a:picLocks noChangeAspect="1"/>
        </xdr:cNvPicPr>
      </xdr:nvPicPr>
      <xdr:blipFill>
        <a:blip xmlns:r="http://schemas.openxmlformats.org/officeDocument/2006/relationships" r:embed="rId3"/>
        <a:stretch>
          <a:fillRect/>
        </a:stretch>
      </xdr:blipFill>
      <xdr:spPr>
        <a:xfrm>
          <a:off x="32956500" y="48387000"/>
          <a:ext cx="914400" cy="228600"/>
        </a:xfrm>
        <a:prstGeom prst="rect">
          <a:avLst/>
        </a:prstGeom>
      </xdr:spPr>
    </xdr:pic>
    <xdr:clientData/>
  </xdr:oneCellAnchor>
  <xdr:oneCellAnchor>
    <xdr:from>
      <xdr:col>25</xdr:col>
      <xdr:colOff>0</xdr:colOff>
      <xdr:row>39</xdr:row>
      <xdr:rowOff>0</xdr:rowOff>
    </xdr:from>
    <xdr:ext cx="914400" cy="228600"/>
    <xdr:pic>
      <xdr:nvPicPr>
        <xdr:cNvPr id="155" name="Control 7" hidden="1">
          <a:extLst>
            <a:ext uri="{FF2B5EF4-FFF2-40B4-BE49-F238E27FC236}">
              <a16:creationId xmlns:a16="http://schemas.microsoft.com/office/drawing/2014/main" id="{96F6A608-7C7C-4554-9BFE-F992DD3379B9}"/>
            </a:ext>
            <a:ext uri="{147F2762-F138-4A5C-976F-8EAC2B608ADB}">
              <a16:predDERef xmlns:a16="http://schemas.microsoft.com/office/drawing/2014/main" pred="{69619081-1CB4-40F6-8399-2FDBA21140D3}"/>
            </a:ext>
          </a:extLst>
        </xdr:cNvPr>
        <xdr:cNvPicPr>
          <a:picLocks noChangeAspect="1"/>
        </xdr:cNvPicPr>
      </xdr:nvPicPr>
      <xdr:blipFill>
        <a:blip xmlns:r="http://schemas.openxmlformats.org/officeDocument/2006/relationships" r:embed="rId4"/>
        <a:stretch>
          <a:fillRect/>
        </a:stretch>
      </xdr:blipFill>
      <xdr:spPr>
        <a:xfrm>
          <a:off x="32956500" y="48387000"/>
          <a:ext cx="914400" cy="228600"/>
        </a:xfrm>
        <a:prstGeom prst="rect">
          <a:avLst/>
        </a:prstGeom>
      </xdr:spPr>
    </xdr:pic>
    <xdr:clientData/>
  </xdr:oneCellAnchor>
  <xdr:oneCellAnchor>
    <xdr:from>
      <xdr:col>25</xdr:col>
      <xdr:colOff>0</xdr:colOff>
      <xdr:row>39</xdr:row>
      <xdr:rowOff>0</xdr:rowOff>
    </xdr:from>
    <xdr:ext cx="914400" cy="228600"/>
    <xdr:pic>
      <xdr:nvPicPr>
        <xdr:cNvPr id="156" name="Control 8" hidden="1">
          <a:extLst>
            <a:ext uri="{FF2B5EF4-FFF2-40B4-BE49-F238E27FC236}">
              <a16:creationId xmlns:a16="http://schemas.microsoft.com/office/drawing/2014/main" id="{2DF6DDDB-366B-4C30-A111-D4986BB48E65}"/>
            </a:ext>
            <a:ext uri="{147F2762-F138-4A5C-976F-8EAC2B608ADB}">
              <a16:predDERef xmlns:a16="http://schemas.microsoft.com/office/drawing/2014/main" pred="{96F6A608-7C7C-4554-9BFE-F992DD3379B9}"/>
            </a:ext>
          </a:extLst>
        </xdr:cNvPr>
        <xdr:cNvPicPr>
          <a:picLocks noChangeAspect="1"/>
        </xdr:cNvPicPr>
      </xdr:nvPicPr>
      <xdr:blipFill>
        <a:blip xmlns:r="http://schemas.openxmlformats.org/officeDocument/2006/relationships" r:embed="rId5"/>
        <a:stretch>
          <a:fillRect/>
        </a:stretch>
      </xdr:blipFill>
      <xdr:spPr>
        <a:xfrm>
          <a:off x="32956500" y="48387000"/>
          <a:ext cx="914400" cy="228600"/>
        </a:xfrm>
        <a:prstGeom prst="rect">
          <a:avLst/>
        </a:prstGeom>
      </xdr:spPr>
    </xdr:pic>
    <xdr:clientData/>
  </xdr:oneCellAnchor>
  <xdr:oneCellAnchor>
    <xdr:from>
      <xdr:col>25</xdr:col>
      <xdr:colOff>0</xdr:colOff>
      <xdr:row>41</xdr:row>
      <xdr:rowOff>0</xdr:rowOff>
    </xdr:from>
    <xdr:ext cx="914400" cy="228600"/>
    <xdr:pic>
      <xdr:nvPicPr>
        <xdr:cNvPr id="157" name="Control 4" hidden="1">
          <a:extLst>
            <a:ext uri="{FF2B5EF4-FFF2-40B4-BE49-F238E27FC236}">
              <a16:creationId xmlns:a16="http://schemas.microsoft.com/office/drawing/2014/main" id="{769DE786-D9B5-4914-B018-292BD1A30EBD}"/>
            </a:ext>
            <a:ext uri="{147F2762-F138-4A5C-976F-8EAC2B608ADB}">
              <a16:predDERef xmlns:a16="http://schemas.microsoft.com/office/drawing/2014/main" pred="{2DF6DDDB-366B-4C30-A111-D4986BB48E65}"/>
            </a:ext>
          </a:extLst>
        </xdr:cNvPr>
        <xdr:cNvPicPr>
          <a:picLocks noChangeAspect="1"/>
        </xdr:cNvPicPr>
      </xdr:nvPicPr>
      <xdr:blipFill>
        <a:blip xmlns:r="http://schemas.openxmlformats.org/officeDocument/2006/relationships" r:embed="rId1"/>
        <a:stretch>
          <a:fillRect/>
        </a:stretch>
      </xdr:blipFill>
      <xdr:spPr>
        <a:xfrm>
          <a:off x="32956500" y="48387000"/>
          <a:ext cx="914400" cy="228600"/>
        </a:xfrm>
        <a:prstGeom prst="rect">
          <a:avLst/>
        </a:prstGeom>
      </xdr:spPr>
    </xdr:pic>
    <xdr:clientData/>
  </xdr:oneCellAnchor>
  <xdr:oneCellAnchor>
    <xdr:from>
      <xdr:col>25</xdr:col>
      <xdr:colOff>0</xdr:colOff>
      <xdr:row>41</xdr:row>
      <xdr:rowOff>0</xdr:rowOff>
    </xdr:from>
    <xdr:ext cx="914400" cy="228600"/>
    <xdr:pic>
      <xdr:nvPicPr>
        <xdr:cNvPr id="158" name="Control 5" hidden="1">
          <a:extLst>
            <a:ext uri="{FF2B5EF4-FFF2-40B4-BE49-F238E27FC236}">
              <a16:creationId xmlns:a16="http://schemas.microsoft.com/office/drawing/2014/main" id="{239CF932-CA4A-4C47-AE12-53713898873B}"/>
            </a:ext>
            <a:ext uri="{147F2762-F138-4A5C-976F-8EAC2B608ADB}">
              <a16:predDERef xmlns:a16="http://schemas.microsoft.com/office/drawing/2014/main" pred="{769DE786-D9B5-4914-B018-292BD1A30EBD}"/>
            </a:ext>
          </a:extLst>
        </xdr:cNvPr>
        <xdr:cNvPicPr>
          <a:picLocks noChangeAspect="1"/>
        </xdr:cNvPicPr>
      </xdr:nvPicPr>
      <xdr:blipFill>
        <a:blip xmlns:r="http://schemas.openxmlformats.org/officeDocument/2006/relationships" r:embed="rId2"/>
        <a:stretch>
          <a:fillRect/>
        </a:stretch>
      </xdr:blipFill>
      <xdr:spPr>
        <a:xfrm>
          <a:off x="32956500" y="48387000"/>
          <a:ext cx="914400" cy="228600"/>
        </a:xfrm>
        <a:prstGeom prst="rect">
          <a:avLst/>
        </a:prstGeom>
      </xdr:spPr>
    </xdr:pic>
    <xdr:clientData/>
  </xdr:oneCellAnchor>
  <xdr:oneCellAnchor>
    <xdr:from>
      <xdr:col>25</xdr:col>
      <xdr:colOff>0</xdr:colOff>
      <xdr:row>41</xdr:row>
      <xdr:rowOff>0</xdr:rowOff>
    </xdr:from>
    <xdr:ext cx="914400" cy="228600"/>
    <xdr:pic>
      <xdr:nvPicPr>
        <xdr:cNvPr id="159" name="Control 6" hidden="1">
          <a:extLst>
            <a:ext uri="{FF2B5EF4-FFF2-40B4-BE49-F238E27FC236}">
              <a16:creationId xmlns:a16="http://schemas.microsoft.com/office/drawing/2014/main" id="{752F9861-2E31-4970-A59C-868F59C8AD5C}"/>
            </a:ext>
            <a:ext uri="{147F2762-F138-4A5C-976F-8EAC2B608ADB}">
              <a16:predDERef xmlns:a16="http://schemas.microsoft.com/office/drawing/2014/main" pred="{239CF932-CA4A-4C47-AE12-53713898873B}"/>
            </a:ext>
          </a:extLst>
        </xdr:cNvPr>
        <xdr:cNvPicPr>
          <a:picLocks noChangeAspect="1"/>
        </xdr:cNvPicPr>
      </xdr:nvPicPr>
      <xdr:blipFill>
        <a:blip xmlns:r="http://schemas.openxmlformats.org/officeDocument/2006/relationships" r:embed="rId3"/>
        <a:stretch>
          <a:fillRect/>
        </a:stretch>
      </xdr:blipFill>
      <xdr:spPr>
        <a:xfrm>
          <a:off x="32956500" y="48387000"/>
          <a:ext cx="914400" cy="228600"/>
        </a:xfrm>
        <a:prstGeom prst="rect">
          <a:avLst/>
        </a:prstGeom>
      </xdr:spPr>
    </xdr:pic>
    <xdr:clientData/>
  </xdr:oneCellAnchor>
  <xdr:oneCellAnchor>
    <xdr:from>
      <xdr:col>25</xdr:col>
      <xdr:colOff>0</xdr:colOff>
      <xdr:row>41</xdr:row>
      <xdr:rowOff>0</xdr:rowOff>
    </xdr:from>
    <xdr:ext cx="914400" cy="228600"/>
    <xdr:pic>
      <xdr:nvPicPr>
        <xdr:cNvPr id="160" name="Control 7" hidden="1">
          <a:extLst>
            <a:ext uri="{FF2B5EF4-FFF2-40B4-BE49-F238E27FC236}">
              <a16:creationId xmlns:a16="http://schemas.microsoft.com/office/drawing/2014/main" id="{BC7DFA13-FD1E-4C08-89D0-1848B2C6E31D}"/>
            </a:ext>
            <a:ext uri="{147F2762-F138-4A5C-976F-8EAC2B608ADB}">
              <a16:predDERef xmlns:a16="http://schemas.microsoft.com/office/drawing/2014/main" pred="{752F9861-2E31-4970-A59C-868F59C8AD5C}"/>
            </a:ext>
          </a:extLst>
        </xdr:cNvPr>
        <xdr:cNvPicPr>
          <a:picLocks noChangeAspect="1"/>
        </xdr:cNvPicPr>
      </xdr:nvPicPr>
      <xdr:blipFill>
        <a:blip xmlns:r="http://schemas.openxmlformats.org/officeDocument/2006/relationships" r:embed="rId4"/>
        <a:stretch>
          <a:fillRect/>
        </a:stretch>
      </xdr:blipFill>
      <xdr:spPr>
        <a:xfrm>
          <a:off x="32956500" y="48387000"/>
          <a:ext cx="914400" cy="228600"/>
        </a:xfrm>
        <a:prstGeom prst="rect">
          <a:avLst/>
        </a:prstGeom>
      </xdr:spPr>
    </xdr:pic>
    <xdr:clientData/>
  </xdr:oneCellAnchor>
  <xdr:oneCellAnchor>
    <xdr:from>
      <xdr:col>25</xdr:col>
      <xdr:colOff>0</xdr:colOff>
      <xdr:row>41</xdr:row>
      <xdr:rowOff>0</xdr:rowOff>
    </xdr:from>
    <xdr:ext cx="914400" cy="228600"/>
    <xdr:pic>
      <xdr:nvPicPr>
        <xdr:cNvPr id="161" name="Control 8" hidden="1">
          <a:extLst>
            <a:ext uri="{FF2B5EF4-FFF2-40B4-BE49-F238E27FC236}">
              <a16:creationId xmlns:a16="http://schemas.microsoft.com/office/drawing/2014/main" id="{F0B94CDB-2057-40D2-A73A-6B0FC5CBBBDC}"/>
            </a:ext>
            <a:ext uri="{147F2762-F138-4A5C-976F-8EAC2B608ADB}">
              <a16:predDERef xmlns:a16="http://schemas.microsoft.com/office/drawing/2014/main" pred="{BC7DFA13-FD1E-4C08-89D0-1848B2C6E31D}"/>
            </a:ext>
          </a:extLst>
        </xdr:cNvPr>
        <xdr:cNvPicPr>
          <a:picLocks noChangeAspect="1"/>
        </xdr:cNvPicPr>
      </xdr:nvPicPr>
      <xdr:blipFill>
        <a:blip xmlns:r="http://schemas.openxmlformats.org/officeDocument/2006/relationships" r:embed="rId5"/>
        <a:stretch>
          <a:fillRect/>
        </a:stretch>
      </xdr:blipFill>
      <xdr:spPr>
        <a:xfrm>
          <a:off x="32956500" y="48387000"/>
          <a:ext cx="914400" cy="228600"/>
        </a:xfrm>
        <a:prstGeom prst="rect">
          <a:avLst/>
        </a:prstGeom>
      </xdr:spPr>
    </xdr:pic>
    <xdr:clientData/>
  </xdr:oneCellAnchor>
  <xdr:oneCellAnchor>
    <xdr:from>
      <xdr:col>25</xdr:col>
      <xdr:colOff>0</xdr:colOff>
      <xdr:row>42</xdr:row>
      <xdr:rowOff>0</xdr:rowOff>
    </xdr:from>
    <xdr:ext cx="914400" cy="228600"/>
    <xdr:pic>
      <xdr:nvPicPr>
        <xdr:cNvPr id="162" name="Control 4" hidden="1">
          <a:extLst>
            <a:ext uri="{FF2B5EF4-FFF2-40B4-BE49-F238E27FC236}">
              <a16:creationId xmlns:a16="http://schemas.microsoft.com/office/drawing/2014/main" id="{3BD4BD5F-7AD8-4054-9C27-D2BC0CFB2862}"/>
            </a:ext>
            <a:ext uri="{147F2762-F138-4A5C-976F-8EAC2B608ADB}">
              <a16:predDERef xmlns:a16="http://schemas.microsoft.com/office/drawing/2014/main" pred="{F0B94CDB-2057-40D2-A73A-6B0FC5CBBBDC}"/>
            </a:ext>
          </a:extLst>
        </xdr:cNvPr>
        <xdr:cNvPicPr>
          <a:picLocks noChangeAspect="1"/>
        </xdr:cNvPicPr>
      </xdr:nvPicPr>
      <xdr:blipFill>
        <a:blip xmlns:r="http://schemas.openxmlformats.org/officeDocument/2006/relationships" r:embed="rId1"/>
        <a:stretch>
          <a:fillRect/>
        </a:stretch>
      </xdr:blipFill>
      <xdr:spPr>
        <a:xfrm>
          <a:off x="32956500" y="48387000"/>
          <a:ext cx="914400" cy="228600"/>
        </a:xfrm>
        <a:prstGeom prst="rect">
          <a:avLst/>
        </a:prstGeom>
      </xdr:spPr>
    </xdr:pic>
    <xdr:clientData/>
  </xdr:oneCellAnchor>
  <xdr:oneCellAnchor>
    <xdr:from>
      <xdr:col>25</xdr:col>
      <xdr:colOff>0</xdr:colOff>
      <xdr:row>42</xdr:row>
      <xdr:rowOff>0</xdr:rowOff>
    </xdr:from>
    <xdr:ext cx="914400" cy="228600"/>
    <xdr:pic>
      <xdr:nvPicPr>
        <xdr:cNvPr id="163" name="Control 5" hidden="1">
          <a:extLst>
            <a:ext uri="{FF2B5EF4-FFF2-40B4-BE49-F238E27FC236}">
              <a16:creationId xmlns:a16="http://schemas.microsoft.com/office/drawing/2014/main" id="{4EEF1586-F249-4A7E-BA3B-C3AC0F77170B}"/>
            </a:ext>
            <a:ext uri="{147F2762-F138-4A5C-976F-8EAC2B608ADB}">
              <a16:predDERef xmlns:a16="http://schemas.microsoft.com/office/drawing/2014/main" pred="{3BD4BD5F-7AD8-4054-9C27-D2BC0CFB2862}"/>
            </a:ext>
          </a:extLst>
        </xdr:cNvPr>
        <xdr:cNvPicPr>
          <a:picLocks noChangeAspect="1"/>
        </xdr:cNvPicPr>
      </xdr:nvPicPr>
      <xdr:blipFill>
        <a:blip xmlns:r="http://schemas.openxmlformats.org/officeDocument/2006/relationships" r:embed="rId2"/>
        <a:stretch>
          <a:fillRect/>
        </a:stretch>
      </xdr:blipFill>
      <xdr:spPr>
        <a:xfrm>
          <a:off x="32956500" y="48387000"/>
          <a:ext cx="914400" cy="228600"/>
        </a:xfrm>
        <a:prstGeom prst="rect">
          <a:avLst/>
        </a:prstGeom>
      </xdr:spPr>
    </xdr:pic>
    <xdr:clientData/>
  </xdr:oneCellAnchor>
  <xdr:oneCellAnchor>
    <xdr:from>
      <xdr:col>25</xdr:col>
      <xdr:colOff>0</xdr:colOff>
      <xdr:row>42</xdr:row>
      <xdr:rowOff>0</xdr:rowOff>
    </xdr:from>
    <xdr:ext cx="914400" cy="228600"/>
    <xdr:pic>
      <xdr:nvPicPr>
        <xdr:cNvPr id="164" name="Control 6" hidden="1">
          <a:extLst>
            <a:ext uri="{FF2B5EF4-FFF2-40B4-BE49-F238E27FC236}">
              <a16:creationId xmlns:a16="http://schemas.microsoft.com/office/drawing/2014/main" id="{8D77D183-2553-4F45-935C-4D7E3B6E0F76}"/>
            </a:ext>
            <a:ext uri="{147F2762-F138-4A5C-976F-8EAC2B608ADB}">
              <a16:predDERef xmlns:a16="http://schemas.microsoft.com/office/drawing/2014/main" pred="{4EEF1586-F249-4A7E-BA3B-C3AC0F77170B}"/>
            </a:ext>
          </a:extLst>
        </xdr:cNvPr>
        <xdr:cNvPicPr>
          <a:picLocks noChangeAspect="1"/>
        </xdr:cNvPicPr>
      </xdr:nvPicPr>
      <xdr:blipFill>
        <a:blip xmlns:r="http://schemas.openxmlformats.org/officeDocument/2006/relationships" r:embed="rId3"/>
        <a:stretch>
          <a:fillRect/>
        </a:stretch>
      </xdr:blipFill>
      <xdr:spPr>
        <a:xfrm>
          <a:off x="32956500" y="48387000"/>
          <a:ext cx="914400" cy="228600"/>
        </a:xfrm>
        <a:prstGeom prst="rect">
          <a:avLst/>
        </a:prstGeom>
      </xdr:spPr>
    </xdr:pic>
    <xdr:clientData/>
  </xdr:oneCellAnchor>
  <xdr:oneCellAnchor>
    <xdr:from>
      <xdr:col>25</xdr:col>
      <xdr:colOff>0</xdr:colOff>
      <xdr:row>42</xdr:row>
      <xdr:rowOff>0</xdr:rowOff>
    </xdr:from>
    <xdr:ext cx="914400" cy="228600"/>
    <xdr:pic>
      <xdr:nvPicPr>
        <xdr:cNvPr id="165" name="Control 7" hidden="1">
          <a:extLst>
            <a:ext uri="{FF2B5EF4-FFF2-40B4-BE49-F238E27FC236}">
              <a16:creationId xmlns:a16="http://schemas.microsoft.com/office/drawing/2014/main" id="{55687C1B-1C16-47D5-B0EE-89D35A8D36B3}"/>
            </a:ext>
            <a:ext uri="{147F2762-F138-4A5C-976F-8EAC2B608ADB}">
              <a16:predDERef xmlns:a16="http://schemas.microsoft.com/office/drawing/2014/main" pred="{8D77D183-2553-4F45-935C-4D7E3B6E0F76}"/>
            </a:ext>
          </a:extLst>
        </xdr:cNvPr>
        <xdr:cNvPicPr>
          <a:picLocks noChangeAspect="1"/>
        </xdr:cNvPicPr>
      </xdr:nvPicPr>
      <xdr:blipFill>
        <a:blip xmlns:r="http://schemas.openxmlformats.org/officeDocument/2006/relationships" r:embed="rId4"/>
        <a:stretch>
          <a:fillRect/>
        </a:stretch>
      </xdr:blipFill>
      <xdr:spPr>
        <a:xfrm>
          <a:off x="32956500" y="48387000"/>
          <a:ext cx="914400" cy="228600"/>
        </a:xfrm>
        <a:prstGeom prst="rect">
          <a:avLst/>
        </a:prstGeom>
      </xdr:spPr>
    </xdr:pic>
    <xdr:clientData/>
  </xdr:oneCellAnchor>
  <xdr:oneCellAnchor>
    <xdr:from>
      <xdr:col>25</xdr:col>
      <xdr:colOff>0</xdr:colOff>
      <xdr:row>42</xdr:row>
      <xdr:rowOff>0</xdr:rowOff>
    </xdr:from>
    <xdr:ext cx="914400" cy="228600"/>
    <xdr:pic>
      <xdr:nvPicPr>
        <xdr:cNvPr id="166" name="Control 8" hidden="1">
          <a:extLst>
            <a:ext uri="{FF2B5EF4-FFF2-40B4-BE49-F238E27FC236}">
              <a16:creationId xmlns:a16="http://schemas.microsoft.com/office/drawing/2014/main" id="{0A34F3E8-7946-4486-9D86-9F76109B5000}"/>
            </a:ext>
            <a:ext uri="{147F2762-F138-4A5C-976F-8EAC2B608ADB}">
              <a16:predDERef xmlns:a16="http://schemas.microsoft.com/office/drawing/2014/main" pred="{55687C1B-1C16-47D5-B0EE-89D35A8D36B3}"/>
            </a:ext>
          </a:extLst>
        </xdr:cNvPr>
        <xdr:cNvPicPr>
          <a:picLocks noChangeAspect="1"/>
        </xdr:cNvPicPr>
      </xdr:nvPicPr>
      <xdr:blipFill>
        <a:blip xmlns:r="http://schemas.openxmlformats.org/officeDocument/2006/relationships" r:embed="rId5"/>
        <a:stretch>
          <a:fillRect/>
        </a:stretch>
      </xdr:blipFill>
      <xdr:spPr>
        <a:xfrm>
          <a:off x="32956500" y="48387000"/>
          <a:ext cx="914400" cy="228600"/>
        </a:xfrm>
        <a:prstGeom prst="rect">
          <a:avLst/>
        </a:prstGeom>
      </xdr:spPr>
    </xdr:pic>
    <xdr:clientData/>
  </xdr:oneCellAnchor>
  <xdr:oneCellAnchor>
    <xdr:from>
      <xdr:col>25</xdr:col>
      <xdr:colOff>0</xdr:colOff>
      <xdr:row>43</xdr:row>
      <xdr:rowOff>0</xdr:rowOff>
    </xdr:from>
    <xdr:ext cx="914400" cy="228600"/>
    <xdr:pic>
      <xdr:nvPicPr>
        <xdr:cNvPr id="167" name="Control 4" hidden="1">
          <a:extLst>
            <a:ext uri="{FF2B5EF4-FFF2-40B4-BE49-F238E27FC236}">
              <a16:creationId xmlns:a16="http://schemas.microsoft.com/office/drawing/2014/main" id="{EB17CC8B-08CC-4257-9112-F8D293F48A51}"/>
            </a:ext>
            <a:ext uri="{147F2762-F138-4A5C-976F-8EAC2B608ADB}">
              <a16:predDERef xmlns:a16="http://schemas.microsoft.com/office/drawing/2014/main" pred="{0A34F3E8-7946-4486-9D86-9F76109B5000}"/>
            </a:ext>
          </a:extLst>
        </xdr:cNvPr>
        <xdr:cNvPicPr>
          <a:picLocks noChangeAspect="1"/>
        </xdr:cNvPicPr>
      </xdr:nvPicPr>
      <xdr:blipFill>
        <a:blip xmlns:r="http://schemas.openxmlformats.org/officeDocument/2006/relationships" r:embed="rId1"/>
        <a:stretch>
          <a:fillRect/>
        </a:stretch>
      </xdr:blipFill>
      <xdr:spPr>
        <a:xfrm>
          <a:off x="32956500" y="48387000"/>
          <a:ext cx="914400" cy="228600"/>
        </a:xfrm>
        <a:prstGeom prst="rect">
          <a:avLst/>
        </a:prstGeom>
      </xdr:spPr>
    </xdr:pic>
    <xdr:clientData/>
  </xdr:oneCellAnchor>
  <xdr:oneCellAnchor>
    <xdr:from>
      <xdr:col>25</xdr:col>
      <xdr:colOff>0</xdr:colOff>
      <xdr:row>43</xdr:row>
      <xdr:rowOff>0</xdr:rowOff>
    </xdr:from>
    <xdr:ext cx="914400" cy="228600"/>
    <xdr:pic>
      <xdr:nvPicPr>
        <xdr:cNvPr id="168" name="Control 5" hidden="1">
          <a:extLst>
            <a:ext uri="{FF2B5EF4-FFF2-40B4-BE49-F238E27FC236}">
              <a16:creationId xmlns:a16="http://schemas.microsoft.com/office/drawing/2014/main" id="{8614C07C-72C6-4917-8C5A-1112ECFCF167}"/>
            </a:ext>
            <a:ext uri="{147F2762-F138-4A5C-976F-8EAC2B608ADB}">
              <a16:predDERef xmlns:a16="http://schemas.microsoft.com/office/drawing/2014/main" pred="{EB17CC8B-08CC-4257-9112-F8D293F48A51}"/>
            </a:ext>
          </a:extLst>
        </xdr:cNvPr>
        <xdr:cNvPicPr>
          <a:picLocks noChangeAspect="1"/>
        </xdr:cNvPicPr>
      </xdr:nvPicPr>
      <xdr:blipFill>
        <a:blip xmlns:r="http://schemas.openxmlformats.org/officeDocument/2006/relationships" r:embed="rId2"/>
        <a:stretch>
          <a:fillRect/>
        </a:stretch>
      </xdr:blipFill>
      <xdr:spPr>
        <a:xfrm>
          <a:off x="32956500" y="48387000"/>
          <a:ext cx="914400" cy="228600"/>
        </a:xfrm>
        <a:prstGeom prst="rect">
          <a:avLst/>
        </a:prstGeom>
      </xdr:spPr>
    </xdr:pic>
    <xdr:clientData/>
  </xdr:oneCellAnchor>
  <xdr:oneCellAnchor>
    <xdr:from>
      <xdr:col>25</xdr:col>
      <xdr:colOff>0</xdr:colOff>
      <xdr:row>43</xdr:row>
      <xdr:rowOff>0</xdr:rowOff>
    </xdr:from>
    <xdr:ext cx="914400" cy="228600"/>
    <xdr:pic>
      <xdr:nvPicPr>
        <xdr:cNvPr id="169" name="Control 6" hidden="1">
          <a:extLst>
            <a:ext uri="{FF2B5EF4-FFF2-40B4-BE49-F238E27FC236}">
              <a16:creationId xmlns:a16="http://schemas.microsoft.com/office/drawing/2014/main" id="{041E76E3-4FAC-4DA0-8F30-3C4ED22848FD}"/>
            </a:ext>
            <a:ext uri="{147F2762-F138-4A5C-976F-8EAC2B608ADB}">
              <a16:predDERef xmlns:a16="http://schemas.microsoft.com/office/drawing/2014/main" pred="{8614C07C-72C6-4917-8C5A-1112ECFCF167}"/>
            </a:ext>
          </a:extLst>
        </xdr:cNvPr>
        <xdr:cNvPicPr>
          <a:picLocks noChangeAspect="1"/>
        </xdr:cNvPicPr>
      </xdr:nvPicPr>
      <xdr:blipFill>
        <a:blip xmlns:r="http://schemas.openxmlformats.org/officeDocument/2006/relationships" r:embed="rId3"/>
        <a:stretch>
          <a:fillRect/>
        </a:stretch>
      </xdr:blipFill>
      <xdr:spPr>
        <a:xfrm>
          <a:off x="32956500" y="48387000"/>
          <a:ext cx="914400" cy="228600"/>
        </a:xfrm>
        <a:prstGeom prst="rect">
          <a:avLst/>
        </a:prstGeom>
      </xdr:spPr>
    </xdr:pic>
    <xdr:clientData/>
  </xdr:oneCellAnchor>
  <xdr:oneCellAnchor>
    <xdr:from>
      <xdr:col>25</xdr:col>
      <xdr:colOff>0</xdr:colOff>
      <xdr:row>43</xdr:row>
      <xdr:rowOff>0</xdr:rowOff>
    </xdr:from>
    <xdr:ext cx="914400" cy="228600"/>
    <xdr:pic>
      <xdr:nvPicPr>
        <xdr:cNvPr id="170" name="Control 7" hidden="1">
          <a:extLst>
            <a:ext uri="{FF2B5EF4-FFF2-40B4-BE49-F238E27FC236}">
              <a16:creationId xmlns:a16="http://schemas.microsoft.com/office/drawing/2014/main" id="{52A5E1DB-8665-49B6-8C94-953292DC1E1A}"/>
            </a:ext>
            <a:ext uri="{147F2762-F138-4A5C-976F-8EAC2B608ADB}">
              <a16:predDERef xmlns:a16="http://schemas.microsoft.com/office/drawing/2014/main" pred="{041E76E3-4FAC-4DA0-8F30-3C4ED22848FD}"/>
            </a:ext>
          </a:extLst>
        </xdr:cNvPr>
        <xdr:cNvPicPr>
          <a:picLocks noChangeAspect="1"/>
        </xdr:cNvPicPr>
      </xdr:nvPicPr>
      <xdr:blipFill>
        <a:blip xmlns:r="http://schemas.openxmlformats.org/officeDocument/2006/relationships" r:embed="rId4"/>
        <a:stretch>
          <a:fillRect/>
        </a:stretch>
      </xdr:blipFill>
      <xdr:spPr>
        <a:xfrm>
          <a:off x="32956500" y="48387000"/>
          <a:ext cx="914400" cy="228600"/>
        </a:xfrm>
        <a:prstGeom prst="rect">
          <a:avLst/>
        </a:prstGeom>
      </xdr:spPr>
    </xdr:pic>
    <xdr:clientData/>
  </xdr:oneCellAnchor>
  <xdr:oneCellAnchor>
    <xdr:from>
      <xdr:col>25</xdr:col>
      <xdr:colOff>0</xdr:colOff>
      <xdr:row>43</xdr:row>
      <xdr:rowOff>0</xdr:rowOff>
    </xdr:from>
    <xdr:ext cx="914400" cy="228600"/>
    <xdr:pic>
      <xdr:nvPicPr>
        <xdr:cNvPr id="171" name="Control 8" hidden="1">
          <a:extLst>
            <a:ext uri="{FF2B5EF4-FFF2-40B4-BE49-F238E27FC236}">
              <a16:creationId xmlns:a16="http://schemas.microsoft.com/office/drawing/2014/main" id="{0FEF2F20-9252-4846-80EE-F5D74CF931CD}"/>
            </a:ext>
            <a:ext uri="{147F2762-F138-4A5C-976F-8EAC2B608ADB}">
              <a16:predDERef xmlns:a16="http://schemas.microsoft.com/office/drawing/2014/main" pred="{52A5E1DB-8665-49B6-8C94-953292DC1E1A}"/>
            </a:ext>
          </a:extLst>
        </xdr:cNvPr>
        <xdr:cNvPicPr>
          <a:picLocks noChangeAspect="1"/>
        </xdr:cNvPicPr>
      </xdr:nvPicPr>
      <xdr:blipFill>
        <a:blip xmlns:r="http://schemas.openxmlformats.org/officeDocument/2006/relationships" r:embed="rId5"/>
        <a:stretch>
          <a:fillRect/>
        </a:stretch>
      </xdr:blipFill>
      <xdr:spPr>
        <a:xfrm>
          <a:off x="32956500" y="48387000"/>
          <a:ext cx="914400" cy="228600"/>
        </a:xfrm>
        <a:prstGeom prst="rect">
          <a:avLst/>
        </a:prstGeom>
      </xdr:spPr>
    </xdr:pic>
    <xdr:clientData/>
  </xdr:oneCellAnchor>
  <xdr:oneCellAnchor>
    <xdr:from>
      <xdr:col>25</xdr:col>
      <xdr:colOff>0</xdr:colOff>
      <xdr:row>44</xdr:row>
      <xdr:rowOff>0</xdr:rowOff>
    </xdr:from>
    <xdr:ext cx="914400" cy="228600"/>
    <xdr:pic>
      <xdr:nvPicPr>
        <xdr:cNvPr id="172" name="Control 4" hidden="1">
          <a:extLst>
            <a:ext uri="{FF2B5EF4-FFF2-40B4-BE49-F238E27FC236}">
              <a16:creationId xmlns:a16="http://schemas.microsoft.com/office/drawing/2014/main" id="{9AF1D7B2-8048-445A-8E16-8B0926C557FA}"/>
            </a:ext>
            <a:ext uri="{147F2762-F138-4A5C-976F-8EAC2B608ADB}">
              <a16:predDERef xmlns:a16="http://schemas.microsoft.com/office/drawing/2014/main" pred="{0FEF2F20-9252-4846-80EE-F5D74CF931CD}"/>
            </a:ext>
          </a:extLst>
        </xdr:cNvPr>
        <xdr:cNvPicPr>
          <a:picLocks noChangeAspect="1"/>
        </xdr:cNvPicPr>
      </xdr:nvPicPr>
      <xdr:blipFill>
        <a:blip xmlns:r="http://schemas.openxmlformats.org/officeDocument/2006/relationships" r:embed="rId1"/>
        <a:stretch>
          <a:fillRect/>
        </a:stretch>
      </xdr:blipFill>
      <xdr:spPr>
        <a:xfrm>
          <a:off x="32956500" y="48387000"/>
          <a:ext cx="914400" cy="228600"/>
        </a:xfrm>
        <a:prstGeom prst="rect">
          <a:avLst/>
        </a:prstGeom>
      </xdr:spPr>
    </xdr:pic>
    <xdr:clientData/>
  </xdr:oneCellAnchor>
  <xdr:oneCellAnchor>
    <xdr:from>
      <xdr:col>25</xdr:col>
      <xdr:colOff>0</xdr:colOff>
      <xdr:row>44</xdr:row>
      <xdr:rowOff>0</xdr:rowOff>
    </xdr:from>
    <xdr:ext cx="914400" cy="228600"/>
    <xdr:pic>
      <xdr:nvPicPr>
        <xdr:cNvPr id="173" name="Control 5" hidden="1">
          <a:extLst>
            <a:ext uri="{FF2B5EF4-FFF2-40B4-BE49-F238E27FC236}">
              <a16:creationId xmlns:a16="http://schemas.microsoft.com/office/drawing/2014/main" id="{069B704B-2584-4241-B8AA-CCF9A9D0AAF4}"/>
            </a:ext>
            <a:ext uri="{147F2762-F138-4A5C-976F-8EAC2B608ADB}">
              <a16:predDERef xmlns:a16="http://schemas.microsoft.com/office/drawing/2014/main" pred="{9AF1D7B2-8048-445A-8E16-8B0926C557FA}"/>
            </a:ext>
          </a:extLst>
        </xdr:cNvPr>
        <xdr:cNvPicPr>
          <a:picLocks noChangeAspect="1"/>
        </xdr:cNvPicPr>
      </xdr:nvPicPr>
      <xdr:blipFill>
        <a:blip xmlns:r="http://schemas.openxmlformats.org/officeDocument/2006/relationships" r:embed="rId2"/>
        <a:stretch>
          <a:fillRect/>
        </a:stretch>
      </xdr:blipFill>
      <xdr:spPr>
        <a:xfrm>
          <a:off x="32956500" y="48387000"/>
          <a:ext cx="914400" cy="228600"/>
        </a:xfrm>
        <a:prstGeom prst="rect">
          <a:avLst/>
        </a:prstGeom>
      </xdr:spPr>
    </xdr:pic>
    <xdr:clientData/>
  </xdr:oneCellAnchor>
  <xdr:oneCellAnchor>
    <xdr:from>
      <xdr:col>25</xdr:col>
      <xdr:colOff>0</xdr:colOff>
      <xdr:row>44</xdr:row>
      <xdr:rowOff>0</xdr:rowOff>
    </xdr:from>
    <xdr:ext cx="914400" cy="228600"/>
    <xdr:pic>
      <xdr:nvPicPr>
        <xdr:cNvPr id="174" name="Control 6" hidden="1">
          <a:extLst>
            <a:ext uri="{FF2B5EF4-FFF2-40B4-BE49-F238E27FC236}">
              <a16:creationId xmlns:a16="http://schemas.microsoft.com/office/drawing/2014/main" id="{902D95B1-12DF-443E-811F-A6F8625E2C9E}"/>
            </a:ext>
            <a:ext uri="{147F2762-F138-4A5C-976F-8EAC2B608ADB}">
              <a16:predDERef xmlns:a16="http://schemas.microsoft.com/office/drawing/2014/main" pred="{069B704B-2584-4241-B8AA-CCF9A9D0AAF4}"/>
            </a:ext>
          </a:extLst>
        </xdr:cNvPr>
        <xdr:cNvPicPr>
          <a:picLocks noChangeAspect="1"/>
        </xdr:cNvPicPr>
      </xdr:nvPicPr>
      <xdr:blipFill>
        <a:blip xmlns:r="http://schemas.openxmlformats.org/officeDocument/2006/relationships" r:embed="rId3"/>
        <a:stretch>
          <a:fillRect/>
        </a:stretch>
      </xdr:blipFill>
      <xdr:spPr>
        <a:xfrm>
          <a:off x="32956500" y="48387000"/>
          <a:ext cx="914400" cy="228600"/>
        </a:xfrm>
        <a:prstGeom prst="rect">
          <a:avLst/>
        </a:prstGeom>
      </xdr:spPr>
    </xdr:pic>
    <xdr:clientData/>
  </xdr:oneCellAnchor>
  <xdr:oneCellAnchor>
    <xdr:from>
      <xdr:col>25</xdr:col>
      <xdr:colOff>0</xdr:colOff>
      <xdr:row>44</xdr:row>
      <xdr:rowOff>0</xdr:rowOff>
    </xdr:from>
    <xdr:ext cx="914400" cy="228600"/>
    <xdr:pic>
      <xdr:nvPicPr>
        <xdr:cNvPr id="175" name="Control 7" hidden="1">
          <a:extLst>
            <a:ext uri="{FF2B5EF4-FFF2-40B4-BE49-F238E27FC236}">
              <a16:creationId xmlns:a16="http://schemas.microsoft.com/office/drawing/2014/main" id="{B3B9781B-9FF0-4141-8B38-E02E7A1DA87F}"/>
            </a:ext>
            <a:ext uri="{147F2762-F138-4A5C-976F-8EAC2B608ADB}">
              <a16:predDERef xmlns:a16="http://schemas.microsoft.com/office/drawing/2014/main" pred="{902D95B1-12DF-443E-811F-A6F8625E2C9E}"/>
            </a:ext>
          </a:extLst>
        </xdr:cNvPr>
        <xdr:cNvPicPr>
          <a:picLocks noChangeAspect="1"/>
        </xdr:cNvPicPr>
      </xdr:nvPicPr>
      <xdr:blipFill>
        <a:blip xmlns:r="http://schemas.openxmlformats.org/officeDocument/2006/relationships" r:embed="rId4"/>
        <a:stretch>
          <a:fillRect/>
        </a:stretch>
      </xdr:blipFill>
      <xdr:spPr>
        <a:xfrm>
          <a:off x="32956500" y="48387000"/>
          <a:ext cx="914400" cy="228600"/>
        </a:xfrm>
        <a:prstGeom prst="rect">
          <a:avLst/>
        </a:prstGeom>
      </xdr:spPr>
    </xdr:pic>
    <xdr:clientData/>
  </xdr:oneCellAnchor>
  <xdr:oneCellAnchor>
    <xdr:from>
      <xdr:col>25</xdr:col>
      <xdr:colOff>0</xdr:colOff>
      <xdr:row>44</xdr:row>
      <xdr:rowOff>0</xdr:rowOff>
    </xdr:from>
    <xdr:ext cx="914400" cy="228600"/>
    <xdr:pic>
      <xdr:nvPicPr>
        <xdr:cNvPr id="176" name="Control 8" hidden="1">
          <a:extLst>
            <a:ext uri="{FF2B5EF4-FFF2-40B4-BE49-F238E27FC236}">
              <a16:creationId xmlns:a16="http://schemas.microsoft.com/office/drawing/2014/main" id="{87225EF4-DD50-4805-8F2C-D7DB5F5CB49B}"/>
            </a:ext>
            <a:ext uri="{147F2762-F138-4A5C-976F-8EAC2B608ADB}">
              <a16:predDERef xmlns:a16="http://schemas.microsoft.com/office/drawing/2014/main" pred="{B3B9781B-9FF0-4141-8B38-E02E7A1DA87F}"/>
            </a:ext>
          </a:extLst>
        </xdr:cNvPr>
        <xdr:cNvPicPr>
          <a:picLocks noChangeAspect="1"/>
        </xdr:cNvPicPr>
      </xdr:nvPicPr>
      <xdr:blipFill>
        <a:blip xmlns:r="http://schemas.openxmlformats.org/officeDocument/2006/relationships" r:embed="rId5"/>
        <a:stretch>
          <a:fillRect/>
        </a:stretch>
      </xdr:blipFill>
      <xdr:spPr>
        <a:xfrm>
          <a:off x="32956500" y="48387000"/>
          <a:ext cx="914400" cy="228600"/>
        </a:xfrm>
        <a:prstGeom prst="rect">
          <a:avLst/>
        </a:prstGeom>
      </xdr:spPr>
    </xdr:pic>
    <xdr:clientData/>
  </xdr:oneCellAnchor>
  <xdr:oneCellAnchor>
    <xdr:from>
      <xdr:col>25</xdr:col>
      <xdr:colOff>0</xdr:colOff>
      <xdr:row>45</xdr:row>
      <xdr:rowOff>0</xdr:rowOff>
    </xdr:from>
    <xdr:ext cx="914400" cy="228600"/>
    <xdr:pic>
      <xdr:nvPicPr>
        <xdr:cNvPr id="177" name="Control 4" hidden="1">
          <a:extLst>
            <a:ext uri="{FF2B5EF4-FFF2-40B4-BE49-F238E27FC236}">
              <a16:creationId xmlns:a16="http://schemas.microsoft.com/office/drawing/2014/main" id="{B875F0A3-B47B-4120-ADD8-8E98F2D3F364}"/>
            </a:ext>
            <a:ext uri="{147F2762-F138-4A5C-976F-8EAC2B608ADB}">
              <a16:predDERef xmlns:a16="http://schemas.microsoft.com/office/drawing/2014/main" pred="{87225EF4-DD50-4805-8F2C-D7DB5F5CB49B}"/>
            </a:ext>
          </a:extLst>
        </xdr:cNvPr>
        <xdr:cNvPicPr>
          <a:picLocks noChangeAspect="1"/>
        </xdr:cNvPicPr>
      </xdr:nvPicPr>
      <xdr:blipFill>
        <a:blip xmlns:r="http://schemas.openxmlformats.org/officeDocument/2006/relationships" r:embed="rId1"/>
        <a:stretch>
          <a:fillRect/>
        </a:stretch>
      </xdr:blipFill>
      <xdr:spPr>
        <a:xfrm>
          <a:off x="32956500" y="48387000"/>
          <a:ext cx="914400" cy="228600"/>
        </a:xfrm>
        <a:prstGeom prst="rect">
          <a:avLst/>
        </a:prstGeom>
      </xdr:spPr>
    </xdr:pic>
    <xdr:clientData/>
  </xdr:oneCellAnchor>
  <xdr:oneCellAnchor>
    <xdr:from>
      <xdr:col>25</xdr:col>
      <xdr:colOff>0</xdr:colOff>
      <xdr:row>45</xdr:row>
      <xdr:rowOff>0</xdr:rowOff>
    </xdr:from>
    <xdr:ext cx="914400" cy="228600"/>
    <xdr:pic>
      <xdr:nvPicPr>
        <xdr:cNvPr id="178" name="Control 5" hidden="1">
          <a:extLst>
            <a:ext uri="{FF2B5EF4-FFF2-40B4-BE49-F238E27FC236}">
              <a16:creationId xmlns:a16="http://schemas.microsoft.com/office/drawing/2014/main" id="{41CA3FF7-0722-4FD8-BD61-B05F6FE90BAE}"/>
            </a:ext>
            <a:ext uri="{147F2762-F138-4A5C-976F-8EAC2B608ADB}">
              <a16:predDERef xmlns:a16="http://schemas.microsoft.com/office/drawing/2014/main" pred="{B875F0A3-B47B-4120-ADD8-8E98F2D3F364}"/>
            </a:ext>
          </a:extLst>
        </xdr:cNvPr>
        <xdr:cNvPicPr>
          <a:picLocks noChangeAspect="1"/>
        </xdr:cNvPicPr>
      </xdr:nvPicPr>
      <xdr:blipFill>
        <a:blip xmlns:r="http://schemas.openxmlformats.org/officeDocument/2006/relationships" r:embed="rId2"/>
        <a:stretch>
          <a:fillRect/>
        </a:stretch>
      </xdr:blipFill>
      <xdr:spPr>
        <a:xfrm>
          <a:off x="32956500" y="48387000"/>
          <a:ext cx="914400" cy="228600"/>
        </a:xfrm>
        <a:prstGeom prst="rect">
          <a:avLst/>
        </a:prstGeom>
      </xdr:spPr>
    </xdr:pic>
    <xdr:clientData/>
  </xdr:oneCellAnchor>
  <xdr:oneCellAnchor>
    <xdr:from>
      <xdr:col>25</xdr:col>
      <xdr:colOff>0</xdr:colOff>
      <xdr:row>45</xdr:row>
      <xdr:rowOff>0</xdr:rowOff>
    </xdr:from>
    <xdr:ext cx="914400" cy="228600"/>
    <xdr:pic>
      <xdr:nvPicPr>
        <xdr:cNvPr id="179" name="Control 6" hidden="1">
          <a:extLst>
            <a:ext uri="{FF2B5EF4-FFF2-40B4-BE49-F238E27FC236}">
              <a16:creationId xmlns:a16="http://schemas.microsoft.com/office/drawing/2014/main" id="{225AB694-022C-4411-8255-337D2EDBBB5B}"/>
            </a:ext>
            <a:ext uri="{147F2762-F138-4A5C-976F-8EAC2B608ADB}">
              <a16:predDERef xmlns:a16="http://schemas.microsoft.com/office/drawing/2014/main" pred="{41CA3FF7-0722-4FD8-BD61-B05F6FE90BAE}"/>
            </a:ext>
          </a:extLst>
        </xdr:cNvPr>
        <xdr:cNvPicPr>
          <a:picLocks noChangeAspect="1"/>
        </xdr:cNvPicPr>
      </xdr:nvPicPr>
      <xdr:blipFill>
        <a:blip xmlns:r="http://schemas.openxmlformats.org/officeDocument/2006/relationships" r:embed="rId3"/>
        <a:stretch>
          <a:fillRect/>
        </a:stretch>
      </xdr:blipFill>
      <xdr:spPr>
        <a:xfrm>
          <a:off x="32956500" y="48387000"/>
          <a:ext cx="914400" cy="228600"/>
        </a:xfrm>
        <a:prstGeom prst="rect">
          <a:avLst/>
        </a:prstGeom>
      </xdr:spPr>
    </xdr:pic>
    <xdr:clientData/>
  </xdr:oneCellAnchor>
  <xdr:oneCellAnchor>
    <xdr:from>
      <xdr:col>25</xdr:col>
      <xdr:colOff>0</xdr:colOff>
      <xdr:row>45</xdr:row>
      <xdr:rowOff>0</xdr:rowOff>
    </xdr:from>
    <xdr:ext cx="914400" cy="228600"/>
    <xdr:pic>
      <xdr:nvPicPr>
        <xdr:cNvPr id="180" name="Control 7" hidden="1">
          <a:extLst>
            <a:ext uri="{FF2B5EF4-FFF2-40B4-BE49-F238E27FC236}">
              <a16:creationId xmlns:a16="http://schemas.microsoft.com/office/drawing/2014/main" id="{5BA052C2-C726-4F41-8E64-37D19CD9548B}"/>
            </a:ext>
            <a:ext uri="{147F2762-F138-4A5C-976F-8EAC2B608ADB}">
              <a16:predDERef xmlns:a16="http://schemas.microsoft.com/office/drawing/2014/main" pred="{225AB694-022C-4411-8255-337D2EDBBB5B}"/>
            </a:ext>
          </a:extLst>
        </xdr:cNvPr>
        <xdr:cNvPicPr>
          <a:picLocks noChangeAspect="1"/>
        </xdr:cNvPicPr>
      </xdr:nvPicPr>
      <xdr:blipFill>
        <a:blip xmlns:r="http://schemas.openxmlformats.org/officeDocument/2006/relationships" r:embed="rId4"/>
        <a:stretch>
          <a:fillRect/>
        </a:stretch>
      </xdr:blipFill>
      <xdr:spPr>
        <a:xfrm>
          <a:off x="32956500" y="48387000"/>
          <a:ext cx="914400" cy="228600"/>
        </a:xfrm>
        <a:prstGeom prst="rect">
          <a:avLst/>
        </a:prstGeom>
      </xdr:spPr>
    </xdr:pic>
    <xdr:clientData/>
  </xdr:oneCellAnchor>
  <xdr:oneCellAnchor>
    <xdr:from>
      <xdr:col>25</xdr:col>
      <xdr:colOff>0</xdr:colOff>
      <xdr:row>45</xdr:row>
      <xdr:rowOff>0</xdr:rowOff>
    </xdr:from>
    <xdr:ext cx="914400" cy="228600"/>
    <xdr:pic>
      <xdr:nvPicPr>
        <xdr:cNvPr id="181" name="Control 8" hidden="1">
          <a:extLst>
            <a:ext uri="{FF2B5EF4-FFF2-40B4-BE49-F238E27FC236}">
              <a16:creationId xmlns:a16="http://schemas.microsoft.com/office/drawing/2014/main" id="{49EB5D6D-1E45-4A2D-BE27-07258E98E76D}"/>
            </a:ext>
            <a:ext uri="{147F2762-F138-4A5C-976F-8EAC2B608ADB}">
              <a16:predDERef xmlns:a16="http://schemas.microsoft.com/office/drawing/2014/main" pred="{5BA052C2-C726-4F41-8E64-37D19CD9548B}"/>
            </a:ext>
          </a:extLst>
        </xdr:cNvPr>
        <xdr:cNvPicPr>
          <a:picLocks noChangeAspect="1"/>
        </xdr:cNvPicPr>
      </xdr:nvPicPr>
      <xdr:blipFill>
        <a:blip xmlns:r="http://schemas.openxmlformats.org/officeDocument/2006/relationships" r:embed="rId5"/>
        <a:stretch>
          <a:fillRect/>
        </a:stretch>
      </xdr:blipFill>
      <xdr:spPr>
        <a:xfrm>
          <a:off x="32956500" y="48387000"/>
          <a:ext cx="914400" cy="228600"/>
        </a:xfrm>
        <a:prstGeom prst="rect">
          <a:avLst/>
        </a:prstGeom>
      </xdr:spPr>
    </xdr:pic>
    <xdr:clientData/>
  </xdr:oneCellAnchor>
  <xdr:oneCellAnchor>
    <xdr:from>
      <xdr:col>25</xdr:col>
      <xdr:colOff>0</xdr:colOff>
      <xdr:row>46</xdr:row>
      <xdr:rowOff>0</xdr:rowOff>
    </xdr:from>
    <xdr:ext cx="914400" cy="228600"/>
    <xdr:pic>
      <xdr:nvPicPr>
        <xdr:cNvPr id="182" name="Control 4" hidden="1">
          <a:extLst>
            <a:ext uri="{FF2B5EF4-FFF2-40B4-BE49-F238E27FC236}">
              <a16:creationId xmlns:a16="http://schemas.microsoft.com/office/drawing/2014/main" id="{6D2297B6-B407-411B-8929-7BBE85BCF55C}"/>
            </a:ext>
            <a:ext uri="{147F2762-F138-4A5C-976F-8EAC2B608ADB}">
              <a16:predDERef xmlns:a16="http://schemas.microsoft.com/office/drawing/2014/main" pred="{49EB5D6D-1E45-4A2D-BE27-07258E98E76D}"/>
            </a:ext>
          </a:extLst>
        </xdr:cNvPr>
        <xdr:cNvPicPr>
          <a:picLocks noChangeAspect="1"/>
        </xdr:cNvPicPr>
      </xdr:nvPicPr>
      <xdr:blipFill>
        <a:blip xmlns:r="http://schemas.openxmlformats.org/officeDocument/2006/relationships" r:embed="rId1"/>
        <a:stretch>
          <a:fillRect/>
        </a:stretch>
      </xdr:blipFill>
      <xdr:spPr>
        <a:xfrm>
          <a:off x="32956500" y="48387000"/>
          <a:ext cx="914400" cy="228600"/>
        </a:xfrm>
        <a:prstGeom prst="rect">
          <a:avLst/>
        </a:prstGeom>
      </xdr:spPr>
    </xdr:pic>
    <xdr:clientData/>
  </xdr:oneCellAnchor>
  <xdr:oneCellAnchor>
    <xdr:from>
      <xdr:col>25</xdr:col>
      <xdr:colOff>0</xdr:colOff>
      <xdr:row>46</xdr:row>
      <xdr:rowOff>0</xdr:rowOff>
    </xdr:from>
    <xdr:ext cx="914400" cy="228600"/>
    <xdr:pic>
      <xdr:nvPicPr>
        <xdr:cNvPr id="183" name="Control 5" hidden="1">
          <a:extLst>
            <a:ext uri="{FF2B5EF4-FFF2-40B4-BE49-F238E27FC236}">
              <a16:creationId xmlns:a16="http://schemas.microsoft.com/office/drawing/2014/main" id="{A3D62536-1D05-4E9A-92B6-A466BF4DB95E}"/>
            </a:ext>
            <a:ext uri="{147F2762-F138-4A5C-976F-8EAC2B608ADB}">
              <a16:predDERef xmlns:a16="http://schemas.microsoft.com/office/drawing/2014/main" pred="{6D2297B6-B407-411B-8929-7BBE85BCF55C}"/>
            </a:ext>
          </a:extLst>
        </xdr:cNvPr>
        <xdr:cNvPicPr>
          <a:picLocks noChangeAspect="1"/>
        </xdr:cNvPicPr>
      </xdr:nvPicPr>
      <xdr:blipFill>
        <a:blip xmlns:r="http://schemas.openxmlformats.org/officeDocument/2006/relationships" r:embed="rId2"/>
        <a:stretch>
          <a:fillRect/>
        </a:stretch>
      </xdr:blipFill>
      <xdr:spPr>
        <a:xfrm>
          <a:off x="32956500" y="48387000"/>
          <a:ext cx="914400" cy="228600"/>
        </a:xfrm>
        <a:prstGeom prst="rect">
          <a:avLst/>
        </a:prstGeom>
      </xdr:spPr>
    </xdr:pic>
    <xdr:clientData/>
  </xdr:oneCellAnchor>
  <xdr:oneCellAnchor>
    <xdr:from>
      <xdr:col>25</xdr:col>
      <xdr:colOff>0</xdr:colOff>
      <xdr:row>46</xdr:row>
      <xdr:rowOff>0</xdr:rowOff>
    </xdr:from>
    <xdr:ext cx="914400" cy="228600"/>
    <xdr:pic>
      <xdr:nvPicPr>
        <xdr:cNvPr id="184" name="Control 6" hidden="1">
          <a:extLst>
            <a:ext uri="{FF2B5EF4-FFF2-40B4-BE49-F238E27FC236}">
              <a16:creationId xmlns:a16="http://schemas.microsoft.com/office/drawing/2014/main" id="{EE60769A-DC8F-42F2-A61E-5C3FAC6203C8}"/>
            </a:ext>
            <a:ext uri="{147F2762-F138-4A5C-976F-8EAC2B608ADB}">
              <a16:predDERef xmlns:a16="http://schemas.microsoft.com/office/drawing/2014/main" pred="{A3D62536-1D05-4E9A-92B6-A466BF4DB95E}"/>
            </a:ext>
          </a:extLst>
        </xdr:cNvPr>
        <xdr:cNvPicPr>
          <a:picLocks noChangeAspect="1"/>
        </xdr:cNvPicPr>
      </xdr:nvPicPr>
      <xdr:blipFill>
        <a:blip xmlns:r="http://schemas.openxmlformats.org/officeDocument/2006/relationships" r:embed="rId3"/>
        <a:stretch>
          <a:fillRect/>
        </a:stretch>
      </xdr:blipFill>
      <xdr:spPr>
        <a:xfrm>
          <a:off x="32956500" y="48387000"/>
          <a:ext cx="914400" cy="228600"/>
        </a:xfrm>
        <a:prstGeom prst="rect">
          <a:avLst/>
        </a:prstGeom>
      </xdr:spPr>
    </xdr:pic>
    <xdr:clientData/>
  </xdr:oneCellAnchor>
  <xdr:oneCellAnchor>
    <xdr:from>
      <xdr:col>25</xdr:col>
      <xdr:colOff>0</xdr:colOff>
      <xdr:row>46</xdr:row>
      <xdr:rowOff>0</xdr:rowOff>
    </xdr:from>
    <xdr:ext cx="914400" cy="228600"/>
    <xdr:pic>
      <xdr:nvPicPr>
        <xdr:cNvPr id="185" name="Control 7" hidden="1">
          <a:extLst>
            <a:ext uri="{FF2B5EF4-FFF2-40B4-BE49-F238E27FC236}">
              <a16:creationId xmlns:a16="http://schemas.microsoft.com/office/drawing/2014/main" id="{2ED28DF3-02B5-45A8-8404-138FA4A3ED06}"/>
            </a:ext>
            <a:ext uri="{147F2762-F138-4A5C-976F-8EAC2B608ADB}">
              <a16:predDERef xmlns:a16="http://schemas.microsoft.com/office/drawing/2014/main" pred="{EE60769A-DC8F-42F2-A61E-5C3FAC6203C8}"/>
            </a:ext>
          </a:extLst>
        </xdr:cNvPr>
        <xdr:cNvPicPr>
          <a:picLocks noChangeAspect="1"/>
        </xdr:cNvPicPr>
      </xdr:nvPicPr>
      <xdr:blipFill>
        <a:blip xmlns:r="http://schemas.openxmlformats.org/officeDocument/2006/relationships" r:embed="rId4"/>
        <a:stretch>
          <a:fillRect/>
        </a:stretch>
      </xdr:blipFill>
      <xdr:spPr>
        <a:xfrm>
          <a:off x="32956500" y="48387000"/>
          <a:ext cx="914400" cy="228600"/>
        </a:xfrm>
        <a:prstGeom prst="rect">
          <a:avLst/>
        </a:prstGeom>
      </xdr:spPr>
    </xdr:pic>
    <xdr:clientData/>
  </xdr:oneCellAnchor>
  <xdr:oneCellAnchor>
    <xdr:from>
      <xdr:col>25</xdr:col>
      <xdr:colOff>0</xdr:colOff>
      <xdr:row>46</xdr:row>
      <xdr:rowOff>0</xdr:rowOff>
    </xdr:from>
    <xdr:ext cx="914400" cy="228600"/>
    <xdr:pic>
      <xdr:nvPicPr>
        <xdr:cNvPr id="186" name="Control 8" hidden="1">
          <a:extLst>
            <a:ext uri="{FF2B5EF4-FFF2-40B4-BE49-F238E27FC236}">
              <a16:creationId xmlns:a16="http://schemas.microsoft.com/office/drawing/2014/main" id="{AC787670-5842-470C-BA9F-4867089141F5}"/>
            </a:ext>
            <a:ext uri="{147F2762-F138-4A5C-976F-8EAC2B608ADB}">
              <a16:predDERef xmlns:a16="http://schemas.microsoft.com/office/drawing/2014/main" pred="{2ED28DF3-02B5-45A8-8404-138FA4A3ED06}"/>
            </a:ext>
          </a:extLst>
        </xdr:cNvPr>
        <xdr:cNvPicPr>
          <a:picLocks noChangeAspect="1"/>
        </xdr:cNvPicPr>
      </xdr:nvPicPr>
      <xdr:blipFill>
        <a:blip xmlns:r="http://schemas.openxmlformats.org/officeDocument/2006/relationships" r:embed="rId5"/>
        <a:stretch>
          <a:fillRect/>
        </a:stretch>
      </xdr:blipFill>
      <xdr:spPr>
        <a:xfrm>
          <a:off x="32956500" y="48387000"/>
          <a:ext cx="914400" cy="228600"/>
        </a:xfrm>
        <a:prstGeom prst="rect">
          <a:avLst/>
        </a:prstGeom>
      </xdr:spPr>
    </xdr:pic>
    <xdr:clientData/>
  </xdr:oneCellAnchor>
  <xdr:oneCellAnchor>
    <xdr:from>
      <xdr:col>25</xdr:col>
      <xdr:colOff>0</xdr:colOff>
      <xdr:row>51</xdr:row>
      <xdr:rowOff>0</xdr:rowOff>
    </xdr:from>
    <xdr:ext cx="914400" cy="228600"/>
    <xdr:pic>
      <xdr:nvPicPr>
        <xdr:cNvPr id="192" name="Control 4" hidden="1">
          <a:extLst>
            <a:ext uri="{FF2B5EF4-FFF2-40B4-BE49-F238E27FC236}">
              <a16:creationId xmlns:a16="http://schemas.microsoft.com/office/drawing/2014/main" id="{FDC1FD6E-F1D7-414F-8882-DA397FF1B35D}"/>
            </a:ext>
            <a:ext uri="{147F2762-F138-4A5C-976F-8EAC2B608ADB}">
              <a16:predDERef xmlns:a16="http://schemas.microsoft.com/office/drawing/2014/main" pred="{42526FFE-5A8B-4DE2-9367-7BAD058F1BC7}"/>
            </a:ext>
          </a:extLst>
        </xdr:cNvPr>
        <xdr:cNvPicPr>
          <a:picLocks noChangeAspect="1"/>
        </xdr:cNvPicPr>
      </xdr:nvPicPr>
      <xdr:blipFill>
        <a:blip xmlns:r="http://schemas.openxmlformats.org/officeDocument/2006/relationships" r:embed="rId1"/>
        <a:stretch>
          <a:fillRect/>
        </a:stretch>
      </xdr:blipFill>
      <xdr:spPr>
        <a:xfrm>
          <a:off x="32956500" y="48387000"/>
          <a:ext cx="914400" cy="228600"/>
        </a:xfrm>
        <a:prstGeom prst="rect">
          <a:avLst/>
        </a:prstGeom>
      </xdr:spPr>
    </xdr:pic>
    <xdr:clientData/>
  </xdr:oneCellAnchor>
  <xdr:oneCellAnchor>
    <xdr:from>
      <xdr:col>25</xdr:col>
      <xdr:colOff>0</xdr:colOff>
      <xdr:row>51</xdr:row>
      <xdr:rowOff>0</xdr:rowOff>
    </xdr:from>
    <xdr:ext cx="914400" cy="228600"/>
    <xdr:pic>
      <xdr:nvPicPr>
        <xdr:cNvPr id="193" name="Control 5" hidden="1">
          <a:extLst>
            <a:ext uri="{FF2B5EF4-FFF2-40B4-BE49-F238E27FC236}">
              <a16:creationId xmlns:a16="http://schemas.microsoft.com/office/drawing/2014/main" id="{34E4BEC2-7BEA-4B4C-82F6-3E3E1C5D6E37}"/>
            </a:ext>
            <a:ext uri="{147F2762-F138-4A5C-976F-8EAC2B608ADB}">
              <a16:predDERef xmlns:a16="http://schemas.microsoft.com/office/drawing/2014/main" pred="{FDC1FD6E-F1D7-414F-8882-DA397FF1B35D}"/>
            </a:ext>
          </a:extLst>
        </xdr:cNvPr>
        <xdr:cNvPicPr>
          <a:picLocks noChangeAspect="1"/>
        </xdr:cNvPicPr>
      </xdr:nvPicPr>
      <xdr:blipFill>
        <a:blip xmlns:r="http://schemas.openxmlformats.org/officeDocument/2006/relationships" r:embed="rId2"/>
        <a:stretch>
          <a:fillRect/>
        </a:stretch>
      </xdr:blipFill>
      <xdr:spPr>
        <a:xfrm>
          <a:off x="32956500" y="48387000"/>
          <a:ext cx="914400" cy="228600"/>
        </a:xfrm>
        <a:prstGeom prst="rect">
          <a:avLst/>
        </a:prstGeom>
      </xdr:spPr>
    </xdr:pic>
    <xdr:clientData/>
  </xdr:oneCellAnchor>
  <xdr:oneCellAnchor>
    <xdr:from>
      <xdr:col>25</xdr:col>
      <xdr:colOff>0</xdr:colOff>
      <xdr:row>51</xdr:row>
      <xdr:rowOff>0</xdr:rowOff>
    </xdr:from>
    <xdr:ext cx="914400" cy="228600"/>
    <xdr:pic>
      <xdr:nvPicPr>
        <xdr:cNvPr id="194" name="Control 6" hidden="1">
          <a:extLst>
            <a:ext uri="{FF2B5EF4-FFF2-40B4-BE49-F238E27FC236}">
              <a16:creationId xmlns:a16="http://schemas.microsoft.com/office/drawing/2014/main" id="{5C8CAB3B-FA0C-413F-BB17-6B419EAF1A61}"/>
            </a:ext>
            <a:ext uri="{147F2762-F138-4A5C-976F-8EAC2B608ADB}">
              <a16:predDERef xmlns:a16="http://schemas.microsoft.com/office/drawing/2014/main" pred="{34E4BEC2-7BEA-4B4C-82F6-3E3E1C5D6E37}"/>
            </a:ext>
          </a:extLst>
        </xdr:cNvPr>
        <xdr:cNvPicPr>
          <a:picLocks noChangeAspect="1"/>
        </xdr:cNvPicPr>
      </xdr:nvPicPr>
      <xdr:blipFill>
        <a:blip xmlns:r="http://schemas.openxmlformats.org/officeDocument/2006/relationships" r:embed="rId3"/>
        <a:stretch>
          <a:fillRect/>
        </a:stretch>
      </xdr:blipFill>
      <xdr:spPr>
        <a:xfrm>
          <a:off x="32956500" y="48387000"/>
          <a:ext cx="914400" cy="228600"/>
        </a:xfrm>
        <a:prstGeom prst="rect">
          <a:avLst/>
        </a:prstGeom>
      </xdr:spPr>
    </xdr:pic>
    <xdr:clientData/>
  </xdr:oneCellAnchor>
  <xdr:oneCellAnchor>
    <xdr:from>
      <xdr:col>25</xdr:col>
      <xdr:colOff>0</xdr:colOff>
      <xdr:row>51</xdr:row>
      <xdr:rowOff>0</xdr:rowOff>
    </xdr:from>
    <xdr:ext cx="914400" cy="228600"/>
    <xdr:pic>
      <xdr:nvPicPr>
        <xdr:cNvPr id="195" name="Control 7" hidden="1">
          <a:extLst>
            <a:ext uri="{FF2B5EF4-FFF2-40B4-BE49-F238E27FC236}">
              <a16:creationId xmlns:a16="http://schemas.microsoft.com/office/drawing/2014/main" id="{16E9E691-E24E-4C29-AB78-ADA39B07D895}"/>
            </a:ext>
            <a:ext uri="{147F2762-F138-4A5C-976F-8EAC2B608ADB}">
              <a16:predDERef xmlns:a16="http://schemas.microsoft.com/office/drawing/2014/main" pred="{5C8CAB3B-FA0C-413F-BB17-6B419EAF1A61}"/>
            </a:ext>
          </a:extLst>
        </xdr:cNvPr>
        <xdr:cNvPicPr>
          <a:picLocks noChangeAspect="1"/>
        </xdr:cNvPicPr>
      </xdr:nvPicPr>
      <xdr:blipFill>
        <a:blip xmlns:r="http://schemas.openxmlformats.org/officeDocument/2006/relationships" r:embed="rId4"/>
        <a:stretch>
          <a:fillRect/>
        </a:stretch>
      </xdr:blipFill>
      <xdr:spPr>
        <a:xfrm>
          <a:off x="32956500" y="48387000"/>
          <a:ext cx="914400" cy="228600"/>
        </a:xfrm>
        <a:prstGeom prst="rect">
          <a:avLst/>
        </a:prstGeom>
      </xdr:spPr>
    </xdr:pic>
    <xdr:clientData/>
  </xdr:oneCellAnchor>
  <xdr:oneCellAnchor>
    <xdr:from>
      <xdr:col>25</xdr:col>
      <xdr:colOff>0</xdr:colOff>
      <xdr:row>51</xdr:row>
      <xdr:rowOff>0</xdr:rowOff>
    </xdr:from>
    <xdr:ext cx="914400" cy="228600"/>
    <xdr:pic>
      <xdr:nvPicPr>
        <xdr:cNvPr id="196" name="Control 8" hidden="1">
          <a:extLst>
            <a:ext uri="{FF2B5EF4-FFF2-40B4-BE49-F238E27FC236}">
              <a16:creationId xmlns:a16="http://schemas.microsoft.com/office/drawing/2014/main" id="{F5125C8B-AF24-40EC-AFB7-6186232D05C4}"/>
            </a:ext>
            <a:ext uri="{147F2762-F138-4A5C-976F-8EAC2B608ADB}">
              <a16:predDERef xmlns:a16="http://schemas.microsoft.com/office/drawing/2014/main" pred="{16E9E691-E24E-4C29-AB78-ADA39B07D895}"/>
            </a:ext>
          </a:extLst>
        </xdr:cNvPr>
        <xdr:cNvPicPr>
          <a:picLocks noChangeAspect="1"/>
        </xdr:cNvPicPr>
      </xdr:nvPicPr>
      <xdr:blipFill>
        <a:blip xmlns:r="http://schemas.openxmlformats.org/officeDocument/2006/relationships" r:embed="rId5"/>
        <a:stretch>
          <a:fillRect/>
        </a:stretch>
      </xdr:blipFill>
      <xdr:spPr>
        <a:xfrm>
          <a:off x="32956500" y="48387000"/>
          <a:ext cx="914400" cy="228600"/>
        </a:xfrm>
        <a:prstGeom prst="rect">
          <a:avLst/>
        </a:prstGeom>
      </xdr:spPr>
    </xdr:pic>
    <xdr:clientData/>
  </xdr:oneCellAnchor>
  <xdr:oneCellAnchor>
    <xdr:from>
      <xdr:col>25</xdr:col>
      <xdr:colOff>0</xdr:colOff>
      <xdr:row>52</xdr:row>
      <xdr:rowOff>0</xdr:rowOff>
    </xdr:from>
    <xdr:ext cx="914400" cy="228600"/>
    <xdr:pic>
      <xdr:nvPicPr>
        <xdr:cNvPr id="197" name="Control 4" hidden="1">
          <a:extLst>
            <a:ext uri="{FF2B5EF4-FFF2-40B4-BE49-F238E27FC236}">
              <a16:creationId xmlns:a16="http://schemas.microsoft.com/office/drawing/2014/main" id="{4269FBC2-71B3-4DCE-91AC-7B6C445ACC16}"/>
            </a:ext>
            <a:ext uri="{147F2762-F138-4A5C-976F-8EAC2B608ADB}">
              <a16:predDERef xmlns:a16="http://schemas.microsoft.com/office/drawing/2014/main" pred="{F5125C8B-AF24-40EC-AFB7-6186232D05C4}"/>
            </a:ext>
          </a:extLst>
        </xdr:cNvPr>
        <xdr:cNvPicPr>
          <a:picLocks noChangeAspect="1"/>
        </xdr:cNvPicPr>
      </xdr:nvPicPr>
      <xdr:blipFill>
        <a:blip xmlns:r="http://schemas.openxmlformats.org/officeDocument/2006/relationships" r:embed="rId1"/>
        <a:stretch>
          <a:fillRect/>
        </a:stretch>
      </xdr:blipFill>
      <xdr:spPr>
        <a:xfrm>
          <a:off x="32956500" y="48387000"/>
          <a:ext cx="914400" cy="228600"/>
        </a:xfrm>
        <a:prstGeom prst="rect">
          <a:avLst/>
        </a:prstGeom>
      </xdr:spPr>
    </xdr:pic>
    <xdr:clientData/>
  </xdr:oneCellAnchor>
  <xdr:oneCellAnchor>
    <xdr:from>
      <xdr:col>25</xdr:col>
      <xdr:colOff>0</xdr:colOff>
      <xdr:row>52</xdr:row>
      <xdr:rowOff>0</xdr:rowOff>
    </xdr:from>
    <xdr:ext cx="914400" cy="228600"/>
    <xdr:pic>
      <xdr:nvPicPr>
        <xdr:cNvPr id="198" name="Control 5" hidden="1">
          <a:extLst>
            <a:ext uri="{FF2B5EF4-FFF2-40B4-BE49-F238E27FC236}">
              <a16:creationId xmlns:a16="http://schemas.microsoft.com/office/drawing/2014/main" id="{79CEB019-CCD4-46E2-90DC-3FE9B940491F}"/>
            </a:ext>
            <a:ext uri="{147F2762-F138-4A5C-976F-8EAC2B608ADB}">
              <a16:predDERef xmlns:a16="http://schemas.microsoft.com/office/drawing/2014/main" pred="{4269FBC2-71B3-4DCE-91AC-7B6C445ACC16}"/>
            </a:ext>
          </a:extLst>
        </xdr:cNvPr>
        <xdr:cNvPicPr>
          <a:picLocks noChangeAspect="1"/>
        </xdr:cNvPicPr>
      </xdr:nvPicPr>
      <xdr:blipFill>
        <a:blip xmlns:r="http://schemas.openxmlformats.org/officeDocument/2006/relationships" r:embed="rId2"/>
        <a:stretch>
          <a:fillRect/>
        </a:stretch>
      </xdr:blipFill>
      <xdr:spPr>
        <a:xfrm>
          <a:off x="32956500" y="48387000"/>
          <a:ext cx="914400" cy="228600"/>
        </a:xfrm>
        <a:prstGeom prst="rect">
          <a:avLst/>
        </a:prstGeom>
      </xdr:spPr>
    </xdr:pic>
    <xdr:clientData/>
  </xdr:oneCellAnchor>
  <xdr:oneCellAnchor>
    <xdr:from>
      <xdr:col>25</xdr:col>
      <xdr:colOff>0</xdr:colOff>
      <xdr:row>52</xdr:row>
      <xdr:rowOff>0</xdr:rowOff>
    </xdr:from>
    <xdr:ext cx="914400" cy="228600"/>
    <xdr:pic>
      <xdr:nvPicPr>
        <xdr:cNvPr id="199" name="Control 6" hidden="1">
          <a:extLst>
            <a:ext uri="{FF2B5EF4-FFF2-40B4-BE49-F238E27FC236}">
              <a16:creationId xmlns:a16="http://schemas.microsoft.com/office/drawing/2014/main" id="{0BA3E029-40FE-4CD3-A3A6-7B23EEDDC7F2}"/>
            </a:ext>
            <a:ext uri="{147F2762-F138-4A5C-976F-8EAC2B608ADB}">
              <a16:predDERef xmlns:a16="http://schemas.microsoft.com/office/drawing/2014/main" pred="{79CEB019-CCD4-46E2-90DC-3FE9B940491F}"/>
            </a:ext>
          </a:extLst>
        </xdr:cNvPr>
        <xdr:cNvPicPr>
          <a:picLocks noChangeAspect="1"/>
        </xdr:cNvPicPr>
      </xdr:nvPicPr>
      <xdr:blipFill>
        <a:blip xmlns:r="http://schemas.openxmlformats.org/officeDocument/2006/relationships" r:embed="rId3"/>
        <a:stretch>
          <a:fillRect/>
        </a:stretch>
      </xdr:blipFill>
      <xdr:spPr>
        <a:xfrm>
          <a:off x="32956500" y="48387000"/>
          <a:ext cx="914400" cy="228600"/>
        </a:xfrm>
        <a:prstGeom prst="rect">
          <a:avLst/>
        </a:prstGeom>
      </xdr:spPr>
    </xdr:pic>
    <xdr:clientData/>
  </xdr:oneCellAnchor>
  <xdr:oneCellAnchor>
    <xdr:from>
      <xdr:col>25</xdr:col>
      <xdr:colOff>0</xdr:colOff>
      <xdr:row>52</xdr:row>
      <xdr:rowOff>0</xdr:rowOff>
    </xdr:from>
    <xdr:ext cx="914400" cy="228600"/>
    <xdr:pic>
      <xdr:nvPicPr>
        <xdr:cNvPr id="200" name="Control 7" hidden="1">
          <a:extLst>
            <a:ext uri="{FF2B5EF4-FFF2-40B4-BE49-F238E27FC236}">
              <a16:creationId xmlns:a16="http://schemas.microsoft.com/office/drawing/2014/main" id="{3266EF86-49F0-4F70-808B-57820D8EFE9E}"/>
            </a:ext>
            <a:ext uri="{147F2762-F138-4A5C-976F-8EAC2B608ADB}">
              <a16:predDERef xmlns:a16="http://schemas.microsoft.com/office/drawing/2014/main" pred="{0BA3E029-40FE-4CD3-A3A6-7B23EEDDC7F2}"/>
            </a:ext>
          </a:extLst>
        </xdr:cNvPr>
        <xdr:cNvPicPr>
          <a:picLocks noChangeAspect="1"/>
        </xdr:cNvPicPr>
      </xdr:nvPicPr>
      <xdr:blipFill>
        <a:blip xmlns:r="http://schemas.openxmlformats.org/officeDocument/2006/relationships" r:embed="rId4"/>
        <a:stretch>
          <a:fillRect/>
        </a:stretch>
      </xdr:blipFill>
      <xdr:spPr>
        <a:xfrm>
          <a:off x="32956500" y="48387000"/>
          <a:ext cx="914400" cy="228600"/>
        </a:xfrm>
        <a:prstGeom prst="rect">
          <a:avLst/>
        </a:prstGeom>
      </xdr:spPr>
    </xdr:pic>
    <xdr:clientData/>
  </xdr:oneCellAnchor>
  <xdr:oneCellAnchor>
    <xdr:from>
      <xdr:col>25</xdr:col>
      <xdr:colOff>0</xdr:colOff>
      <xdr:row>52</xdr:row>
      <xdr:rowOff>0</xdr:rowOff>
    </xdr:from>
    <xdr:ext cx="914400" cy="228600"/>
    <xdr:pic>
      <xdr:nvPicPr>
        <xdr:cNvPr id="201" name="Control 8" hidden="1">
          <a:extLst>
            <a:ext uri="{FF2B5EF4-FFF2-40B4-BE49-F238E27FC236}">
              <a16:creationId xmlns:a16="http://schemas.microsoft.com/office/drawing/2014/main" id="{58F5F3D4-6F4E-4C4B-967B-8A3EB1109A07}"/>
            </a:ext>
            <a:ext uri="{147F2762-F138-4A5C-976F-8EAC2B608ADB}">
              <a16:predDERef xmlns:a16="http://schemas.microsoft.com/office/drawing/2014/main" pred="{3266EF86-49F0-4F70-808B-57820D8EFE9E}"/>
            </a:ext>
          </a:extLst>
        </xdr:cNvPr>
        <xdr:cNvPicPr>
          <a:picLocks noChangeAspect="1"/>
        </xdr:cNvPicPr>
      </xdr:nvPicPr>
      <xdr:blipFill>
        <a:blip xmlns:r="http://schemas.openxmlformats.org/officeDocument/2006/relationships" r:embed="rId5"/>
        <a:stretch>
          <a:fillRect/>
        </a:stretch>
      </xdr:blipFill>
      <xdr:spPr>
        <a:xfrm>
          <a:off x="32956500" y="48387000"/>
          <a:ext cx="914400" cy="228600"/>
        </a:xfrm>
        <a:prstGeom prst="rect">
          <a:avLst/>
        </a:prstGeom>
      </xdr:spPr>
    </xdr:pic>
    <xdr:clientData/>
  </xdr:oneCellAnchor>
  <xdr:oneCellAnchor>
    <xdr:from>
      <xdr:col>25</xdr:col>
      <xdr:colOff>0</xdr:colOff>
      <xdr:row>53</xdr:row>
      <xdr:rowOff>0</xdr:rowOff>
    </xdr:from>
    <xdr:ext cx="914400" cy="228600"/>
    <xdr:pic>
      <xdr:nvPicPr>
        <xdr:cNvPr id="202" name="Control 4" hidden="1">
          <a:extLst>
            <a:ext uri="{FF2B5EF4-FFF2-40B4-BE49-F238E27FC236}">
              <a16:creationId xmlns:a16="http://schemas.microsoft.com/office/drawing/2014/main" id="{0E5C8CDD-1F81-4C6F-8128-346E835B8EB7}"/>
            </a:ext>
            <a:ext uri="{147F2762-F138-4A5C-976F-8EAC2B608ADB}">
              <a16:predDERef xmlns:a16="http://schemas.microsoft.com/office/drawing/2014/main" pred="{58F5F3D4-6F4E-4C4B-967B-8A3EB1109A07}"/>
            </a:ext>
          </a:extLst>
        </xdr:cNvPr>
        <xdr:cNvPicPr>
          <a:picLocks noChangeAspect="1"/>
        </xdr:cNvPicPr>
      </xdr:nvPicPr>
      <xdr:blipFill>
        <a:blip xmlns:r="http://schemas.openxmlformats.org/officeDocument/2006/relationships" r:embed="rId1"/>
        <a:stretch>
          <a:fillRect/>
        </a:stretch>
      </xdr:blipFill>
      <xdr:spPr>
        <a:xfrm>
          <a:off x="32956500" y="48387000"/>
          <a:ext cx="914400" cy="228600"/>
        </a:xfrm>
        <a:prstGeom prst="rect">
          <a:avLst/>
        </a:prstGeom>
      </xdr:spPr>
    </xdr:pic>
    <xdr:clientData/>
  </xdr:oneCellAnchor>
  <xdr:oneCellAnchor>
    <xdr:from>
      <xdr:col>25</xdr:col>
      <xdr:colOff>0</xdr:colOff>
      <xdr:row>53</xdr:row>
      <xdr:rowOff>0</xdr:rowOff>
    </xdr:from>
    <xdr:ext cx="914400" cy="228600"/>
    <xdr:pic>
      <xdr:nvPicPr>
        <xdr:cNvPr id="203" name="Control 5" hidden="1">
          <a:extLst>
            <a:ext uri="{FF2B5EF4-FFF2-40B4-BE49-F238E27FC236}">
              <a16:creationId xmlns:a16="http://schemas.microsoft.com/office/drawing/2014/main" id="{9DF7260C-67F2-41A7-9F3E-9F0C76AFE6B8}"/>
            </a:ext>
            <a:ext uri="{147F2762-F138-4A5C-976F-8EAC2B608ADB}">
              <a16:predDERef xmlns:a16="http://schemas.microsoft.com/office/drawing/2014/main" pred="{0E5C8CDD-1F81-4C6F-8128-346E835B8EB7}"/>
            </a:ext>
          </a:extLst>
        </xdr:cNvPr>
        <xdr:cNvPicPr>
          <a:picLocks noChangeAspect="1"/>
        </xdr:cNvPicPr>
      </xdr:nvPicPr>
      <xdr:blipFill>
        <a:blip xmlns:r="http://schemas.openxmlformats.org/officeDocument/2006/relationships" r:embed="rId2"/>
        <a:stretch>
          <a:fillRect/>
        </a:stretch>
      </xdr:blipFill>
      <xdr:spPr>
        <a:xfrm>
          <a:off x="32956500" y="48387000"/>
          <a:ext cx="914400" cy="228600"/>
        </a:xfrm>
        <a:prstGeom prst="rect">
          <a:avLst/>
        </a:prstGeom>
      </xdr:spPr>
    </xdr:pic>
    <xdr:clientData/>
  </xdr:oneCellAnchor>
  <xdr:oneCellAnchor>
    <xdr:from>
      <xdr:col>25</xdr:col>
      <xdr:colOff>0</xdr:colOff>
      <xdr:row>53</xdr:row>
      <xdr:rowOff>0</xdr:rowOff>
    </xdr:from>
    <xdr:ext cx="914400" cy="228600"/>
    <xdr:pic>
      <xdr:nvPicPr>
        <xdr:cNvPr id="204" name="Control 6" hidden="1">
          <a:extLst>
            <a:ext uri="{FF2B5EF4-FFF2-40B4-BE49-F238E27FC236}">
              <a16:creationId xmlns:a16="http://schemas.microsoft.com/office/drawing/2014/main" id="{D14B5196-183B-43A5-A041-9983937FDD57}"/>
            </a:ext>
            <a:ext uri="{147F2762-F138-4A5C-976F-8EAC2B608ADB}">
              <a16:predDERef xmlns:a16="http://schemas.microsoft.com/office/drawing/2014/main" pred="{9DF7260C-67F2-41A7-9F3E-9F0C76AFE6B8}"/>
            </a:ext>
          </a:extLst>
        </xdr:cNvPr>
        <xdr:cNvPicPr>
          <a:picLocks noChangeAspect="1"/>
        </xdr:cNvPicPr>
      </xdr:nvPicPr>
      <xdr:blipFill>
        <a:blip xmlns:r="http://schemas.openxmlformats.org/officeDocument/2006/relationships" r:embed="rId3"/>
        <a:stretch>
          <a:fillRect/>
        </a:stretch>
      </xdr:blipFill>
      <xdr:spPr>
        <a:xfrm>
          <a:off x="32956500" y="48387000"/>
          <a:ext cx="914400" cy="228600"/>
        </a:xfrm>
        <a:prstGeom prst="rect">
          <a:avLst/>
        </a:prstGeom>
      </xdr:spPr>
    </xdr:pic>
    <xdr:clientData/>
  </xdr:oneCellAnchor>
  <xdr:oneCellAnchor>
    <xdr:from>
      <xdr:col>25</xdr:col>
      <xdr:colOff>0</xdr:colOff>
      <xdr:row>53</xdr:row>
      <xdr:rowOff>0</xdr:rowOff>
    </xdr:from>
    <xdr:ext cx="914400" cy="228600"/>
    <xdr:pic>
      <xdr:nvPicPr>
        <xdr:cNvPr id="205" name="Control 7" hidden="1">
          <a:extLst>
            <a:ext uri="{FF2B5EF4-FFF2-40B4-BE49-F238E27FC236}">
              <a16:creationId xmlns:a16="http://schemas.microsoft.com/office/drawing/2014/main" id="{CB491A93-A3DC-41E3-B6F2-69A4DF7C763C}"/>
            </a:ext>
            <a:ext uri="{147F2762-F138-4A5C-976F-8EAC2B608ADB}">
              <a16:predDERef xmlns:a16="http://schemas.microsoft.com/office/drawing/2014/main" pred="{D14B5196-183B-43A5-A041-9983937FDD57}"/>
            </a:ext>
          </a:extLst>
        </xdr:cNvPr>
        <xdr:cNvPicPr>
          <a:picLocks noChangeAspect="1"/>
        </xdr:cNvPicPr>
      </xdr:nvPicPr>
      <xdr:blipFill>
        <a:blip xmlns:r="http://schemas.openxmlformats.org/officeDocument/2006/relationships" r:embed="rId4"/>
        <a:stretch>
          <a:fillRect/>
        </a:stretch>
      </xdr:blipFill>
      <xdr:spPr>
        <a:xfrm>
          <a:off x="32956500" y="48387000"/>
          <a:ext cx="914400" cy="228600"/>
        </a:xfrm>
        <a:prstGeom prst="rect">
          <a:avLst/>
        </a:prstGeom>
      </xdr:spPr>
    </xdr:pic>
    <xdr:clientData/>
  </xdr:oneCellAnchor>
  <xdr:oneCellAnchor>
    <xdr:from>
      <xdr:col>25</xdr:col>
      <xdr:colOff>0</xdr:colOff>
      <xdr:row>53</xdr:row>
      <xdr:rowOff>0</xdr:rowOff>
    </xdr:from>
    <xdr:ext cx="914400" cy="228600"/>
    <xdr:pic>
      <xdr:nvPicPr>
        <xdr:cNvPr id="206" name="Control 8" hidden="1">
          <a:extLst>
            <a:ext uri="{FF2B5EF4-FFF2-40B4-BE49-F238E27FC236}">
              <a16:creationId xmlns:a16="http://schemas.microsoft.com/office/drawing/2014/main" id="{91F8C11B-0B92-4091-A6F7-B795701B4B8A}"/>
            </a:ext>
            <a:ext uri="{147F2762-F138-4A5C-976F-8EAC2B608ADB}">
              <a16:predDERef xmlns:a16="http://schemas.microsoft.com/office/drawing/2014/main" pred="{CB491A93-A3DC-41E3-B6F2-69A4DF7C763C}"/>
            </a:ext>
          </a:extLst>
        </xdr:cNvPr>
        <xdr:cNvPicPr>
          <a:picLocks noChangeAspect="1"/>
        </xdr:cNvPicPr>
      </xdr:nvPicPr>
      <xdr:blipFill>
        <a:blip xmlns:r="http://schemas.openxmlformats.org/officeDocument/2006/relationships" r:embed="rId5"/>
        <a:stretch>
          <a:fillRect/>
        </a:stretch>
      </xdr:blipFill>
      <xdr:spPr>
        <a:xfrm>
          <a:off x="32956500" y="48387000"/>
          <a:ext cx="914400" cy="228600"/>
        </a:xfrm>
        <a:prstGeom prst="rect">
          <a:avLst/>
        </a:prstGeom>
      </xdr:spPr>
    </xdr:pic>
    <xdr:clientData/>
  </xdr:oneCellAnchor>
  <xdr:oneCellAnchor>
    <xdr:from>
      <xdr:col>25</xdr:col>
      <xdr:colOff>0</xdr:colOff>
      <xdr:row>54</xdr:row>
      <xdr:rowOff>0</xdr:rowOff>
    </xdr:from>
    <xdr:ext cx="914400" cy="228600"/>
    <xdr:pic>
      <xdr:nvPicPr>
        <xdr:cNvPr id="207" name="Control 4" hidden="1">
          <a:extLst>
            <a:ext uri="{FF2B5EF4-FFF2-40B4-BE49-F238E27FC236}">
              <a16:creationId xmlns:a16="http://schemas.microsoft.com/office/drawing/2014/main" id="{D2114C6B-CE3C-4DA0-8AEF-F6B395FADB4E}"/>
            </a:ext>
            <a:ext uri="{147F2762-F138-4A5C-976F-8EAC2B608ADB}">
              <a16:predDERef xmlns:a16="http://schemas.microsoft.com/office/drawing/2014/main" pred="{91F8C11B-0B92-4091-A6F7-B795701B4B8A}"/>
            </a:ext>
          </a:extLst>
        </xdr:cNvPr>
        <xdr:cNvPicPr>
          <a:picLocks noChangeAspect="1"/>
        </xdr:cNvPicPr>
      </xdr:nvPicPr>
      <xdr:blipFill>
        <a:blip xmlns:r="http://schemas.openxmlformats.org/officeDocument/2006/relationships" r:embed="rId1"/>
        <a:stretch>
          <a:fillRect/>
        </a:stretch>
      </xdr:blipFill>
      <xdr:spPr>
        <a:xfrm>
          <a:off x="32956500" y="48387000"/>
          <a:ext cx="914400" cy="228600"/>
        </a:xfrm>
        <a:prstGeom prst="rect">
          <a:avLst/>
        </a:prstGeom>
      </xdr:spPr>
    </xdr:pic>
    <xdr:clientData/>
  </xdr:oneCellAnchor>
  <xdr:oneCellAnchor>
    <xdr:from>
      <xdr:col>25</xdr:col>
      <xdr:colOff>0</xdr:colOff>
      <xdr:row>54</xdr:row>
      <xdr:rowOff>0</xdr:rowOff>
    </xdr:from>
    <xdr:ext cx="914400" cy="228600"/>
    <xdr:pic>
      <xdr:nvPicPr>
        <xdr:cNvPr id="208" name="Control 5" hidden="1">
          <a:extLst>
            <a:ext uri="{FF2B5EF4-FFF2-40B4-BE49-F238E27FC236}">
              <a16:creationId xmlns:a16="http://schemas.microsoft.com/office/drawing/2014/main" id="{609DB3FD-276A-4638-95C3-104EFD6D873E}"/>
            </a:ext>
            <a:ext uri="{147F2762-F138-4A5C-976F-8EAC2B608ADB}">
              <a16:predDERef xmlns:a16="http://schemas.microsoft.com/office/drawing/2014/main" pred="{D2114C6B-CE3C-4DA0-8AEF-F6B395FADB4E}"/>
            </a:ext>
          </a:extLst>
        </xdr:cNvPr>
        <xdr:cNvPicPr>
          <a:picLocks noChangeAspect="1"/>
        </xdr:cNvPicPr>
      </xdr:nvPicPr>
      <xdr:blipFill>
        <a:blip xmlns:r="http://schemas.openxmlformats.org/officeDocument/2006/relationships" r:embed="rId2"/>
        <a:stretch>
          <a:fillRect/>
        </a:stretch>
      </xdr:blipFill>
      <xdr:spPr>
        <a:xfrm>
          <a:off x="32956500" y="48387000"/>
          <a:ext cx="914400" cy="228600"/>
        </a:xfrm>
        <a:prstGeom prst="rect">
          <a:avLst/>
        </a:prstGeom>
      </xdr:spPr>
    </xdr:pic>
    <xdr:clientData/>
  </xdr:oneCellAnchor>
  <xdr:oneCellAnchor>
    <xdr:from>
      <xdr:col>25</xdr:col>
      <xdr:colOff>0</xdr:colOff>
      <xdr:row>54</xdr:row>
      <xdr:rowOff>0</xdr:rowOff>
    </xdr:from>
    <xdr:ext cx="914400" cy="228600"/>
    <xdr:pic>
      <xdr:nvPicPr>
        <xdr:cNvPr id="209" name="Control 6" hidden="1">
          <a:extLst>
            <a:ext uri="{FF2B5EF4-FFF2-40B4-BE49-F238E27FC236}">
              <a16:creationId xmlns:a16="http://schemas.microsoft.com/office/drawing/2014/main" id="{2CA9FCDF-FF7A-4512-B5CD-6686F1E8E3BA}"/>
            </a:ext>
            <a:ext uri="{147F2762-F138-4A5C-976F-8EAC2B608ADB}">
              <a16:predDERef xmlns:a16="http://schemas.microsoft.com/office/drawing/2014/main" pred="{609DB3FD-276A-4638-95C3-104EFD6D873E}"/>
            </a:ext>
          </a:extLst>
        </xdr:cNvPr>
        <xdr:cNvPicPr>
          <a:picLocks noChangeAspect="1"/>
        </xdr:cNvPicPr>
      </xdr:nvPicPr>
      <xdr:blipFill>
        <a:blip xmlns:r="http://schemas.openxmlformats.org/officeDocument/2006/relationships" r:embed="rId3"/>
        <a:stretch>
          <a:fillRect/>
        </a:stretch>
      </xdr:blipFill>
      <xdr:spPr>
        <a:xfrm>
          <a:off x="32956500" y="48387000"/>
          <a:ext cx="914400" cy="228600"/>
        </a:xfrm>
        <a:prstGeom prst="rect">
          <a:avLst/>
        </a:prstGeom>
      </xdr:spPr>
    </xdr:pic>
    <xdr:clientData/>
  </xdr:oneCellAnchor>
  <xdr:oneCellAnchor>
    <xdr:from>
      <xdr:col>25</xdr:col>
      <xdr:colOff>0</xdr:colOff>
      <xdr:row>54</xdr:row>
      <xdr:rowOff>0</xdr:rowOff>
    </xdr:from>
    <xdr:ext cx="914400" cy="228600"/>
    <xdr:pic>
      <xdr:nvPicPr>
        <xdr:cNvPr id="210" name="Control 7" hidden="1">
          <a:extLst>
            <a:ext uri="{FF2B5EF4-FFF2-40B4-BE49-F238E27FC236}">
              <a16:creationId xmlns:a16="http://schemas.microsoft.com/office/drawing/2014/main" id="{4B8DEB46-D9E3-492C-A766-3B62BB0EDD2D}"/>
            </a:ext>
            <a:ext uri="{147F2762-F138-4A5C-976F-8EAC2B608ADB}">
              <a16:predDERef xmlns:a16="http://schemas.microsoft.com/office/drawing/2014/main" pred="{2CA9FCDF-FF7A-4512-B5CD-6686F1E8E3BA}"/>
            </a:ext>
          </a:extLst>
        </xdr:cNvPr>
        <xdr:cNvPicPr>
          <a:picLocks noChangeAspect="1"/>
        </xdr:cNvPicPr>
      </xdr:nvPicPr>
      <xdr:blipFill>
        <a:blip xmlns:r="http://schemas.openxmlformats.org/officeDocument/2006/relationships" r:embed="rId4"/>
        <a:stretch>
          <a:fillRect/>
        </a:stretch>
      </xdr:blipFill>
      <xdr:spPr>
        <a:xfrm>
          <a:off x="32956500" y="48387000"/>
          <a:ext cx="914400" cy="228600"/>
        </a:xfrm>
        <a:prstGeom prst="rect">
          <a:avLst/>
        </a:prstGeom>
      </xdr:spPr>
    </xdr:pic>
    <xdr:clientData/>
  </xdr:oneCellAnchor>
  <xdr:oneCellAnchor>
    <xdr:from>
      <xdr:col>25</xdr:col>
      <xdr:colOff>0</xdr:colOff>
      <xdr:row>54</xdr:row>
      <xdr:rowOff>0</xdr:rowOff>
    </xdr:from>
    <xdr:ext cx="914400" cy="228600"/>
    <xdr:pic>
      <xdr:nvPicPr>
        <xdr:cNvPr id="211" name="Control 8" hidden="1">
          <a:extLst>
            <a:ext uri="{FF2B5EF4-FFF2-40B4-BE49-F238E27FC236}">
              <a16:creationId xmlns:a16="http://schemas.microsoft.com/office/drawing/2014/main" id="{B909BC05-D938-47B5-B4F3-85DFBB8057B0}"/>
            </a:ext>
            <a:ext uri="{147F2762-F138-4A5C-976F-8EAC2B608ADB}">
              <a16:predDERef xmlns:a16="http://schemas.microsoft.com/office/drawing/2014/main" pred="{4B8DEB46-D9E3-492C-A766-3B62BB0EDD2D}"/>
            </a:ext>
          </a:extLst>
        </xdr:cNvPr>
        <xdr:cNvPicPr>
          <a:picLocks noChangeAspect="1"/>
        </xdr:cNvPicPr>
      </xdr:nvPicPr>
      <xdr:blipFill>
        <a:blip xmlns:r="http://schemas.openxmlformats.org/officeDocument/2006/relationships" r:embed="rId5"/>
        <a:stretch>
          <a:fillRect/>
        </a:stretch>
      </xdr:blipFill>
      <xdr:spPr>
        <a:xfrm>
          <a:off x="32956500" y="48387000"/>
          <a:ext cx="914400" cy="228600"/>
        </a:xfrm>
        <a:prstGeom prst="rect">
          <a:avLst/>
        </a:prstGeom>
      </xdr:spPr>
    </xdr:pic>
    <xdr:clientData/>
  </xdr:oneCellAnchor>
  <xdr:oneCellAnchor>
    <xdr:from>
      <xdr:col>25</xdr:col>
      <xdr:colOff>0</xdr:colOff>
      <xdr:row>55</xdr:row>
      <xdr:rowOff>0</xdr:rowOff>
    </xdr:from>
    <xdr:ext cx="914400" cy="228600"/>
    <xdr:pic>
      <xdr:nvPicPr>
        <xdr:cNvPr id="212" name="Control 4" hidden="1">
          <a:extLst>
            <a:ext uri="{FF2B5EF4-FFF2-40B4-BE49-F238E27FC236}">
              <a16:creationId xmlns:a16="http://schemas.microsoft.com/office/drawing/2014/main" id="{E1457479-A5B3-4291-A7C1-782E8D853CAA}"/>
            </a:ext>
            <a:ext uri="{147F2762-F138-4A5C-976F-8EAC2B608ADB}">
              <a16:predDERef xmlns:a16="http://schemas.microsoft.com/office/drawing/2014/main" pred="{B909BC05-D938-47B5-B4F3-85DFBB8057B0}"/>
            </a:ext>
          </a:extLst>
        </xdr:cNvPr>
        <xdr:cNvPicPr>
          <a:picLocks noChangeAspect="1"/>
        </xdr:cNvPicPr>
      </xdr:nvPicPr>
      <xdr:blipFill>
        <a:blip xmlns:r="http://schemas.openxmlformats.org/officeDocument/2006/relationships" r:embed="rId1"/>
        <a:stretch>
          <a:fillRect/>
        </a:stretch>
      </xdr:blipFill>
      <xdr:spPr>
        <a:xfrm>
          <a:off x="32956500" y="48387000"/>
          <a:ext cx="914400" cy="228600"/>
        </a:xfrm>
        <a:prstGeom prst="rect">
          <a:avLst/>
        </a:prstGeom>
      </xdr:spPr>
    </xdr:pic>
    <xdr:clientData/>
  </xdr:oneCellAnchor>
  <xdr:oneCellAnchor>
    <xdr:from>
      <xdr:col>25</xdr:col>
      <xdr:colOff>0</xdr:colOff>
      <xdr:row>55</xdr:row>
      <xdr:rowOff>0</xdr:rowOff>
    </xdr:from>
    <xdr:ext cx="914400" cy="228600"/>
    <xdr:pic>
      <xdr:nvPicPr>
        <xdr:cNvPr id="213" name="Control 5" hidden="1">
          <a:extLst>
            <a:ext uri="{FF2B5EF4-FFF2-40B4-BE49-F238E27FC236}">
              <a16:creationId xmlns:a16="http://schemas.microsoft.com/office/drawing/2014/main" id="{10A331FC-E215-4214-A54F-27D57659F4DA}"/>
            </a:ext>
            <a:ext uri="{147F2762-F138-4A5C-976F-8EAC2B608ADB}">
              <a16:predDERef xmlns:a16="http://schemas.microsoft.com/office/drawing/2014/main" pred="{E1457479-A5B3-4291-A7C1-782E8D853CAA}"/>
            </a:ext>
          </a:extLst>
        </xdr:cNvPr>
        <xdr:cNvPicPr>
          <a:picLocks noChangeAspect="1"/>
        </xdr:cNvPicPr>
      </xdr:nvPicPr>
      <xdr:blipFill>
        <a:blip xmlns:r="http://schemas.openxmlformats.org/officeDocument/2006/relationships" r:embed="rId2"/>
        <a:stretch>
          <a:fillRect/>
        </a:stretch>
      </xdr:blipFill>
      <xdr:spPr>
        <a:xfrm>
          <a:off x="32956500" y="48387000"/>
          <a:ext cx="914400" cy="228600"/>
        </a:xfrm>
        <a:prstGeom prst="rect">
          <a:avLst/>
        </a:prstGeom>
      </xdr:spPr>
    </xdr:pic>
    <xdr:clientData/>
  </xdr:oneCellAnchor>
  <xdr:oneCellAnchor>
    <xdr:from>
      <xdr:col>25</xdr:col>
      <xdr:colOff>0</xdr:colOff>
      <xdr:row>55</xdr:row>
      <xdr:rowOff>0</xdr:rowOff>
    </xdr:from>
    <xdr:ext cx="914400" cy="228600"/>
    <xdr:pic>
      <xdr:nvPicPr>
        <xdr:cNvPr id="214" name="Control 6" hidden="1">
          <a:extLst>
            <a:ext uri="{FF2B5EF4-FFF2-40B4-BE49-F238E27FC236}">
              <a16:creationId xmlns:a16="http://schemas.microsoft.com/office/drawing/2014/main" id="{3FFE3899-1AE8-42B6-905E-18FA546F936D}"/>
            </a:ext>
            <a:ext uri="{147F2762-F138-4A5C-976F-8EAC2B608ADB}">
              <a16:predDERef xmlns:a16="http://schemas.microsoft.com/office/drawing/2014/main" pred="{10A331FC-E215-4214-A54F-27D57659F4DA}"/>
            </a:ext>
          </a:extLst>
        </xdr:cNvPr>
        <xdr:cNvPicPr>
          <a:picLocks noChangeAspect="1"/>
        </xdr:cNvPicPr>
      </xdr:nvPicPr>
      <xdr:blipFill>
        <a:blip xmlns:r="http://schemas.openxmlformats.org/officeDocument/2006/relationships" r:embed="rId3"/>
        <a:stretch>
          <a:fillRect/>
        </a:stretch>
      </xdr:blipFill>
      <xdr:spPr>
        <a:xfrm>
          <a:off x="32956500" y="48387000"/>
          <a:ext cx="914400" cy="228600"/>
        </a:xfrm>
        <a:prstGeom prst="rect">
          <a:avLst/>
        </a:prstGeom>
      </xdr:spPr>
    </xdr:pic>
    <xdr:clientData/>
  </xdr:oneCellAnchor>
  <xdr:oneCellAnchor>
    <xdr:from>
      <xdr:col>25</xdr:col>
      <xdr:colOff>0</xdr:colOff>
      <xdr:row>55</xdr:row>
      <xdr:rowOff>0</xdr:rowOff>
    </xdr:from>
    <xdr:ext cx="914400" cy="228600"/>
    <xdr:pic>
      <xdr:nvPicPr>
        <xdr:cNvPr id="215" name="Control 7" hidden="1">
          <a:extLst>
            <a:ext uri="{FF2B5EF4-FFF2-40B4-BE49-F238E27FC236}">
              <a16:creationId xmlns:a16="http://schemas.microsoft.com/office/drawing/2014/main" id="{9ED27093-B08D-4CF9-AF64-A4E53DF92E53}"/>
            </a:ext>
            <a:ext uri="{147F2762-F138-4A5C-976F-8EAC2B608ADB}">
              <a16:predDERef xmlns:a16="http://schemas.microsoft.com/office/drawing/2014/main" pred="{3FFE3899-1AE8-42B6-905E-18FA546F936D}"/>
            </a:ext>
          </a:extLst>
        </xdr:cNvPr>
        <xdr:cNvPicPr>
          <a:picLocks noChangeAspect="1"/>
        </xdr:cNvPicPr>
      </xdr:nvPicPr>
      <xdr:blipFill>
        <a:blip xmlns:r="http://schemas.openxmlformats.org/officeDocument/2006/relationships" r:embed="rId4"/>
        <a:stretch>
          <a:fillRect/>
        </a:stretch>
      </xdr:blipFill>
      <xdr:spPr>
        <a:xfrm>
          <a:off x="32956500" y="48387000"/>
          <a:ext cx="914400" cy="228600"/>
        </a:xfrm>
        <a:prstGeom prst="rect">
          <a:avLst/>
        </a:prstGeom>
      </xdr:spPr>
    </xdr:pic>
    <xdr:clientData/>
  </xdr:oneCellAnchor>
  <xdr:oneCellAnchor>
    <xdr:from>
      <xdr:col>25</xdr:col>
      <xdr:colOff>0</xdr:colOff>
      <xdr:row>55</xdr:row>
      <xdr:rowOff>0</xdr:rowOff>
    </xdr:from>
    <xdr:ext cx="914400" cy="228600"/>
    <xdr:pic>
      <xdr:nvPicPr>
        <xdr:cNvPr id="216" name="Control 8" hidden="1">
          <a:extLst>
            <a:ext uri="{FF2B5EF4-FFF2-40B4-BE49-F238E27FC236}">
              <a16:creationId xmlns:a16="http://schemas.microsoft.com/office/drawing/2014/main" id="{5DCB3831-DE16-43D1-A52C-0DA1E769D1B2}"/>
            </a:ext>
            <a:ext uri="{147F2762-F138-4A5C-976F-8EAC2B608ADB}">
              <a16:predDERef xmlns:a16="http://schemas.microsoft.com/office/drawing/2014/main" pred="{9ED27093-B08D-4CF9-AF64-A4E53DF92E53}"/>
            </a:ext>
          </a:extLst>
        </xdr:cNvPr>
        <xdr:cNvPicPr>
          <a:picLocks noChangeAspect="1"/>
        </xdr:cNvPicPr>
      </xdr:nvPicPr>
      <xdr:blipFill>
        <a:blip xmlns:r="http://schemas.openxmlformats.org/officeDocument/2006/relationships" r:embed="rId5"/>
        <a:stretch>
          <a:fillRect/>
        </a:stretch>
      </xdr:blipFill>
      <xdr:spPr>
        <a:xfrm>
          <a:off x="32956500" y="48387000"/>
          <a:ext cx="914400" cy="228600"/>
        </a:xfrm>
        <a:prstGeom prst="rect">
          <a:avLst/>
        </a:prstGeom>
      </xdr:spPr>
    </xdr:pic>
    <xdr:clientData/>
  </xdr:oneCellAnchor>
  <xdr:oneCellAnchor>
    <xdr:from>
      <xdr:col>25</xdr:col>
      <xdr:colOff>0</xdr:colOff>
      <xdr:row>56</xdr:row>
      <xdr:rowOff>0</xdr:rowOff>
    </xdr:from>
    <xdr:ext cx="914400" cy="228600"/>
    <xdr:pic>
      <xdr:nvPicPr>
        <xdr:cNvPr id="217" name="Control 4" hidden="1">
          <a:extLst>
            <a:ext uri="{FF2B5EF4-FFF2-40B4-BE49-F238E27FC236}">
              <a16:creationId xmlns:a16="http://schemas.microsoft.com/office/drawing/2014/main" id="{085A7D39-0D42-4236-93E4-2058AFBF7219}"/>
            </a:ext>
            <a:ext uri="{147F2762-F138-4A5C-976F-8EAC2B608ADB}">
              <a16:predDERef xmlns:a16="http://schemas.microsoft.com/office/drawing/2014/main" pred="{5DCB3831-DE16-43D1-A52C-0DA1E769D1B2}"/>
            </a:ext>
          </a:extLst>
        </xdr:cNvPr>
        <xdr:cNvPicPr>
          <a:picLocks noChangeAspect="1"/>
        </xdr:cNvPicPr>
      </xdr:nvPicPr>
      <xdr:blipFill>
        <a:blip xmlns:r="http://schemas.openxmlformats.org/officeDocument/2006/relationships" r:embed="rId1"/>
        <a:stretch>
          <a:fillRect/>
        </a:stretch>
      </xdr:blipFill>
      <xdr:spPr>
        <a:xfrm>
          <a:off x="32956500" y="48387000"/>
          <a:ext cx="914400" cy="228600"/>
        </a:xfrm>
        <a:prstGeom prst="rect">
          <a:avLst/>
        </a:prstGeom>
      </xdr:spPr>
    </xdr:pic>
    <xdr:clientData/>
  </xdr:oneCellAnchor>
  <xdr:oneCellAnchor>
    <xdr:from>
      <xdr:col>25</xdr:col>
      <xdr:colOff>0</xdr:colOff>
      <xdr:row>56</xdr:row>
      <xdr:rowOff>0</xdr:rowOff>
    </xdr:from>
    <xdr:ext cx="914400" cy="228600"/>
    <xdr:pic>
      <xdr:nvPicPr>
        <xdr:cNvPr id="218" name="Control 5" hidden="1">
          <a:extLst>
            <a:ext uri="{FF2B5EF4-FFF2-40B4-BE49-F238E27FC236}">
              <a16:creationId xmlns:a16="http://schemas.microsoft.com/office/drawing/2014/main" id="{DF2F0906-79EA-47D7-A531-ED99C7317A72}"/>
            </a:ext>
            <a:ext uri="{147F2762-F138-4A5C-976F-8EAC2B608ADB}">
              <a16:predDERef xmlns:a16="http://schemas.microsoft.com/office/drawing/2014/main" pred="{085A7D39-0D42-4236-93E4-2058AFBF7219}"/>
            </a:ext>
          </a:extLst>
        </xdr:cNvPr>
        <xdr:cNvPicPr>
          <a:picLocks noChangeAspect="1"/>
        </xdr:cNvPicPr>
      </xdr:nvPicPr>
      <xdr:blipFill>
        <a:blip xmlns:r="http://schemas.openxmlformats.org/officeDocument/2006/relationships" r:embed="rId2"/>
        <a:stretch>
          <a:fillRect/>
        </a:stretch>
      </xdr:blipFill>
      <xdr:spPr>
        <a:xfrm>
          <a:off x="32956500" y="48387000"/>
          <a:ext cx="914400" cy="228600"/>
        </a:xfrm>
        <a:prstGeom prst="rect">
          <a:avLst/>
        </a:prstGeom>
      </xdr:spPr>
    </xdr:pic>
    <xdr:clientData/>
  </xdr:oneCellAnchor>
  <xdr:oneCellAnchor>
    <xdr:from>
      <xdr:col>25</xdr:col>
      <xdr:colOff>0</xdr:colOff>
      <xdr:row>56</xdr:row>
      <xdr:rowOff>0</xdr:rowOff>
    </xdr:from>
    <xdr:ext cx="914400" cy="228600"/>
    <xdr:pic>
      <xdr:nvPicPr>
        <xdr:cNvPr id="219" name="Control 6" hidden="1">
          <a:extLst>
            <a:ext uri="{FF2B5EF4-FFF2-40B4-BE49-F238E27FC236}">
              <a16:creationId xmlns:a16="http://schemas.microsoft.com/office/drawing/2014/main" id="{259FA175-B30F-44AA-AA6A-AE971F179AF4}"/>
            </a:ext>
            <a:ext uri="{147F2762-F138-4A5C-976F-8EAC2B608ADB}">
              <a16:predDERef xmlns:a16="http://schemas.microsoft.com/office/drawing/2014/main" pred="{DF2F0906-79EA-47D7-A531-ED99C7317A72}"/>
            </a:ext>
          </a:extLst>
        </xdr:cNvPr>
        <xdr:cNvPicPr>
          <a:picLocks noChangeAspect="1"/>
        </xdr:cNvPicPr>
      </xdr:nvPicPr>
      <xdr:blipFill>
        <a:blip xmlns:r="http://schemas.openxmlformats.org/officeDocument/2006/relationships" r:embed="rId3"/>
        <a:stretch>
          <a:fillRect/>
        </a:stretch>
      </xdr:blipFill>
      <xdr:spPr>
        <a:xfrm>
          <a:off x="32956500" y="48387000"/>
          <a:ext cx="914400" cy="228600"/>
        </a:xfrm>
        <a:prstGeom prst="rect">
          <a:avLst/>
        </a:prstGeom>
      </xdr:spPr>
    </xdr:pic>
    <xdr:clientData/>
  </xdr:oneCellAnchor>
  <xdr:oneCellAnchor>
    <xdr:from>
      <xdr:col>25</xdr:col>
      <xdr:colOff>0</xdr:colOff>
      <xdr:row>56</xdr:row>
      <xdr:rowOff>0</xdr:rowOff>
    </xdr:from>
    <xdr:ext cx="914400" cy="228600"/>
    <xdr:pic>
      <xdr:nvPicPr>
        <xdr:cNvPr id="220" name="Control 7" hidden="1">
          <a:extLst>
            <a:ext uri="{FF2B5EF4-FFF2-40B4-BE49-F238E27FC236}">
              <a16:creationId xmlns:a16="http://schemas.microsoft.com/office/drawing/2014/main" id="{C27F23FB-3245-4463-8ED5-9D59B46E3C36}"/>
            </a:ext>
            <a:ext uri="{147F2762-F138-4A5C-976F-8EAC2B608ADB}">
              <a16:predDERef xmlns:a16="http://schemas.microsoft.com/office/drawing/2014/main" pred="{259FA175-B30F-44AA-AA6A-AE971F179AF4}"/>
            </a:ext>
          </a:extLst>
        </xdr:cNvPr>
        <xdr:cNvPicPr>
          <a:picLocks noChangeAspect="1"/>
        </xdr:cNvPicPr>
      </xdr:nvPicPr>
      <xdr:blipFill>
        <a:blip xmlns:r="http://schemas.openxmlformats.org/officeDocument/2006/relationships" r:embed="rId4"/>
        <a:stretch>
          <a:fillRect/>
        </a:stretch>
      </xdr:blipFill>
      <xdr:spPr>
        <a:xfrm>
          <a:off x="32956500" y="48387000"/>
          <a:ext cx="914400" cy="228600"/>
        </a:xfrm>
        <a:prstGeom prst="rect">
          <a:avLst/>
        </a:prstGeom>
      </xdr:spPr>
    </xdr:pic>
    <xdr:clientData/>
  </xdr:oneCellAnchor>
  <xdr:oneCellAnchor>
    <xdr:from>
      <xdr:col>25</xdr:col>
      <xdr:colOff>0</xdr:colOff>
      <xdr:row>56</xdr:row>
      <xdr:rowOff>0</xdr:rowOff>
    </xdr:from>
    <xdr:ext cx="914400" cy="228600"/>
    <xdr:pic>
      <xdr:nvPicPr>
        <xdr:cNvPr id="221" name="Control 8" hidden="1">
          <a:extLst>
            <a:ext uri="{FF2B5EF4-FFF2-40B4-BE49-F238E27FC236}">
              <a16:creationId xmlns:a16="http://schemas.microsoft.com/office/drawing/2014/main" id="{D0CE48D7-A9FD-4C3D-90CB-E8C7A01BF9E0}"/>
            </a:ext>
            <a:ext uri="{147F2762-F138-4A5C-976F-8EAC2B608ADB}">
              <a16:predDERef xmlns:a16="http://schemas.microsoft.com/office/drawing/2014/main" pred="{C27F23FB-3245-4463-8ED5-9D59B46E3C36}"/>
            </a:ext>
          </a:extLst>
        </xdr:cNvPr>
        <xdr:cNvPicPr>
          <a:picLocks noChangeAspect="1"/>
        </xdr:cNvPicPr>
      </xdr:nvPicPr>
      <xdr:blipFill>
        <a:blip xmlns:r="http://schemas.openxmlformats.org/officeDocument/2006/relationships" r:embed="rId5"/>
        <a:stretch>
          <a:fillRect/>
        </a:stretch>
      </xdr:blipFill>
      <xdr:spPr>
        <a:xfrm>
          <a:off x="32956500" y="48387000"/>
          <a:ext cx="914400" cy="228600"/>
        </a:xfrm>
        <a:prstGeom prst="rect">
          <a:avLst/>
        </a:prstGeom>
      </xdr:spPr>
    </xdr:pic>
    <xdr:clientData/>
  </xdr:oneCellAnchor>
  <xdr:oneCellAnchor>
    <xdr:from>
      <xdr:col>25</xdr:col>
      <xdr:colOff>0</xdr:colOff>
      <xdr:row>56</xdr:row>
      <xdr:rowOff>0</xdr:rowOff>
    </xdr:from>
    <xdr:ext cx="914400" cy="228600"/>
    <xdr:pic>
      <xdr:nvPicPr>
        <xdr:cNvPr id="187" name="Control 4" hidden="1">
          <a:extLst>
            <a:ext uri="{FF2B5EF4-FFF2-40B4-BE49-F238E27FC236}">
              <a16:creationId xmlns:a16="http://schemas.microsoft.com/office/drawing/2014/main" id="{12DF2814-AC13-4AD0-8742-D4CC57BDCF32}"/>
            </a:ext>
            <a:ext uri="{147F2762-F138-4A5C-976F-8EAC2B608ADB}">
              <a16:predDERef xmlns:a16="http://schemas.microsoft.com/office/drawing/2014/main" pred="{D0CE48D7-A9FD-4C3D-90CB-E8C7A01BF9E0}"/>
            </a:ext>
          </a:extLst>
        </xdr:cNvPr>
        <xdr:cNvPicPr>
          <a:picLocks noChangeAspect="1"/>
        </xdr:cNvPicPr>
      </xdr:nvPicPr>
      <xdr:blipFill>
        <a:blip xmlns:r="http://schemas.openxmlformats.org/officeDocument/2006/relationships" r:embed="rId1"/>
        <a:stretch>
          <a:fillRect/>
        </a:stretch>
      </xdr:blipFill>
      <xdr:spPr>
        <a:xfrm>
          <a:off x="32956500" y="27241500"/>
          <a:ext cx="914400" cy="228600"/>
        </a:xfrm>
        <a:prstGeom prst="rect">
          <a:avLst/>
        </a:prstGeom>
      </xdr:spPr>
    </xdr:pic>
    <xdr:clientData/>
  </xdr:oneCellAnchor>
  <xdr:oneCellAnchor>
    <xdr:from>
      <xdr:col>25</xdr:col>
      <xdr:colOff>0</xdr:colOff>
      <xdr:row>56</xdr:row>
      <xdr:rowOff>0</xdr:rowOff>
    </xdr:from>
    <xdr:ext cx="914400" cy="228600"/>
    <xdr:pic>
      <xdr:nvPicPr>
        <xdr:cNvPr id="188" name="Control 5" hidden="1">
          <a:extLst>
            <a:ext uri="{FF2B5EF4-FFF2-40B4-BE49-F238E27FC236}">
              <a16:creationId xmlns:a16="http://schemas.microsoft.com/office/drawing/2014/main" id="{6FE43734-EE3C-415F-9314-DD0519F8B83C}"/>
            </a:ext>
            <a:ext uri="{147F2762-F138-4A5C-976F-8EAC2B608ADB}">
              <a16:predDERef xmlns:a16="http://schemas.microsoft.com/office/drawing/2014/main" pred="{12DF2814-AC13-4AD0-8742-D4CC57BDCF32}"/>
            </a:ext>
          </a:extLst>
        </xdr:cNvPr>
        <xdr:cNvPicPr>
          <a:picLocks noChangeAspect="1"/>
        </xdr:cNvPicPr>
      </xdr:nvPicPr>
      <xdr:blipFill>
        <a:blip xmlns:r="http://schemas.openxmlformats.org/officeDocument/2006/relationships" r:embed="rId2"/>
        <a:stretch>
          <a:fillRect/>
        </a:stretch>
      </xdr:blipFill>
      <xdr:spPr>
        <a:xfrm>
          <a:off x="32956500" y="27241500"/>
          <a:ext cx="914400" cy="228600"/>
        </a:xfrm>
        <a:prstGeom prst="rect">
          <a:avLst/>
        </a:prstGeom>
      </xdr:spPr>
    </xdr:pic>
    <xdr:clientData/>
  </xdr:oneCellAnchor>
  <xdr:oneCellAnchor>
    <xdr:from>
      <xdr:col>25</xdr:col>
      <xdr:colOff>0</xdr:colOff>
      <xdr:row>56</xdr:row>
      <xdr:rowOff>0</xdr:rowOff>
    </xdr:from>
    <xdr:ext cx="914400" cy="228600"/>
    <xdr:pic>
      <xdr:nvPicPr>
        <xdr:cNvPr id="189" name="Control 6" hidden="1">
          <a:extLst>
            <a:ext uri="{FF2B5EF4-FFF2-40B4-BE49-F238E27FC236}">
              <a16:creationId xmlns:a16="http://schemas.microsoft.com/office/drawing/2014/main" id="{B855587B-1171-4DBB-8FF9-12ECCEB5379A}"/>
            </a:ext>
            <a:ext uri="{147F2762-F138-4A5C-976F-8EAC2B608ADB}">
              <a16:predDERef xmlns:a16="http://schemas.microsoft.com/office/drawing/2014/main" pred="{6FE43734-EE3C-415F-9314-DD0519F8B83C}"/>
            </a:ext>
          </a:extLst>
        </xdr:cNvPr>
        <xdr:cNvPicPr>
          <a:picLocks noChangeAspect="1"/>
        </xdr:cNvPicPr>
      </xdr:nvPicPr>
      <xdr:blipFill>
        <a:blip xmlns:r="http://schemas.openxmlformats.org/officeDocument/2006/relationships" r:embed="rId3"/>
        <a:stretch>
          <a:fillRect/>
        </a:stretch>
      </xdr:blipFill>
      <xdr:spPr>
        <a:xfrm>
          <a:off x="32956500" y="27241500"/>
          <a:ext cx="914400" cy="228600"/>
        </a:xfrm>
        <a:prstGeom prst="rect">
          <a:avLst/>
        </a:prstGeom>
      </xdr:spPr>
    </xdr:pic>
    <xdr:clientData/>
  </xdr:oneCellAnchor>
  <xdr:oneCellAnchor>
    <xdr:from>
      <xdr:col>25</xdr:col>
      <xdr:colOff>0</xdr:colOff>
      <xdr:row>56</xdr:row>
      <xdr:rowOff>0</xdr:rowOff>
    </xdr:from>
    <xdr:ext cx="914400" cy="228600"/>
    <xdr:pic>
      <xdr:nvPicPr>
        <xdr:cNvPr id="190" name="Control 7" hidden="1">
          <a:extLst>
            <a:ext uri="{FF2B5EF4-FFF2-40B4-BE49-F238E27FC236}">
              <a16:creationId xmlns:a16="http://schemas.microsoft.com/office/drawing/2014/main" id="{63540664-3087-41D5-BD3E-1E222D3E9393}"/>
            </a:ext>
            <a:ext uri="{147F2762-F138-4A5C-976F-8EAC2B608ADB}">
              <a16:predDERef xmlns:a16="http://schemas.microsoft.com/office/drawing/2014/main" pred="{B855587B-1171-4DBB-8FF9-12ECCEB5379A}"/>
            </a:ext>
          </a:extLst>
        </xdr:cNvPr>
        <xdr:cNvPicPr>
          <a:picLocks noChangeAspect="1"/>
        </xdr:cNvPicPr>
      </xdr:nvPicPr>
      <xdr:blipFill>
        <a:blip xmlns:r="http://schemas.openxmlformats.org/officeDocument/2006/relationships" r:embed="rId4"/>
        <a:stretch>
          <a:fillRect/>
        </a:stretch>
      </xdr:blipFill>
      <xdr:spPr>
        <a:xfrm>
          <a:off x="32956500" y="27241500"/>
          <a:ext cx="914400" cy="228600"/>
        </a:xfrm>
        <a:prstGeom prst="rect">
          <a:avLst/>
        </a:prstGeom>
      </xdr:spPr>
    </xdr:pic>
    <xdr:clientData/>
  </xdr:oneCellAnchor>
  <xdr:oneCellAnchor>
    <xdr:from>
      <xdr:col>25</xdr:col>
      <xdr:colOff>0</xdr:colOff>
      <xdr:row>56</xdr:row>
      <xdr:rowOff>0</xdr:rowOff>
    </xdr:from>
    <xdr:ext cx="914400" cy="228600"/>
    <xdr:pic>
      <xdr:nvPicPr>
        <xdr:cNvPr id="191" name="Control 8" hidden="1">
          <a:extLst>
            <a:ext uri="{FF2B5EF4-FFF2-40B4-BE49-F238E27FC236}">
              <a16:creationId xmlns:a16="http://schemas.microsoft.com/office/drawing/2014/main" id="{24C9F0AE-D581-401A-B8EA-DA82A885EBEC}"/>
            </a:ext>
            <a:ext uri="{147F2762-F138-4A5C-976F-8EAC2B608ADB}">
              <a16:predDERef xmlns:a16="http://schemas.microsoft.com/office/drawing/2014/main" pred="{63540664-3087-41D5-BD3E-1E222D3E9393}"/>
            </a:ext>
          </a:extLst>
        </xdr:cNvPr>
        <xdr:cNvPicPr>
          <a:picLocks noChangeAspect="1"/>
        </xdr:cNvPicPr>
      </xdr:nvPicPr>
      <xdr:blipFill>
        <a:blip xmlns:r="http://schemas.openxmlformats.org/officeDocument/2006/relationships" r:embed="rId5"/>
        <a:stretch>
          <a:fillRect/>
        </a:stretch>
      </xdr:blipFill>
      <xdr:spPr>
        <a:xfrm>
          <a:off x="32956500" y="27241500"/>
          <a:ext cx="914400" cy="228600"/>
        </a:xfrm>
        <a:prstGeom prst="rect">
          <a:avLst/>
        </a:prstGeom>
      </xdr:spPr>
    </xdr:pic>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R232"/>
  <sheetViews>
    <sheetView topLeftCell="A227" zoomScale="70" zoomScaleNormal="70" workbookViewId="0">
      <selection activeCell="C235" sqref="C235"/>
    </sheetView>
  </sheetViews>
  <sheetFormatPr defaultColWidth="11.375" defaultRowHeight="53.25" customHeight="1"/>
  <cols>
    <col min="1" max="1" width="8.375" style="11" customWidth="1"/>
    <col min="2" max="2" width="7.75" style="11" customWidth="1"/>
    <col min="3" max="3" width="22.125" style="11" customWidth="1"/>
    <col min="4" max="4" width="12.125" style="12" customWidth="1"/>
    <col min="5" max="5" width="7.875" style="12" customWidth="1"/>
    <col min="6" max="6" width="7.25" style="11" customWidth="1"/>
    <col min="7" max="7" width="9.375" style="11" customWidth="1"/>
    <col min="8" max="8" width="19.875" style="11" customWidth="1"/>
    <col min="9" max="9" width="9.375" style="11" customWidth="1"/>
    <col min="10" max="10" width="14.375" style="14" customWidth="1"/>
    <col min="11" max="11" width="8.25" style="11" customWidth="1"/>
    <col min="12" max="12" width="14.375" style="13" customWidth="1"/>
    <col min="13" max="13" width="14.125" style="14" customWidth="1"/>
    <col min="14" max="14" width="19" style="11" customWidth="1"/>
    <col min="15" max="15" width="8.25" style="11" customWidth="1"/>
    <col min="16" max="16" width="10.75" style="11" customWidth="1"/>
    <col min="17" max="17" width="11.625" style="11" customWidth="1"/>
    <col min="18" max="18" width="46.375" style="11" customWidth="1"/>
    <col min="19" max="26" width="11.375" style="11"/>
    <col min="27" max="27" width="15.875" style="11" customWidth="1"/>
    <col min="28" max="28" width="17" style="11" customWidth="1"/>
    <col min="29" max="16384" width="11.375" style="11"/>
  </cols>
  <sheetData>
    <row r="1" spans="1:18" ht="15.75">
      <c r="A1" s="324" t="s">
        <v>0</v>
      </c>
      <c r="B1" s="324"/>
      <c r="C1" s="324"/>
      <c r="D1" s="324"/>
      <c r="E1" s="324"/>
      <c r="F1" s="324"/>
      <c r="G1" s="324"/>
      <c r="H1" s="324"/>
      <c r="I1" s="324"/>
      <c r="J1" s="324"/>
      <c r="K1" s="324"/>
      <c r="L1" s="324"/>
      <c r="M1" s="324"/>
      <c r="N1" s="324"/>
      <c r="O1" s="324"/>
      <c r="P1" s="324"/>
      <c r="Q1" s="324"/>
      <c r="R1" s="324"/>
    </row>
    <row r="2" spans="1:18" ht="15.75">
      <c r="A2" s="324"/>
      <c r="B2" s="324"/>
      <c r="C2" s="324"/>
      <c r="D2" s="324"/>
      <c r="E2" s="324"/>
      <c r="F2" s="324"/>
      <c r="G2" s="324"/>
      <c r="H2" s="324"/>
      <c r="I2" s="324"/>
      <c r="J2" s="324"/>
      <c r="K2" s="324"/>
      <c r="L2" s="324"/>
      <c r="M2" s="324"/>
      <c r="N2" s="324"/>
      <c r="O2" s="324"/>
      <c r="P2" s="324"/>
      <c r="Q2" s="324"/>
      <c r="R2" s="324"/>
    </row>
    <row r="3" spans="1:18" ht="15.75">
      <c r="A3" s="324"/>
      <c r="B3" s="324"/>
      <c r="C3" s="324"/>
      <c r="D3" s="324"/>
      <c r="E3" s="324"/>
      <c r="F3" s="324"/>
      <c r="G3" s="324"/>
      <c r="H3" s="324"/>
      <c r="I3" s="324"/>
      <c r="J3" s="324"/>
      <c r="K3" s="324"/>
      <c r="L3" s="324"/>
      <c r="M3" s="324"/>
      <c r="N3" s="324"/>
      <c r="O3" s="324"/>
      <c r="P3" s="324"/>
      <c r="Q3" s="324"/>
      <c r="R3" s="324"/>
    </row>
    <row r="4" spans="1:18" ht="63">
      <c r="A4" s="40" t="s">
        <v>1</v>
      </c>
      <c r="B4" s="41" t="s">
        <v>2</v>
      </c>
      <c r="C4" s="41" t="s">
        <v>3</v>
      </c>
      <c r="D4" s="42" t="s">
        <v>4</v>
      </c>
      <c r="E4" s="42" t="s">
        <v>5</v>
      </c>
      <c r="F4" s="41" t="s">
        <v>6</v>
      </c>
      <c r="G4" s="41" t="s">
        <v>7</v>
      </c>
      <c r="H4" s="41" t="s">
        <v>8</v>
      </c>
      <c r="I4" s="41" t="s">
        <v>9</v>
      </c>
      <c r="J4" s="66" t="s">
        <v>10</v>
      </c>
      <c r="K4" s="41" t="s">
        <v>11</v>
      </c>
      <c r="L4" s="67" t="s">
        <v>12</v>
      </c>
      <c r="M4" s="66" t="s">
        <v>13</v>
      </c>
      <c r="N4" s="41" t="s">
        <v>14</v>
      </c>
      <c r="O4" s="41" t="s">
        <v>15</v>
      </c>
      <c r="P4" s="41" t="s">
        <v>16</v>
      </c>
      <c r="Q4" s="81" t="s">
        <v>17</v>
      </c>
      <c r="R4" s="82" t="s">
        <v>18</v>
      </c>
    </row>
    <row r="5" spans="1:18" ht="69.95" customHeight="1">
      <c r="A5" s="43">
        <v>1</v>
      </c>
      <c r="B5" s="44" t="s">
        <v>19</v>
      </c>
      <c r="C5" s="45" t="s">
        <v>20</v>
      </c>
      <c r="D5" s="46">
        <v>3964326</v>
      </c>
      <c r="E5" s="46" t="s">
        <v>21</v>
      </c>
      <c r="F5" s="45">
        <v>82</v>
      </c>
      <c r="G5" s="47" t="s">
        <v>22</v>
      </c>
      <c r="H5" s="47" t="s">
        <v>23</v>
      </c>
      <c r="I5" s="47">
        <v>2023</v>
      </c>
      <c r="J5" s="68">
        <v>45131</v>
      </c>
      <c r="K5" s="69" t="s">
        <v>24</v>
      </c>
      <c r="L5" s="70" t="s">
        <v>25</v>
      </c>
      <c r="M5" s="71">
        <v>45161</v>
      </c>
      <c r="N5" s="47" t="s">
        <v>26</v>
      </c>
      <c r="O5" s="47" t="s">
        <v>27</v>
      </c>
      <c r="P5" s="47" t="s">
        <v>28</v>
      </c>
      <c r="Q5" s="47" t="s">
        <v>29</v>
      </c>
      <c r="R5" s="47" t="s">
        <v>30</v>
      </c>
    </row>
    <row r="6" spans="1:18" ht="53.25" customHeight="1">
      <c r="A6" s="43">
        <v>2</v>
      </c>
      <c r="B6" s="48" t="s">
        <v>19</v>
      </c>
      <c r="C6" s="49" t="s">
        <v>31</v>
      </c>
      <c r="D6" s="50">
        <v>17288562</v>
      </c>
      <c r="E6" s="50">
        <v>4</v>
      </c>
      <c r="F6" s="51">
        <v>32</v>
      </c>
      <c r="G6" s="52" t="s">
        <v>22</v>
      </c>
      <c r="H6" s="52" t="s">
        <v>23</v>
      </c>
      <c r="I6" s="52">
        <v>2023</v>
      </c>
      <c r="J6" s="72">
        <v>45127</v>
      </c>
      <c r="K6" s="73" t="s">
        <v>32</v>
      </c>
      <c r="L6" s="74" t="s">
        <v>33</v>
      </c>
      <c r="M6" s="73" t="s">
        <v>34</v>
      </c>
      <c r="N6" s="52" t="s">
        <v>35</v>
      </c>
      <c r="O6" s="52" t="s">
        <v>36</v>
      </c>
      <c r="P6" s="52" t="s">
        <v>37</v>
      </c>
      <c r="Q6" s="52" t="s">
        <v>29</v>
      </c>
      <c r="R6" s="74" t="s">
        <v>38</v>
      </c>
    </row>
    <row r="7" spans="1:18" ht="69.95" customHeight="1">
      <c r="A7" s="43">
        <v>3</v>
      </c>
      <c r="B7" s="53" t="s">
        <v>19</v>
      </c>
      <c r="C7" s="52" t="s">
        <v>39</v>
      </c>
      <c r="D7" s="54">
        <v>5792416</v>
      </c>
      <c r="E7" s="54">
        <v>0</v>
      </c>
      <c r="F7" s="55">
        <v>72</v>
      </c>
      <c r="G7" s="52" t="s">
        <v>22</v>
      </c>
      <c r="H7" s="52" t="s">
        <v>23</v>
      </c>
      <c r="I7" s="75" t="s">
        <v>40</v>
      </c>
      <c r="J7" s="76" t="s">
        <v>41</v>
      </c>
      <c r="K7" s="73" t="s">
        <v>32</v>
      </c>
      <c r="L7" s="74" t="s">
        <v>33</v>
      </c>
      <c r="M7" s="72" t="s">
        <v>34</v>
      </c>
      <c r="N7" s="75" t="s">
        <v>35</v>
      </c>
      <c r="O7" s="52" t="s">
        <v>36</v>
      </c>
      <c r="P7" s="75" t="s">
        <v>37</v>
      </c>
      <c r="Q7" s="52" t="s">
        <v>29</v>
      </c>
      <c r="R7" s="52" t="s">
        <v>30</v>
      </c>
    </row>
    <row r="8" spans="1:18" ht="69.95" customHeight="1">
      <c r="A8" s="43">
        <v>4</v>
      </c>
      <c r="B8" s="56" t="s">
        <v>19</v>
      </c>
      <c r="C8" s="49" t="s">
        <v>42</v>
      </c>
      <c r="D8" s="50">
        <v>4584055</v>
      </c>
      <c r="E8" s="50">
        <v>7</v>
      </c>
      <c r="F8" s="49"/>
      <c r="G8" s="52" t="s">
        <v>22</v>
      </c>
      <c r="H8" s="52" t="s">
        <v>23</v>
      </c>
      <c r="I8" s="52" t="s">
        <v>40</v>
      </c>
      <c r="J8" s="73" t="s">
        <v>41</v>
      </c>
      <c r="K8" s="73" t="s">
        <v>32</v>
      </c>
      <c r="L8" s="74" t="s">
        <v>33</v>
      </c>
      <c r="M8" s="73" t="s">
        <v>34</v>
      </c>
      <c r="N8" s="52" t="s">
        <v>35</v>
      </c>
      <c r="O8" s="52" t="s">
        <v>36</v>
      </c>
      <c r="P8" s="52" t="s">
        <v>37</v>
      </c>
      <c r="Q8" s="52" t="s">
        <v>29</v>
      </c>
      <c r="R8" s="52" t="s">
        <v>30</v>
      </c>
    </row>
    <row r="9" spans="1:18" ht="53.25" customHeight="1">
      <c r="A9" s="43">
        <v>5</v>
      </c>
      <c r="B9" s="48" t="s">
        <v>19</v>
      </c>
      <c r="C9" s="49" t="s">
        <v>43</v>
      </c>
      <c r="D9" s="50">
        <v>7602495</v>
      </c>
      <c r="E9" s="50">
        <v>2</v>
      </c>
      <c r="F9" s="49">
        <v>67</v>
      </c>
      <c r="G9" s="52" t="s">
        <v>22</v>
      </c>
      <c r="H9" s="52" t="s">
        <v>23</v>
      </c>
      <c r="I9" s="52" t="s">
        <v>40</v>
      </c>
      <c r="J9" s="77" t="s">
        <v>41</v>
      </c>
      <c r="K9" s="73" t="s">
        <v>32</v>
      </c>
      <c r="L9" s="74" t="s">
        <v>33</v>
      </c>
      <c r="M9" s="78">
        <v>45168</v>
      </c>
      <c r="N9" s="52" t="s">
        <v>44</v>
      </c>
      <c r="O9" s="52" t="s">
        <v>36</v>
      </c>
      <c r="P9" s="52" t="s">
        <v>37</v>
      </c>
      <c r="Q9" s="52" t="s">
        <v>29</v>
      </c>
      <c r="R9" s="74" t="s">
        <v>38</v>
      </c>
    </row>
    <row r="10" spans="1:18" s="6" customFormat="1" ht="53.25" customHeight="1">
      <c r="A10" s="43">
        <v>6</v>
      </c>
      <c r="B10" s="48" t="s">
        <v>19</v>
      </c>
      <c r="C10" s="49" t="s">
        <v>45</v>
      </c>
      <c r="D10" s="50">
        <v>5690820</v>
      </c>
      <c r="E10" s="50" t="s">
        <v>46</v>
      </c>
      <c r="F10" s="49">
        <v>77</v>
      </c>
      <c r="G10" s="52" t="s">
        <v>22</v>
      </c>
      <c r="H10" s="52" t="s">
        <v>23</v>
      </c>
      <c r="I10" s="52" t="s">
        <v>40</v>
      </c>
      <c r="J10" s="73" t="s">
        <v>41</v>
      </c>
      <c r="K10" s="73" t="s">
        <v>32</v>
      </c>
      <c r="L10" s="74" t="s">
        <v>47</v>
      </c>
      <c r="M10" s="73" t="s">
        <v>34</v>
      </c>
      <c r="N10" s="52" t="s">
        <v>35</v>
      </c>
      <c r="O10" s="52" t="s">
        <v>36</v>
      </c>
      <c r="P10" s="52" t="s">
        <v>28</v>
      </c>
      <c r="Q10" s="52" t="s">
        <v>29</v>
      </c>
      <c r="R10" s="74" t="s">
        <v>38</v>
      </c>
    </row>
    <row r="11" spans="1:18" ht="53.25" customHeight="1">
      <c r="A11" s="43">
        <v>7</v>
      </c>
      <c r="B11" s="48" t="s">
        <v>19</v>
      </c>
      <c r="C11" s="49" t="s">
        <v>48</v>
      </c>
      <c r="D11" s="50">
        <v>7490681</v>
      </c>
      <c r="E11" s="50">
        <v>8</v>
      </c>
      <c r="F11" s="49">
        <v>69</v>
      </c>
      <c r="G11" s="52" t="s">
        <v>22</v>
      </c>
      <c r="H11" s="52" t="s">
        <v>23</v>
      </c>
      <c r="I11" s="52" t="s">
        <v>40</v>
      </c>
      <c r="J11" s="73" t="s">
        <v>41</v>
      </c>
      <c r="K11" s="73" t="s">
        <v>32</v>
      </c>
      <c r="L11" s="74" t="s">
        <v>49</v>
      </c>
      <c r="M11" s="73" t="s">
        <v>34</v>
      </c>
      <c r="N11" s="52" t="s">
        <v>35</v>
      </c>
      <c r="O11" s="52" t="s">
        <v>36</v>
      </c>
      <c r="P11" s="52" t="s">
        <v>28</v>
      </c>
      <c r="Q11" s="52" t="s">
        <v>29</v>
      </c>
      <c r="R11" s="74" t="s">
        <v>38</v>
      </c>
    </row>
    <row r="12" spans="1:18" s="6" customFormat="1" ht="69.95" customHeight="1">
      <c r="A12" s="43">
        <v>8</v>
      </c>
      <c r="B12" s="48" t="s">
        <v>19</v>
      </c>
      <c r="C12" s="49" t="s">
        <v>50</v>
      </c>
      <c r="D12" s="50">
        <v>9292721</v>
      </c>
      <c r="E12" s="50">
        <v>0</v>
      </c>
      <c r="F12" s="49">
        <v>60</v>
      </c>
      <c r="G12" s="52" t="s">
        <v>22</v>
      </c>
      <c r="H12" s="52" t="s">
        <v>23</v>
      </c>
      <c r="I12" s="52" t="s">
        <v>40</v>
      </c>
      <c r="J12" s="73" t="s">
        <v>41</v>
      </c>
      <c r="K12" s="73" t="s">
        <v>32</v>
      </c>
      <c r="L12" s="74" t="s">
        <v>51</v>
      </c>
      <c r="M12" s="73" t="s">
        <v>34</v>
      </c>
      <c r="N12" s="52" t="s">
        <v>35</v>
      </c>
      <c r="O12" s="52" t="s">
        <v>36</v>
      </c>
      <c r="P12" s="52" t="s">
        <v>37</v>
      </c>
      <c r="Q12" s="52" t="s">
        <v>29</v>
      </c>
      <c r="R12" s="52" t="s">
        <v>30</v>
      </c>
    </row>
    <row r="13" spans="1:18" s="6" customFormat="1" ht="53.25" customHeight="1">
      <c r="A13" s="43">
        <v>9</v>
      </c>
      <c r="B13" s="56" t="s">
        <v>19</v>
      </c>
      <c r="C13" s="49" t="s">
        <v>52</v>
      </c>
      <c r="D13" s="50">
        <v>6154912</v>
      </c>
      <c r="E13" s="50">
        <v>9</v>
      </c>
      <c r="F13" s="49">
        <v>80</v>
      </c>
      <c r="G13" s="52" t="s">
        <v>22</v>
      </c>
      <c r="H13" s="52" t="s">
        <v>23</v>
      </c>
      <c r="I13" s="52" t="s">
        <v>40</v>
      </c>
      <c r="J13" s="73" t="s">
        <v>41</v>
      </c>
      <c r="K13" s="73" t="s">
        <v>32</v>
      </c>
      <c r="L13" s="74" t="s">
        <v>53</v>
      </c>
      <c r="M13" s="73" t="s">
        <v>34</v>
      </c>
      <c r="N13" s="52" t="s">
        <v>35</v>
      </c>
      <c r="O13" s="52" t="s">
        <v>36</v>
      </c>
      <c r="P13" s="52" t="s">
        <v>28</v>
      </c>
      <c r="Q13" s="52" t="s">
        <v>29</v>
      </c>
      <c r="R13" s="74" t="s">
        <v>38</v>
      </c>
    </row>
    <row r="14" spans="1:18" s="6" customFormat="1" ht="53.25" customHeight="1">
      <c r="A14" s="43">
        <v>10</v>
      </c>
      <c r="B14" s="52" t="s">
        <v>19</v>
      </c>
      <c r="C14" s="49" t="s">
        <v>54</v>
      </c>
      <c r="D14" s="50">
        <v>6355742</v>
      </c>
      <c r="E14" s="50">
        <v>0</v>
      </c>
      <c r="F14" s="49">
        <v>74</v>
      </c>
      <c r="G14" s="52" t="s">
        <v>22</v>
      </c>
      <c r="H14" s="52" t="s">
        <v>23</v>
      </c>
      <c r="I14" s="52" t="s">
        <v>40</v>
      </c>
      <c r="J14" s="73" t="s">
        <v>41</v>
      </c>
      <c r="K14" s="73" t="s">
        <v>32</v>
      </c>
      <c r="L14" s="74" t="s">
        <v>49</v>
      </c>
      <c r="M14" s="73" t="s">
        <v>34</v>
      </c>
      <c r="N14" s="52" t="s">
        <v>35</v>
      </c>
      <c r="O14" s="52" t="s">
        <v>36</v>
      </c>
      <c r="P14" s="52" t="s">
        <v>28</v>
      </c>
      <c r="Q14" s="52" t="s">
        <v>55</v>
      </c>
      <c r="R14" s="74" t="s">
        <v>38</v>
      </c>
    </row>
    <row r="15" spans="1:18" s="6" customFormat="1" ht="69.95" customHeight="1">
      <c r="A15" s="43">
        <v>11</v>
      </c>
      <c r="B15" s="56" t="s">
        <v>19</v>
      </c>
      <c r="C15" s="52" t="s">
        <v>56</v>
      </c>
      <c r="D15" s="50">
        <v>7440431</v>
      </c>
      <c r="E15" s="50">
        <v>6</v>
      </c>
      <c r="F15" s="49"/>
      <c r="G15" s="52"/>
      <c r="H15" s="52"/>
      <c r="I15" s="52" t="s">
        <v>40</v>
      </c>
      <c r="J15" s="73" t="s">
        <v>41</v>
      </c>
      <c r="K15" s="73" t="s">
        <v>32</v>
      </c>
      <c r="L15" s="74" t="s">
        <v>25</v>
      </c>
      <c r="M15" s="73" t="s">
        <v>34</v>
      </c>
      <c r="N15" s="52" t="s">
        <v>35</v>
      </c>
      <c r="O15" s="52" t="s">
        <v>36</v>
      </c>
      <c r="P15" s="52" t="s">
        <v>37</v>
      </c>
      <c r="Q15" s="52" t="s">
        <v>29</v>
      </c>
      <c r="R15" s="52" t="s">
        <v>30</v>
      </c>
    </row>
    <row r="16" spans="1:18" ht="53.25" customHeight="1">
      <c r="A16" s="43">
        <v>12</v>
      </c>
      <c r="B16" s="52" t="s">
        <v>19</v>
      </c>
      <c r="C16" s="49" t="s">
        <v>57</v>
      </c>
      <c r="D16" s="50">
        <v>6116896</v>
      </c>
      <c r="E16" s="50">
        <v>6</v>
      </c>
      <c r="F16" s="49">
        <v>72</v>
      </c>
      <c r="G16" s="52" t="s">
        <v>22</v>
      </c>
      <c r="H16" s="52" t="s">
        <v>23</v>
      </c>
      <c r="I16" s="52" t="s">
        <v>40</v>
      </c>
      <c r="J16" s="73" t="s">
        <v>41</v>
      </c>
      <c r="K16" s="73" t="s">
        <v>32</v>
      </c>
      <c r="L16" s="74" t="s">
        <v>49</v>
      </c>
      <c r="M16" s="73" t="s">
        <v>34</v>
      </c>
      <c r="N16" s="52" t="s">
        <v>35</v>
      </c>
      <c r="O16" s="52" t="s">
        <v>36</v>
      </c>
      <c r="P16" s="52" t="s">
        <v>28</v>
      </c>
      <c r="Q16" s="52" t="s">
        <v>58</v>
      </c>
      <c r="R16" s="74" t="s">
        <v>38</v>
      </c>
    </row>
    <row r="17" spans="1:18" ht="53.25" customHeight="1">
      <c r="A17" s="43">
        <v>13</v>
      </c>
      <c r="B17" s="56" t="s">
        <v>19</v>
      </c>
      <c r="C17" s="49" t="s">
        <v>59</v>
      </c>
      <c r="D17" s="50">
        <v>4075091</v>
      </c>
      <c r="E17" s="50">
        <v>6</v>
      </c>
      <c r="F17" s="49"/>
      <c r="G17" s="52" t="s">
        <v>22</v>
      </c>
      <c r="H17" s="52" t="s">
        <v>23</v>
      </c>
      <c r="I17" s="52" t="s">
        <v>40</v>
      </c>
      <c r="J17" s="73" t="s">
        <v>41</v>
      </c>
      <c r="K17" s="73" t="s">
        <v>32</v>
      </c>
      <c r="L17" s="74" t="s">
        <v>49</v>
      </c>
      <c r="M17" s="73" t="s">
        <v>34</v>
      </c>
      <c r="N17" s="52" t="s">
        <v>35</v>
      </c>
      <c r="O17" s="52" t="s">
        <v>36</v>
      </c>
      <c r="P17" s="52" t="s">
        <v>28</v>
      </c>
      <c r="Q17" s="52" t="s">
        <v>55</v>
      </c>
      <c r="R17" s="74" t="s">
        <v>38</v>
      </c>
    </row>
    <row r="18" spans="1:18" ht="69.95" customHeight="1">
      <c r="A18" s="43">
        <v>14</v>
      </c>
      <c r="B18" s="56" t="s">
        <v>19</v>
      </c>
      <c r="C18" s="49" t="s">
        <v>60</v>
      </c>
      <c r="D18" s="50">
        <v>6781831</v>
      </c>
      <c r="E18" s="50">
        <v>8</v>
      </c>
      <c r="F18" s="51"/>
      <c r="G18" s="52" t="s">
        <v>22</v>
      </c>
      <c r="H18" s="52" t="s">
        <v>23</v>
      </c>
      <c r="I18" s="52" t="s">
        <v>40</v>
      </c>
      <c r="J18" s="73" t="s">
        <v>41</v>
      </c>
      <c r="K18" s="73" t="s">
        <v>32</v>
      </c>
      <c r="L18" s="74" t="s">
        <v>51</v>
      </c>
      <c r="M18" s="73" t="s">
        <v>34</v>
      </c>
      <c r="N18" s="52" t="s">
        <v>35</v>
      </c>
      <c r="O18" s="52" t="s">
        <v>36</v>
      </c>
      <c r="P18" s="52" t="s">
        <v>37</v>
      </c>
      <c r="Q18" s="52" t="s">
        <v>29</v>
      </c>
      <c r="R18" s="52" t="s">
        <v>30</v>
      </c>
    </row>
    <row r="19" spans="1:18" s="39" customFormat="1" ht="53.25" customHeight="1">
      <c r="A19" s="43">
        <v>15</v>
      </c>
      <c r="B19" s="52" t="s">
        <v>19</v>
      </c>
      <c r="C19" s="49" t="s">
        <v>61</v>
      </c>
      <c r="D19" s="50">
        <v>6891428</v>
      </c>
      <c r="E19" s="50">
        <v>0</v>
      </c>
      <c r="F19" s="49"/>
      <c r="G19" s="52" t="s">
        <v>22</v>
      </c>
      <c r="H19" s="52" t="s">
        <v>23</v>
      </c>
      <c r="I19" s="52" t="s">
        <v>40</v>
      </c>
      <c r="J19" s="73" t="s">
        <v>41</v>
      </c>
      <c r="K19" s="73" t="s">
        <v>32</v>
      </c>
      <c r="L19" s="74" t="s">
        <v>49</v>
      </c>
      <c r="M19" s="73" t="s">
        <v>34</v>
      </c>
      <c r="N19" s="52" t="s">
        <v>35</v>
      </c>
      <c r="O19" s="52" t="s">
        <v>36</v>
      </c>
      <c r="P19" s="52" t="s">
        <v>28</v>
      </c>
      <c r="Q19" s="52" t="s">
        <v>58</v>
      </c>
      <c r="R19" s="74" t="s">
        <v>38</v>
      </c>
    </row>
    <row r="20" spans="1:18" s="39" customFormat="1" ht="69.95" customHeight="1">
      <c r="A20" s="43">
        <v>16</v>
      </c>
      <c r="B20" s="53" t="s">
        <v>19</v>
      </c>
      <c r="C20" s="57" t="s">
        <v>62</v>
      </c>
      <c r="D20" s="54">
        <v>5117226</v>
      </c>
      <c r="E20" s="58">
        <v>4</v>
      </c>
      <c r="F20" s="55"/>
      <c r="G20" s="52" t="s">
        <v>22</v>
      </c>
      <c r="H20" s="52" t="s">
        <v>23</v>
      </c>
      <c r="I20" s="75" t="s">
        <v>40</v>
      </c>
      <c r="J20" s="76" t="s">
        <v>41</v>
      </c>
      <c r="K20" s="73" t="s">
        <v>32</v>
      </c>
      <c r="L20" s="55" t="s">
        <v>25</v>
      </c>
      <c r="M20" s="72" t="s">
        <v>34</v>
      </c>
      <c r="N20" s="75" t="s">
        <v>35</v>
      </c>
      <c r="O20" s="52" t="s">
        <v>36</v>
      </c>
      <c r="P20" s="75" t="s">
        <v>37</v>
      </c>
      <c r="Q20" s="52" t="s">
        <v>29</v>
      </c>
      <c r="R20" s="52" t="s">
        <v>30</v>
      </c>
    </row>
    <row r="21" spans="1:18" s="39" customFormat="1" ht="53.25" customHeight="1">
      <c r="A21" s="43">
        <v>17</v>
      </c>
      <c r="B21" s="53" t="s">
        <v>19</v>
      </c>
      <c r="C21" s="57" t="s">
        <v>63</v>
      </c>
      <c r="D21" s="54">
        <v>10834519</v>
      </c>
      <c r="E21" s="58">
        <v>5</v>
      </c>
      <c r="F21" s="55"/>
      <c r="G21" s="52"/>
      <c r="H21" s="52" t="s">
        <v>23</v>
      </c>
      <c r="I21" s="75" t="s">
        <v>40</v>
      </c>
      <c r="J21" s="76" t="s">
        <v>41</v>
      </c>
      <c r="K21" s="73" t="s">
        <v>32</v>
      </c>
      <c r="L21" s="55" t="s">
        <v>51</v>
      </c>
      <c r="M21" s="72" t="s">
        <v>34</v>
      </c>
      <c r="N21" s="75" t="s">
        <v>35</v>
      </c>
      <c r="O21" s="52" t="s">
        <v>36</v>
      </c>
      <c r="P21" s="75" t="s">
        <v>28</v>
      </c>
      <c r="Q21" s="52" t="s">
        <v>29</v>
      </c>
      <c r="R21" s="74" t="s">
        <v>38</v>
      </c>
    </row>
    <row r="22" spans="1:18" ht="51.75" customHeight="1">
      <c r="A22" s="43">
        <v>18</v>
      </c>
      <c r="B22" s="24" t="s">
        <v>19</v>
      </c>
      <c r="C22" s="52" t="s">
        <v>64</v>
      </c>
      <c r="D22" s="50">
        <v>6396032</v>
      </c>
      <c r="E22" s="50">
        <v>2</v>
      </c>
      <c r="F22" s="49"/>
      <c r="G22" s="52" t="s">
        <v>22</v>
      </c>
      <c r="H22" s="52" t="s">
        <v>65</v>
      </c>
      <c r="I22" s="52" t="s">
        <v>40</v>
      </c>
      <c r="J22" s="72" t="s">
        <v>41</v>
      </c>
      <c r="K22" s="73" t="s">
        <v>32</v>
      </c>
      <c r="L22" s="49" t="s">
        <v>66</v>
      </c>
      <c r="M22" s="72" t="s">
        <v>34</v>
      </c>
      <c r="N22" s="52" t="s">
        <v>35</v>
      </c>
      <c r="O22" s="52" t="s">
        <v>36</v>
      </c>
      <c r="P22" s="52" t="s">
        <v>37</v>
      </c>
      <c r="Q22" s="52" t="s">
        <v>29</v>
      </c>
      <c r="R22" s="74" t="s">
        <v>38</v>
      </c>
    </row>
    <row r="23" spans="1:18" ht="69.95" customHeight="1">
      <c r="A23" s="43">
        <v>19</v>
      </c>
      <c r="B23" s="48" t="s">
        <v>19</v>
      </c>
      <c r="C23" s="57" t="s">
        <v>67</v>
      </c>
      <c r="D23" s="50">
        <v>7720590</v>
      </c>
      <c r="E23" s="59" t="s">
        <v>68</v>
      </c>
      <c r="F23" s="49">
        <v>64</v>
      </c>
      <c r="G23" s="52"/>
      <c r="H23" s="52" t="s">
        <v>23</v>
      </c>
      <c r="I23" s="52" t="s">
        <v>40</v>
      </c>
      <c r="J23" s="72" t="s">
        <v>41</v>
      </c>
      <c r="K23" s="73" t="s">
        <v>32</v>
      </c>
      <c r="L23" s="49" t="s">
        <v>25</v>
      </c>
      <c r="M23" s="72" t="s">
        <v>34</v>
      </c>
      <c r="N23" s="52" t="s">
        <v>35</v>
      </c>
      <c r="O23" s="52" t="s">
        <v>36</v>
      </c>
      <c r="P23" s="52" t="s">
        <v>37</v>
      </c>
      <c r="Q23" s="52" t="s">
        <v>29</v>
      </c>
      <c r="R23" s="52" t="s">
        <v>30</v>
      </c>
    </row>
    <row r="24" spans="1:18" ht="69.95" customHeight="1">
      <c r="A24" s="43">
        <v>20</v>
      </c>
      <c r="B24" s="48" t="s">
        <v>19</v>
      </c>
      <c r="C24" s="57" t="s">
        <v>69</v>
      </c>
      <c r="D24" s="50">
        <v>14586036</v>
      </c>
      <c r="E24" s="59">
        <v>9</v>
      </c>
      <c r="F24" s="49">
        <v>81</v>
      </c>
      <c r="G24" s="52"/>
      <c r="H24" s="52" t="s">
        <v>23</v>
      </c>
      <c r="I24" s="52" t="s">
        <v>40</v>
      </c>
      <c r="J24" s="72" t="s">
        <v>41</v>
      </c>
      <c r="K24" s="73" t="s">
        <v>32</v>
      </c>
      <c r="L24" s="49" t="s">
        <v>25</v>
      </c>
      <c r="M24" s="72" t="s">
        <v>34</v>
      </c>
      <c r="N24" s="52" t="s">
        <v>35</v>
      </c>
      <c r="O24" s="52" t="s">
        <v>36</v>
      </c>
      <c r="P24" s="52" t="s">
        <v>37</v>
      </c>
      <c r="Q24" s="52" t="s">
        <v>29</v>
      </c>
      <c r="R24" s="52" t="s">
        <v>30</v>
      </c>
    </row>
    <row r="25" spans="1:18" ht="51.75" customHeight="1">
      <c r="A25" s="43">
        <v>21</v>
      </c>
      <c r="B25" s="60"/>
      <c r="C25" s="61" t="s">
        <v>70</v>
      </c>
      <c r="D25" s="50">
        <v>6407389</v>
      </c>
      <c r="E25" s="62">
        <v>3</v>
      </c>
      <c r="F25" s="63">
        <v>74</v>
      </c>
      <c r="G25" s="64" t="s">
        <v>71</v>
      </c>
      <c r="H25" s="64" t="s">
        <v>72</v>
      </c>
      <c r="I25" s="64" t="s">
        <v>40</v>
      </c>
      <c r="J25" s="79" t="s">
        <v>41</v>
      </c>
      <c r="K25" s="73" t="s">
        <v>32</v>
      </c>
      <c r="L25" s="49" t="s">
        <v>49</v>
      </c>
      <c r="M25" s="79" t="s">
        <v>34</v>
      </c>
      <c r="N25" s="64" t="s">
        <v>35</v>
      </c>
      <c r="O25" s="52" t="s">
        <v>36</v>
      </c>
      <c r="P25" s="75" t="s">
        <v>28</v>
      </c>
      <c r="Q25" s="64" t="s">
        <v>29</v>
      </c>
      <c r="R25" s="74" t="s">
        <v>38</v>
      </c>
    </row>
    <row r="26" spans="1:18" ht="51.75" customHeight="1">
      <c r="A26" s="43">
        <v>22</v>
      </c>
      <c r="B26" s="48"/>
      <c r="C26" s="57" t="s">
        <v>73</v>
      </c>
      <c r="D26" s="50">
        <v>15801730</v>
      </c>
      <c r="E26" s="59" t="s">
        <v>68</v>
      </c>
      <c r="F26" s="49">
        <v>39</v>
      </c>
      <c r="G26" s="52" t="s">
        <v>71</v>
      </c>
      <c r="H26" s="64" t="s">
        <v>23</v>
      </c>
      <c r="I26" s="52" t="s">
        <v>40</v>
      </c>
      <c r="J26" s="73" t="s">
        <v>41</v>
      </c>
      <c r="K26" s="73" t="s">
        <v>32</v>
      </c>
      <c r="L26" s="49" t="s">
        <v>49</v>
      </c>
      <c r="M26" s="73" t="s">
        <v>34</v>
      </c>
      <c r="N26" s="52" t="s">
        <v>35</v>
      </c>
      <c r="O26" s="52" t="s">
        <v>36</v>
      </c>
      <c r="P26" s="75" t="s">
        <v>28</v>
      </c>
      <c r="Q26" s="52" t="s">
        <v>29</v>
      </c>
      <c r="R26" s="74" t="s">
        <v>38</v>
      </c>
    </row>
    <row r="27" spans="1:18" ht="51.75" customHeight="1">
      <c r="A27" s="43">
        <v>23</v>
      </c>
      <c r="B27" s="48"/>
      <c r="C27" s="57" t="s">
        <v>74</v>
      </c>
      <c r="D27" s="50">
        <v>13178840</v>
      </c>
      <c r="E27" s="59">
        <v>1</v>
      </c>
      <c r="F27" s="49">
        <v>47</v>
      </c>
      <c r="G27" s="52" t="s">
        <v>22</v>
      </c>
      <c r="H27" s="52" t="s">
        <v>23</v>
      </c>
      <c r="I27" s="52" t="s">
        <v>40</v>
      </c>
      <c r="J27" s="73" t="s">
        <v>41</v>
      </c>
      <c r="K27" s="73" t="s">
        <v>32</v>
      </c>
      <c r="L27" s="49" t="s">
        <v>49</v>
      </c>
      <c r="M27" s="73" t="s">
        <v>34</v>
      </c>
      <c r="N27" s="52" t="s">
        <v>35</v>
      </c>
      <c r="O27" s="52" t="s">
        <v>36</v>
      </c>
      <c r="P27" s="75" t="s">
        <v>28</v>
      </c>
      <c r="Q27" s="52" t="s">
        <v>29</v>
      </c>
      <c r="R27" s="74" t="s">
        <v>38</v>
      </c>
    </row>
    <row r="28" spans="1:18" ht="69.95" customHeight="1">
      <c r="A28" s="43">
        <v>24</v>
      </c>
      <c r="B28" s="48" t="s">
        <v>19</v>
      </c>
      <c r="C28" s="57" t="s">
        <v>75</v>
      </c>
      <c r="D28" s="50">
        <v>7873929</v>
      </c>
      <c r="E28" s="59">
        <v>0</v>
      </c>
      <c r="F28" s="49">
        <v>65</v>
      </c>
      <c r="G28" s="52" t="s">
        <v>22</v>
      </c>
      <c r="H28" s="64" t="s">
        <v>23</v>
      </c>
      <c r="I28" s="52">
        <v>2023</v>
      </c>
      <c r="J28" s="73" t="s">
        <v>41</v>
      </c>
      <c r="K28" s="73" t="s">
        <v>32</v>
      </c>
      <c r="L28" s="49" t="s">
        <v>25</v>
      </c>
      <c r="M28" s="73" t="s">
        <v>34</v>
      </c>
      <c r="N28" s="52" t="s">
        <v>35</v>
      </c>
      <c r="O28" s="52" t="s">
        <v>36</v>
      </c>
      <c r="P28" s="52" t="s">
        <v>37</v>
      </c>
      <c r="Q28" s="52" t="s">
        <v>29</v>
      </c>
      <c r="R28" s="52" t="s">
        <v>30</v>
      </c>
    </row>
    <row r="29" spans="1:18" ht="51.75" customHeight="1">
      <c r="A29" s="43">
        <v>25</v>
      </c>
      <c r="B29" s="48" t="s">
        <v>19</v>
      </c>
      <c r="C29" s="57" t="s">
        <v>76</v>
      </c>
      <c r="D29" s="50">
        <v>5268470</v>
      </c>
      <c r="E29" s="59">
        <v>6</v>
      </c>
      <c r="F29" s="49">
        <v>81</v>
      </c>
      <c r="G29" s="52" t="s">
        <v>77</v>
      </c>
      <c r="H29" s="52" t="s">
        <v>23</v>
      </c>
      <c r="I29" s="52" t="s">
        <v>40</v>
      </c>
      <c r="J29" s="73" t="s">
        <v>41</v>
      </c>
      <c r="K29" s="73" t="s">
        <v>32</v>
      </c>
      <c r="L29" s="49" t="s">
        <v>49</v>
      </c>
      <c r="M29" s="73" t="s">
        <v>34</v>
      </c>
      <c r="N29" s="52" t="s">
        <v>35</v>
      </c>
      <c r="O29" s="52" t="s">
        <v>36</v>
      </c>
      <c r="P29" s="75" t="s">
        <v>28</v>
      </c>
      <c r="Q29" s="52" t="s">
        <v>29</v>
      </c>
      <c r="R29" s="74" t="s">
        <v>38</v>
      </c>
    </row>
    <row r="30" spans="1:18" ht="51.75" customHeight="1">
      <c r="A30" s="43">
        <v>26</v>
      </c>
      <c r="B30" s="60"/>
      <c r="C30" s="61" t="s">
        <v>78</v>
      </c>
      <c r="D30" s="65">
        <v>6336391</v>
      </c>
      <c r="E30" s="62" t="s">
        <v>68</v>
      </c>
      <c r="F30" s="63">
        <v>75</v>
      </c>
      <c r="G30" s="64" t="s">
        <v>22</v>
      </c>
      <c r="H30" s="64" t="s">
        <v>79</v>
      </c>
      <c r="I30" s="64" t="s">
        <v>40</v>
      </c>
      <c r="J30" s="80" t="s">
        <v>41</v>
      </c>
      <c r="K30" s="73" t="s">
        <v>32</v>
      </c>
      <c r="L30" s="49" t="s">
        <v>49</v>
      </c>
      <c r="M30" s="80" t="s">
        <v>34</v>
      </c>
      <c r="N30" s="64" t="s">
        <v>35</v>
      </c>
      <c r="O30" s="52" t="s">
        <v>36</v>
      </c>
      <c r="P30" s="75" t="s">
        <v>28</v>
      </c>
      <c r="Q30" s="64" t="s">
        <v>29</v>
      </c>
      <c r="R30" s="74" t="s">
        <v>38</v>
      </c>
    </row>
    <row r="31" spans="1:18" ht="51.75" customHeight="1">
      <c r="A31" s="43">
        <v>27</v>
      </c>
      <c r="B31" s="48"/>
      <c r="C31" s="57" t="s">
        <v>80</v>
      </c>
      <c r="D31" s="50">
        <v>6707519</v>
      </c>
      <c r="E31" s="59">
        <v>6</v>
      </c>
      <c r="F31" s="49">
        <v>71</v>
      </c>
      <c r="G31" s="52" t="s">
        <v>22</v>
      </c>
      <c r="H31" s="64" t="s">
        <v>23</v>
      </c>
      <c r="I31" s="52" t="s">
        <v>40</v>
      </c>
      <c r="J31" s="73" t="s">
        <v>41</v>
      </c>
      <c r="K31" s="73" t="s">
        <v>32</v>
      </c>
      <c r="L31" s="49" t="s">
        <v>49</v>
      </c>
      <c r="M31" s="73" t="s">
        <v>34</v>
      </c>
      <c r="N31" s="52" t="s">
        <v>35</v>
      </c>
      <c r="O31" s="52" t="s">
        <v>36</v>
      </c>
      <c r="P31" s="75" t="s">
        <v>28</v>
      </c>
      <c r="Q31" s="52" t="s">
        <v>29</v>
      </c>
      <c r="R31" s="74" t="s">
        <v>38</v>
      </c>
    </row>
    <row r="32" spans="1:18" ht="51.75" customHeight="1">
      <c r="A32" s="43">
        <v>28</v>
      </c>
      <c r="B32" s="48"/>
      <c r="C32" s="57" t="s">
        <v>81</v>
      </c>
      <c r="D32" s="50">
        <v>18041029</v>
      </c>
      <c r="E32" s="59">
        <v>5</v>
      </c>
      <c r="F32" s="49">
        <v>31</v>
      </c>
      <c r="G32" s="52" t="s">
        <v>22</v>
      </c>
      <c r="H32" s="64" t="s">
        <v>23</v>
      </c>
      <c r="I32" s="52" t="s">
        <v>40</v>
      </c>
      <c r="J32" s="73" t="s">
        <v>41</v>
      </c>
      <c r="K32" s="73" t="s">
        <v>32</v>
      </c>
      <c r="L32" s="49" t="s">
        <v>49</v>
      </c>
      <c r="M32" s="73" t="s">
        <v>34</v>
      </c>
      <c r="N32" s="52" t="s">
        <v>35</v>
      </c>
      <c r="O32" s="52" t="s">
        <v>82</v>
      </c>
      <c r="P32" s="75" t="s">
        <v>28</v>
      </c>
      <c r="Q32" s="52" t="s">
        <v>29</v>
      </c>
      <c r="R32" s="74" t="s">
        <v>38</v>
      </c>
    </row>
    <row r="33" spans="1:18" ht="51.75" customHeight="1">
      <c r="A33" s="43">
        <v>29</v>
      </c>
      <c r="B33" s="48"/>
      <c r="C33" s="57" t="s">
        <v>83</v>
      </c>
      <c r="D33" s="50">
        <v>13534738</v>
      </c>
      <c r="E33" s="59">
        <v>8</v>
      </c>
      <c r="F33" s="49">
        <v>44</v>
      </c>
      <c r="G33" s="52" t="s">
        <v>22</v>
      </c>
      <c r="H33" s="64" t="s">
        <v>23</v>
      </c>
      <c r="I33" s="52" t="s">
        <v>40</v>
      </c>
      <c r="J33" s="72">
        <v>45355</v>
      </c>
      <c r="K33" s="73" t="s">
        <v>32</v>
      </c>
      <c r="L33" s="49" t="s">
        <v>49</v>
      </c>
      <c r="M33" s="73" t="s">
        <v>34</v>
      </c>
      <c r="N33" s="52" t="s">
        <v>35</v>
      </c>
      <c r="O33" s="52" t="s">
        <v>82</v>
      </c>
      <c r="P33" s="75" t="s">
        <v>28</v>
      </c>
      <c r="Q33" s="52" t="s">
        <v>29</v>
      </c>
      <c r="R33" s="74" t="s">
        <v>38</v>
      </c>
    </row>
    <row r="34" spans="1:18" ht="51.75" customHeight="1">
      <c r="A34" s="43">
        <v>30</v>
      </c>
      <c r="B34" s="48"/>
      <c r="C34" s="57" t="s">
        <v>84</v>
      </c>
      <c r="D34" s="50">
        <v>15674243</v>
      </c>
      <c r="E34" s="59">
        <v>0</v>
      </c>
      <c r="F34" s="49">
        <v>40</v>
      </c>
      <c r="G34" s="52" t="s">
        <v>22</v>
      </c>
      <c r="H34" s="64" t="s">
        <v>23</v>
      </c>
      <c r="I34" s="52" t="s">
        <v>40</v>
      </c>
      <c r="J34" s="73" t="s">
        <v>41</v>
      </c>
      <c r="K34" s="73" t="s">
        <v>32</v>
      </c>
      <c r="L34" s="49" t="s">
        <v>49</v>
      </c>
      <c r="M34" s="73" t="s">
        <v>34</v>
      </c>
      <c r="N34" s="52" t="s">
        <v>35</v>
      </c>
      <c r="O34" s="52" t="s">
        <v>82</v>
      </c>
      <c r="P34" s="75" t="s">
        <v>28</v>
      </c>
      <c r="Q34" s="52" t="s">
        <v>29</v>
      </c>
      <c r="R34" s="74" t="s">
        <v>38</v>
      </c>
    </row>
    <row r="35" spans="1:18" ht="51.75" customHeight="1">
      <c r="A35" s="43">
        <v>31</v>
      </c>
      <c r="B35" s="48" t="s">
        <v>19</v>
      </c>
      <c r="C35" s="52" t="s">
        <v>85</v>
      </c>
      <c r="D35" s="50">
        <v>12130328</v>
      </c>
      <c r="E35" s="50">
        <v>0</v>
      </c>
      <c r="F35" s="49">
        <v>56</v>
      </c>
      <c r="G35" s="52" t="s">
        <v>86</v>
      </c>
      <c r="H35" s="52" t="s">
        <v>87</v>
      </c>
      <c r="I35" s="52" t="s">
        <v>40</v>
      </c>
      <c r="J35" s="73" t="s">
        <v>41</v>
      </c>
      <c r="K35" s="73" t="s">
        <v>32</v>
      </c>
      <c r="L35" s="49" t="s">
        <v>49</v>
      </c>
      <c r="M35" s="73" t="s">
        <v>34</v>
      </c>
      <c r="N35" s="52" t="s">
        <v>35</v>
      </c>
      <c r="O35" s="52" t="s">
        <v>82</v>
      </c>
      <c r="P35" s="75" t="s">
        <v>28</v>
      </c>
      <c r="Q35" s="52" t="s">
        <v>29</v>
      </c>
      <c r="R35" s="74" t="s">
        <v>38</v>
      </c>
    </row>
    <row r="36" spans="1:18" ht="69.95" customHeight="1">
      <c r="A36" s="43">
        <v>32</v>
      </c>
      <c r="B36" s="48" t="s">
        <v>19</v>
      </c>
      <c r="C36" s="57" t="s">
        <v>88</v>
      </c>
      <c r="D36" s="50">
        <v>7631102</v>
      </c>
      <c r="E36" s="59">
        <v>1</v>
      </c>
      <c r="F36" s="49">
        <v>66</v>
      </c>
      <c r="G36" s="52" t="s">
        <v>22</v>
      </c>
      <c r="H36" s="64" t="s">
        <v>23</v>
      </c>
      <c r="I36" s="52" t="s">
        <v>40</v>
      </c>
      <c r="J36" s="73" t="s">
        <v>41</v>
      </c>
      <c r="K36" s="73" t="s">
        <v>32</v>
      </c>
      <c r="L36" s="49" t="s">
        <v>25</v>
      </c>
      <c r="M36" s="73" t="s">
        <v>34</v>
      </c>
      <c r="N36" s="52" t="s">
        <v>35</v>
      </c>
      <c r="O36" s="52" t="s">
        <v>82</v>
      </c>
      <c r="P36" s="52" t="s">
        <v>37</v>
      </c>
      <c r="Q36" s="52" t="s">
        <v>29</v>
      </c>
      <c r="R36" s="52" t="s">
        <v>30</v>
      </c>
    </row>
    <row r="37" spans="1:18" ht="69.95" customHeight="1">
      <c r="A37" s="43">
        <v>33</v>
      </c>
      <c r="B37" s="48" t="s">
        <v>19</v>
      </c>
      <c r="C37" s="57" t="s">
        <v>89</v>
      </c>
      <c r="D37" s="50">
        <v>7466636</v>
      </c>
      <c r="E37" s="59">
        <v>1</v>
      </c>
      <c r="F37" s="49">
        <v>73</v>
      </c>
      <c r="G37" s="52" t="s">
        <v>86</v>
      </c>
      <c r="H37" s="64" t="s">
        <v>23</v>
      </c>
      <c r="I37" s="52">
        <v>2022</v>
      </c>
      <c r="J37" s="73" t="s">
        <v>41</v>
      </c>
      <c r="K37" s="73" t="s">
        <v>32</v>
      </c>
      <c r="L37" s="49" t="s">
        <v>66</v>
      </c>
      <c r="M37" s="73" t="s">
        <v>34</v>
      </c>
      <c r="N37" s="52" t="s">
        <v>35</v>
      </c>
      <c r="O37" s="52" t="s">
        <v>82</v>
      </c>
      <c r="P37" s="52" t="s">
        <v>37</v>
      </c>
      <c r="Q37" s="52" t="s">
        <v>29</v>
      </c>
      <c r="R37" s="52" t="s">
        <v>30</v>
      </c>
    </row>
    <row r="38" spans="1:18" ht="69.95" customHeight="1">
      <c r="A38" s="43">
        <v>34</v>
      </c>
      <c r="B38" s="48" t="s">
        <v>19</v>
      </c>
      <c r="C38" s="57" t="s">
        <v>90</v>
      </c>
      <c r="D38" s="50">
        <v>4786426</v>
      </c>
      <c r="E38" s="59">
        <v>7</v>
      </c>
      <c r="F38" s="49">
        <v>79</v>
      </c>
      <c r="G38" s="52" t="s">
        <v>77</v>
      </c>
      <c r="H38" s="64" t="s">
        <v>23</v>
      </c>
      <c r="I38" s="52" t="s">
        <v>40</v>
      </c>
      <c r="J38" s="73" t="s">
        <v>41</v>
      </c>
      <c r="K38" s="73" t="s">
        <v>32</v>
      </c>
      <c r="L38" s="49" t="s">
        <v>91</v>
      </c>
      <c r="M38" s="73" t="s">
        <v>34</v>
      </c>
      <c r="N38" s="52" t="s">
        <v>35</v>
      </c>
      <c r="O38" s="52" t="s">
        <v>82</v>
      </c>
      <c r="P38" s="52" t="s">
        <v>37</v>
      </c>
      <c r="Q38" s="52" t="s">
        <v>29</v>
      </c>
      <c r="R38" s="52" t="s">
        <v>30</v>
      </c>
    </row>
    <row r="39" spans="1:18" ht="51.75" customHeight="1">
      <c r="A39" s="43">
        <v>35</v>
      </c>
      <c r="B39" s="48" t="s">
        <v>19</v>
      </c>
      <c r="C39" s="57" t="s">
        <v>92</v>
      </c>
      <c r="D39" s="50">
        <v>7483577</v>
      </c>
      <c r="E39" s="59">
        <v>5</v>
      </c>
      <c r="F39" s="49">
        <v>69</v>
      </c>
      <c r="G39" s="52" t="s">
        <v>22</v>
      </c>
      <c r="H39" s="64" t="s">
        <v>93</v>
      </c>
      <c r="I39" s="52" t="s">
        <v>40</v>
      </c>
      <c r="J39" s="73" t="s">
        <v>41</v>
      </c>
      <c r="K39" s="73" t="s">
        <v>32</v>
      </c>
      <c r="L39" s="49" t="s">
        <v>91</v>
      </c>
      <c r="M39" s="73" t="s">
        <v>34</v>
      </c>
      <c r="N39" s="52" t="s">
        <v>35</v>
      </c>
      <c r="O39" s="52" t="s">
        <v>82</v>
      </c>
      <c r="P39" s="75" t="s">
        <v>28</v>
      </c>
      <c r="Q39" s="52" t="s">
        <v>29</v>
      </c>
      <c r="R39" s="74" t="s">
        <v>38</v>
      </c>
    </row>
    <row r="40" spans="1:18" ht="51.75" customHeight="1">
      <c r="A40" s="43">
        <v>36</v>
      </c>
      <c r="B40" s="48" t="s">
        <v>19</v>
      </c>
      <c r="C40" s="57" t="s">
        <v>94</v>
      </c>
      <c r="D40" s="50">
        <v>6099037</v>
      </c>
      <c r="E40" s="59">
        <v>9</v>
      </c>
      <c r="F40" s="49">
        <v>73</v>
      </c>
      <c r="G40" s="52" t="s">
        <v>22</v>
      </c>
      <c r="H40" s="64" t="s">
        <v>23</v>
      </c>
      <c r="I40" s="52" t="s">
        <v>40</v>
      </c>
      <c r="J40" s="73" t="s">
        <v>41</v>
      </c>
      <c r="K40" s="73" t="s">
        <v>32</v>
      </c>
      <c r="L40" s="49" t="s">
        <v>49</v>
      </c>
      <c r="M40" s="73" t="s">
        <v>34</v>
      </c>
      <c r="N40" s="52" t="s">
        <v>35</v>
      </c>
      <c r="O40" s="52" t="s">
        <v>82</v>
      </c>
      <c r="P40" s="52" t="s">
        <v>28</v>
      </c>
      <c r="Q40" s="52" t="s">
        <v>55</v>
      </c>
      <c r="R40" s="74" t="s">
        <v>38</v>
      </c>
    </row>
    <row r="41" spans="1:18" ht="51.75" customHeight="1">
      <c r="A41" s="43">
        <v>37</v>
      </c>
      <c r="B41" s="48" t="s">
        <v>19</v>
      </c>
      <c r="C41" s="57" t="s">
        <v>95</v>
      </c>
      <c r="D41" s="50">
        <v>6513599</v>
      </c>
      <c r="E41" s="59" t="s">
        <v>68</v>
      </c>
      <c r="F41" s="49">
        <v>69</v>
      </c>
      <c r="G41" s="52" t="s">
        <v>22</v>
      </c>
      <c r="H41" s="64" t="s">
        <v>23</v>
      </c>
      <c r="I41" s="52" t="s">
        <v>40</v>
      </c>
      <c r="J41" s="73" t="s">
        <v>41</v>
      </c>
      <c r="K41" s="73" t="s">
        <v>32</v>
      </c>
      <c r="L41" s="49" t="s">
        <v>49</v>
      </c>
      <c r="M41" s="73" t="s">
        <v>34</v>
      </c>
      <c r="N41" s="52" t="s">
        <v>35</v>
      </c>
      <c r="O41" s="52" t="s">
        <v>82</v>
      </c>
      <c r="P41" s="52" t="s">
        <v>37</v>
      </c>
      <c r="Q41" s="52" t="s">
        <v>29</v>
      </c>
      <c r="R41" s="74" t="s">
        <v>38</v>
      </c>
    </row>
    <row r="42" spans="1:18" ht="69.95" customHeight="1">
      <c r="A42" s="43">
        <v>38</v>
      </c>
      <c r="B42" s="48" t="s">
        <v>19</v>
      </c>
      <c r="C42" s="57" t="s">
        <v>96</v>
      </c>
      <c r="D42" s="50">
        <v>8167958</v>
      </c>
      <c r="E42" s="59">
        <v>4</v>
      </c>
      <c r="F42" s="49">
        <v>65</v>
      </c>
      <c r="G42" s="52" t="s">
        <v>22</v>
      </c>
      <c r="H42" s="64" t="s">
        <v>23</v>
      </c>
      <c r="I42" s="52" t="s">
        <v>40</v>
      </c>
      <c r="J42" s="73" t="s">
        <v>41</v>
      </c>
      <c r="K42" s="73" t="s">
        <v>32</v>
      </c>
      <c r="L42" s="49" t="s">
        <v>91</v>
      </c>
      <c r="M42" s="73" t="s">
        <v>34</v>
      </c>
      <c r="N42" s="52" t="s">
        <v>35</v>
      </c>
      <c r="O42" s="52" t="s">
        <v>82</v>
      </c>
      <c r="P42" s="52" t="s">
        <v>37</v>
      </c>
      <c r="Q42" s="52" t="s">
        <v>29</v>
      </c>
      <c r="R42" s="52" t="s">
        <v>30</v>
      </c>
    </row>
    <row r="43" spans="1:18" ht="51.75" customHeight="1">
      <c r="A43" s="43">
        <v>39</v>
      </c>
      <c r="B43" s="48" t="s">
        <v>19</v>
      </c>
      <c r="C43" s="57" t="s">
        <v>97</v>
      </c>
      <c r="D43" s="50">
        <v>11313022</v>
      </c>
      <c r="E43" s="59">
        <v>9</v>
      </c>
      <c r="F43" s="49">
        <v>56</v>
      </c>
      <c r="G43" s="52" t="s">
        <v>98</v>
      </c>
      <c r="H43" s="52" t="s">
        <v>23</v>
      </c>
      <c r="I43" s="52" t="s">
        <v>40</v>
      </c>
      <c r="J43" s="73" t="s">
        <v>41</v>
      </c>
      <c r="K43" s="73" t="s">
        <v>32</v>
      </c>
      <c r="L43" s="49" t="s">
        <v>91</v>
      </c>
      <c r="M43" s="73" t="s">
        <v>34</v>
      </c>
      <c r="N43" s="52" t="s">
        <v>35</v>
      </c>
      <c r="O43" s="52" t="s">
        <v>82</v>
      </c>
      <c r="P43" s="52" t="s">
        <v>37</v>
      </c>
      <c r="Q43" s="52" t="s">
        <v>29</v>
      </c>
      <c r="R43" s="74" t="s">
        <v>38</v>
      </c>
    </row>
    <row r="44" spans="1:18" ht="69.95" customHeight="1">
      <c r="A44" s="43">
        <v>40</v>
      </c>
      <c r="B44" s="48" t="s">
        <v>19</v>
      </c>
      <c r="C44" s="57" t="s">
        <v>99</v>
      </c>
      <c r="D44" s="50">
        <v>4639210</v>
      </c>
      <c r="E44" s="59">
        <v>8</v>
      </c>
      <c r="F44" s="49">
        <v>84</v>
      </c>
      <c r="G44" s="52" t="s">
        <v>100</v>
      </c>
      <c r="H44" s="64" t="s">
        <v>23</v>
      </c>
      <c r="I44" s="52" t="s">
        <v>40</v>
      </c>
      <c r="J44" s="73" t="s">
        <v>41</v>
      </c>
      <c r="K44" s="73" t="s">
        <v>32</v>
      </c>
      <c r="L44" s="49" t="s">
        <v>91</v>
      </c>
      <c r="M44" s="73" t="s">
        <v>34</v>
      </c>
      <c r="N44" s="52" t="s">
        <v>35</v>
      </c>
      <c r="O44" s="52" t="s">
        <v>82</v>
      </c>
      <c r="P44" s="52" t="s">
        <v>37</v>
      </c>
      <c r="Q44" s="52" t="s">
        <v>29</v>
      </c>
      <c r="R44" s="52" t="s">
        <v>30</v>
      </c>
    </row>
    <row r="45" spans="1:18" ht="51.75" customHeight="1">
      <c r="A45" s="43">
        <v>41</v>
      </c>
      <c r="B45" s="48" t="s">
        <v>19</v>
      </c>
      <c r="C45" s="57" t="s">
        <v>101</v>
      </c>
      <c r="D45" s="50">
        <v>8614948</v>
      </c>
      <c r="E45" s="59">
        <v>6</v>
      </c>
      <c r="F45" s="49">
        <v>67</v>
      </c>
      <c r="G45" s="52" t="s">
        <v>22</v>
      </c>
      <c r="H45" s="64" t="s">
        <v>23</v>
      </c>
      <c r="I45" s="52" t="s">
        <v>40</v>
      </c>
      <c r="J45" s="73" t="s">
        <v>41</v>
      </c>
      <c r="K45" s="73" t="s">
        <v>32</v>
      </c>
      <c r="L45" s="49" t="s">
        <v>91</v>
      </c>
      <c r="M45" s="73" t="s">
        <v>34</v>
      </c>
      <c r="N45" s="52" t="s">
        <v>35</v>
      </c>
      <c r="O45" s="52" t="s">
        <v>82</v>
      </c>
      <c r="P45" s="52" t="s">
        <v>37</v>
      </c>
      <c r="Q45" s="52" t="s">
        <v>29</v>
      </c>
      <c r="R45" s="74" t="s">
        <v>38</v>
      </c>
    </row>
    <row r="46" spans="1:18" ht="69.95" customHeight="1">
      <c r="A46" s="43">
        <v>42</v>
      </c>
      <c r="B46" s="48" t="s">
        <v>19</v>
      </c>
      <c r="C46" s="57" t="s">
        <v>102</v>
      </c>
      <c r="D46" s="50">
        <v>5248801</v>
      </c>
      <c r="E46" s="59" t="s">
        <v>68</v>
      </c>
      <c r="F46" s="49">
        <v>76</v>
      </c>
      <c r="G46" s="52" t="s">
        <v>22</v>
      </c>
      <c r="H46" s="64" t="s">
        <v>23</v>
      </c>
      <c r="I46" s="52" t="s">
        <v>40</v>
      </c>
      <c r="J46" s="73" t="s">
        <v>41</v>
      </c>
      <c r="K46" s="73" t="s">
        <v>32</v>
      </c>
      <c r="L46" s="49" t="s">
        <v>91</v>
      </c>
      <c r="M46" s="73" t="s">
        <v>34</v>
      </c>
      <c r="N46" s="52" t="s">
        <v>35</v>
      </c>
      <c r="O46" s="52" t="s">
        <v>82</v>
      </c>
      <c r="P46" s="52" t="s">
        <v>37</v>
      </c>
      <c r="Q46" s="52" t="s">
        <v>29</v>
      </c>
      <c r="R46" s="52" t="s">
        <v>30</v>
      </c>
    </row>
    <row r="47" spans="1:18" ht="51.75" customHeight="1">
      <c r="A47" s="43">
        <v>43</v>
      </c>
      <c r="B47" s="48" t="s">
        <v>19</v>
      </c>
      <c r="C47" s="57" t="s">
        <v>103</v>
      </c>
      <c r="D47" s="50">
        <v>4677895</v>
      </c>
      <c r="E47" s="59">
        <v>2</v>
      </c>
      <c r="F47" s="49">
        <v>88</v>
      </c>
      <c r="G47" s="52" t="s">
        <v>22</v>
      </c>
      <c r="H47" s="64" t="s">
        <v>104</v>
      </c>
      <c r="I47" s="52" t="s">
        <v>40</v>
      </c>
      <c r="J47" s="73" t="s">
        <v>41</v>
      </c>
      <c r="K47" s="73" t="s">
        <v>32</v>
      </c>
      <c r="L47" s="49" t="s">
        <v>91</v>
      </c>
      <c r="M47" s="73" t="s">
        <v>34</v>
      </c>
      <c r="N47" s="52" t="s">
        <v>35</v>
      </c>
      <c r="O47" s="52" t="s">
        <v>27</v>
      </c>
      <c r="P47" s="52" t="s">
        <v>37</v>
      </c>
      <c r="Q47" s="52" t="s">
        <v>29</v>
      </c>
      <c r="R47" s="74" t="s">
        <v>105</v>
      </c>
    </row>
    <row r="48" spans="1:18" ht="69.95" customHeight="1">
      <c r="A48" s="43">
        <v>44</v>
      </c>
      <c r="B48" s="48" t="s">
        <v>19</v>
      </c>
      <c r="C48" s="57" t="s">
        <v>106</v>
      </c>
      <c r="D48" s="50">
        <v>5803383</v>
      </c>
      <c r="E48" s="59">
        <v>9</v>
      </c>
      <c r="F48" s="49">
        <v>78</v>
      </c>
      <c r="G48" s="52" t="s">
        <v>86</v>
      </c>
      <c r="H48" s="64" t="s">
        <v>23</v>
      </c>
      <c r="I48" s="52" t="s">
        <v>40</v>
      </c>
      <c r="J48" s="73" t="s">
        <v>41</v>
      </c>
      <c r="K48" s="73" t="s">
        <v>32</v>
      </c>
      <c r="L48" s="49" t="s">
        <v>91</v>
      </c>
      <c r="M48" s="73" t="s">
        <v>34</v>
      </c>
      <c r="N48" s="52" t="s">
        <v>35</v>
      </c>
      <c r="O48" s="52" t="s">
        <v>82</v>
      </c>
      <c r="P48" s="52" t="s">
        <v>37</v>
      </c>
      <c r="Q48" s="52" t="s">
        <v>29</v>
      </c>
      <c r="R48" s="52" t="s">
        <v>30</v>
      </c>
    </row>
    <row r="49" spans="1:18" ht="69.95" customHeight="1">
      <c r="A49" s="43">
        <v>45</v>
      </c>
      <c r="B49" s="48" t="s">
        <v>19</v>
      </c>
      <c r="C49" s="57" t="s">
        <v>107</v>
      </c>
      <c r="D49" s="50">
        <v>8280562</v>
      </c>
      <c r="E49" s="59">
        <v>1</v>
      </c>
      <c r="F49" s="49">
        <v>62</v>
      </c>
      <c r="G49" s="52" t="s">
        <v>98</v>
      </c>
      <c r="H49" s="64" t="s">
        <v>23</v>
      </c>
      <c r="I49" s="52" t="s">
        <v>40</v>
      </c>
      <c r="J49" s="73" t="s">
        <v>41</v>
      </c>
      <c r="K49" s="73" t="s">
        <v>32</v>
      </c>
      <c r="L49" s="49" t="s">
        <v>91</v>
      </c>
      <c r="M49" s="73" t="s">
        <v>34</v>
      </c>
      <c r="N49" s="52" t="s">
        <v>35</v>
      </c>
      <c r="O49" s="52" t="s">
        <v>82</v>
      </c>
      <c r="P49" s="52" t="s">
        <v>37</v>
      </c>
      <c r="Q49" s="52" t="s">
        <v>29</v>
      </c>
      <c r="R49" s="52" t="s">
        <v>30</v>
      </c>
    </row>
    <row r="50" spans="1:18" ht="51.75" customHeight="1">
      <c r="A50" s="43">
        <v>46</v>
      </c>
      <c r="B50" s="48" t="s">
        <v>19</v>
      </c>
      <c r="C50" s="57" t="s">
        <v>108</v>
      </c>
      <c r="D50" s="50">
        <v>5183463</v>
      </c>
      <c r="E50" s="59">
        <v>1</v>
      </c>
      <c r="F50" s="49">
        <v>84</v>
      </c>
      <c r="G50" s="52" t="s">
        <v>98</v>
      </c>
      <c r="H50" s="64" t="s">
        <v>23</v>
      </c>
      <c r="I50" s="52" t="s">
        <v>40</v>
      </c>
      <c r="J50" s="73" t="s">
        <v>41</v>
      </c>
      <c r="K50" s="73" t="s">
        <v>32</v>
      </c>
      <c r="L50" s="49" t="s">
        <v>91</v>
      </c>
      <c r="M50" s="73" t="s">
        <v>34</v>
      </c>
      <c r="N50" s="52" t="s">
        <v>35</v>
      </c>
      <c r="O50" s="52" t="s">
        <v>82</v>
      </c>
      <c r="P50" s="52" t="s">
        <v>37</v>
      </c>
      <c r="Q50" s="52" t="s">
        <v>29</v>
      </c>
      <c r="R50" s="74" t="s">
        <v>38</v>
      </c>
    </row>
    <row r="51" spans="1:18" ht="51.75" customHeight="1">
      <c r="A51" s="43">
        <v>47</v>
      </c>
      <c r="B51" s="48" t="s">
        <v>19</v>
      </c>
      <c r="C51" s="57" t="s">
        <v>109</v>
      </c>
      <c r="D51" s="50">
        <v>7050716</v>
      </c>
      <c r="E51" s="59">
        <v>1</v>
      </c>
      <c r="F51" s="49">
        <v>65</v>
      </c>
      <c r="G51" s="52" t="s">
        <v>86</v>
      </c>
      <c r="H51" s="64" t="s">
        <v>87</v>
      </c>
      <c r="I51" s="52" t="s">
        <v>40</v>
      </c>
      <c r="J51" s="73" t="s">
        <v>41</v>
      </c>
      <c r="K51" s="73" t="s">
        <v>32</v>
      </c>
      <c r="L51" s="49" t="s">
        <v>91</v>
      </c>
      <c r="M51" s="73" t="s">
        <v>34</v>
      </c>
      <c r="N51" s="52" t="s">
        <v>35</v>
      </c>
      <c r="O51" s="52" t="s">
        <v>82</v>
      </c>
      <c r="P51" s="52" t="s">
        <v>28</v>
      </c>
      <c r="Q51" s="52" t="s">
        <v>55</v>
      </c>
      <c r="R51" s="74" t="s">
        <v>38</v>
      </c>
    </row>
    <row r="52" spans="1:18" ht="51.75" customHeight="1">
      <c r="A52" s="43">
        <v>48</v>
      </c>
      <c r="B52" s="48" t="s">
        <v>19</v>
      </c>
      <c r="C52" s="57" t="s">
        <v>110</v>
      </c>
      <c r="D52" s="50">
        <v>8179045</v>
      </c>
      <c r="E52" s="59">
        <v>0</v>
      </c>
      <c r="F52" s="49">
        <v>89</v>
      </c>
      <c r="G52" s="52" t="s">
        <v>22</v>
      </c>
      <c r="H52" s="64" t="s">
        <v>23</v>
      </c>
      <c r="I52" s="52" t="s">
        <v>40</v>
      </c>
      <c r="J52" s="73" t="s">
        <v>41</v>
      </c>
      <c r="K52" s="73" t="s">
        <v>32</v>
      </c>
      <c r="L52" s="49" t="s">
        <v>91</v>
      </c>
      <c r="M52" s="73" t="s">
        <v>34</v>
      </c>
      <c r="N52" s="52" t="s">
        <v>35</v>
      </c>
      <c r="O52" s="52" t="s">
        <v>82</v>
      </c>
      <c r="P52" s="52" t="s">
        <v>28</v>
      </c>
      <c r="Q52" s="52" t="s">
        <v>55</v>
      </c>
      <c r="R52" s="74" t="s">
        <v>38</v>
      </c>
    </row>
    <row r="53" spans="1:18" ht="51.75" customHeight="1">
      <c r="A53" s="43">
        <v>49</v>
      </c>
      <c r="B53" s="48" t="s">
        <v>19</v>
      </c>
      <c r="C53" s="52" t="s">
        <v>111</v>
      </c>
      <c r="D53" s="50">
        <v>6739551</v>
      </c>
      <c r="E53" s="50">
        <v>4</v>
      </c>
      <c r="F53" s="49">
        <v>83</v>
      </c>
      <c r="G53" s="52" t="s">
        <v>22</v>
      </c>
      <c r="H53" s="52" t="s">
        <v>23</v>
      </c>
      <c r="I53" s="52" t="s">
        <v>40</v>
      </c>
      <c r="J53" s="73" t="s">
        <v>41</v>
      </c>
      <c r="K53" s="73" t="s">
        <v>32</v>
      </c>
      <c r="L53" s="49" t="s">
        <v>91</v>
      </c>
      <c r="M53" s="73" t="s">
        <v>34</v>
      </c>
      <c r="N53" s="52" t="s">
        <v>35</v>
      </c>
      <c r="O53" s="52" t="s">
        <v>82</v>
      </c>
      <c r="P53" s="52" t="s">
        <v>37</v>
      </c>
      <c r="Q53" s="52" t="s">
        <v>29</v>
      </c>
      <c r="R53" s="74" t="s">
        <v>38</v>
      </c>
    </row>
    <row r="54" spans="1:18" ht="51.75" customHeight="1">
      <c r="A54" s="43">
        <v>50</v>
      </c>
      <c r="B54" s="48" t="s">
        <v>19</v>
      </c>
      <c r="C54" s="57" t="s">
        <v>112</v>
      </c>
      <c r="D54" s="50">
        <v>8067309</v>
      </c>
      <c r="E54" s="59">
        <v>4</v>
      </c>
      <c r="F54" s="49">
        <v>66</v>
      </c>
      <c r="G54" s="52" t="s">
        <v>22</v>
      </c>
      <c r="H54" s="64" t="s">
        <v>113</v>
      </c>
      <c r="I54" s="52" t="s">
        <v>40</v>
      </c>
      <c r="J54" s="73" t="s">
        <v>41</v>
      </c>
      <c r="K54" s="73" t="s">
        <v>32</v>
      </c>
      <c r="L54" s="49" t="s">
        <v>91</v>
      </c>
      <c r="M54" s="73" t="s">
        <v>34</v>
      </c>
      <c r="N54" s="52" t="s">
        <v>35</v>
      </c>
      <c r="O54" s="52" t="s">
        <v>82</v>
      </c>
      <c r="P54" s="52" t="s">
        <v>28</v>
      </c>
      <c r="Q54" s="52" t="s">
        <v>55</v>
      </c>
      <c r="R54" s="74" t="s">
        <v>38</v>
      </c>
    </row>
    <row r="55" spans="1:18" ht="51.75" customHeight="1">
      <c r="A55" s="43">
        <v>51</v>
      </c>
      <c r="B55" s="48" t="s">
        <v>19</v>
      </c>
      <c r="C55" s="57" t="s">
        <v>114</v>
      </c>
      <c r="D55" s="50">
        <v>10868701</v>
      </c>
      <c r="E55" s="59">
        <v>0</v>
      </c>
      <c r="F55" s="49">
        <v>57</v>
      </c>
      <c r="G55" s="52" t="s">
        <v>115</v>
      </c>
      <c r="H55" s="64" t="s">
        <v>23</v>
      </c>
      <c r="I55" s="52" t="s">
        <v>40</v>
      </c>
      <c r="J55" s="73" t="s">
        <v>41</v>
      </c>
      <c r="K55" s="73" t="s">
        <v>32</v>
      </c>
      <c r="L55" s="49" t="s">
        <v>91</v>
      </c>
      <c r="M55" s="73" t="s">
        <v>34</v>
      </c>
      <c r="N55" s="52" t="s">
        <v>35</v>
      </c>
      <c r="O55" s="52" t="s">
        <v>82</v>
      </c>
      <c r="P55" s="52" t="s">
        <v>28</v>
      </c>
      <c r="Q55" s="52" t="s">
        <v>55</v>
      </c>
      <c r="R55" s="74" t="s">
        <v>38</v>
      </c>
    </row>
    <row r="56" spans="1:18" ht="51.75" customHeight="1">
      <c r="A56" s="43">
        <v>52</v>
      </c>
      <c r="B56" s="24" t="s">
        <v>19</v>
      </c>
      <c r="C56" s="52" t="s">
        <v>116</v>
      </c>
      <c r="D56" s="50">
        <v>4840695</v>
      </c>
      <c r="E56" s="50">
        <v>5</v>
      </c>
      <c r="F56" s="49">
        <v>82</v>
      </c>
      <c r="G56" s="52" t="s">
        <v>22</v>
      </c>
      <c r="H56" s="52" t="s">
        <v>23</v>
      </c>
      <c r="I56" s="52">
        <v>2023</v>
      </c>
      <c r="J56" s="73" t="s">
        <v>41</v>
      </c>
      <c r="K56" s="73" t="s">
        <v>32</v>
      </c>
      <c r="L56" s="49" t="s">
        <v>49</v>
      </c>
      <c r="M56" s="73" t="s">
        <v>34</v>
      </c>
      <c r="N56" s="52" t="s">
        <v>35</v>
      </c>
      <c r="O56" s="52" t="s">
        <v>82</v>
      </c>
      <c r="P56" s="52" t="s">
        <v>37</v>
      </c>
      <c r="Q56" s="52" t="s">
        <v>29</v>
      </c>
      <c r="R56" s="74" t="s">
        <v>38</v>
      </c>
    </row>
    <row r="57" spans="1:18" ht="69.95" customHeight="1">
      <c r="A57" s="43">
        <v>53</v>
      </c>
      <c r="B57" s="48" t="s">
        <v>19</v>
      </c>
      <c r="C57" s="57" t="s">
        <v>117</v>
      </c>
      <c r="D57" s="50">
        <v>10267333</v>
      </c>
      <c r="E57" s="59">
        <v>6</v>
      </c>
      <c r="F57" s="49">
        <v>58</v>
      </c>
      <c r="G57" s="52" t="s">
        <v>22</v>
      </c>
      <c r="H57" s="64" t="s">
        <v>23</v>
      </c>
      <c r="I57" s="52" t="s">
        <v>40</v>
      </c>
      <c r="J57" s="73" t="s">
        <v>41</v>
      </c>
      <c r="K57" s="73" t="s">
        <v>32</v>
      </c>
      <c r="L57" s="49" t="s">
        <v>91</v>
      </c>
      <c r="M57" s="73" t="s">
        <v>34</v>
      </c>
      <c r="N57" s="52" t="s">
        <v>35</v>
      </c>
      <c r="O57" s="52" t="s">
        <v>82</v>
      </c>
      <c r="P57" s="52" t="s">
        <v>37</v>
      </c>
      <c r="Q57" s="52" t="s">
        <v>29</v>
      </c>
      <c r="R57" s="52" t="s">
        <v>30</v>
      </c>
    </row>
    <row r="58" spans="1:18" ht="69.95" customHeight="1">
      <c r="A58" s="43">
        <v>54</v>
      </c>
      <c r="B58" s="48" t="s">
        <v>19</v>
      </c>
      <c r="C58" s="57" t="s">
        <v>118</v>
      </c>
      <c r="D58" s="50">
        <v>6451264</v>
      </c>
      <c r="E58" s="59">
        <v>1</v>
      </c>
      <c r="F58" s="49">
        <v>71</v>
      </c>
      <c r="G58" s="52" t="s">
        <v>22</v>
      </c>
      <c r="H58" s="64" t="s">
        <v>23</v>
      </c>
      <c r="I58" s="52" t="s">
        <v>40</v>
      </c>
      <c r="J58" s="73" t="s">
        <v>41</v>
      </c>
      <c r="K58" s="73" t="s">
        <v>32</v>
      </c>
      <c r="L58" s="49" t="s">
        <v>91</v>
      </c>
      <c r="M58" s="73" t="s">
        <v>34</v>
      </c>
      <c r="N58" s="52" t="s">
        <v>35</v>
      </c>
      <c r="O58" s="52" t="s">
        <v>82</v>
      </c>
      <c r="P58" s="52" t="s">
        <v>37</v>
      </c>
      <c r="Q58" s="52" t="s">
        <v>29</v>
      </c>
      <c r="R58" s="52" t="s">
        <v>30</v>
      </c>
    </row>
    <row r="59" spans="1:18" ht="51.75" customHeight="1">
      <c r="A59" s="43">
        <v>55</v>
      </c>
      <c r="B59" s="48" t="s">
        <v>19</v>
      </c>
      <c r="C59" s="57" t="s">
        <v>119</v>
      </c>
      <c r="D59" s="50">
        <v>4589154</v>
      </c>
      <c r="E59" s="59">
        <v>2</v>
      </c>
      <c r="F59" s="49">
        <v>84</v>
      </c>
      <c r="G59" s="52" t="s">
        <v>22</v>
      </c>
      <c r="H59" s="64" t="s">
        <v>23</v>
      </c>
      <c r="I59" s="52" t="s">
        <v>40</v>
      </c>
      <c r="J59" s="73" t="s">
        <v>41</v>
      </c>
      <c r="K59" s="73" t="s">
        <v>32</v>
      </c>
      <c r="L59" s="49" t="s">
        <v>91</v>
      </c>
      <c r="M59" s="73" t="s">
        <v>34</v>
      </c>
      <c r="N59" s="52" t="s">
        <v>35</v>
      </c>
      <c r="O59" s="52" t="s">
        <v>82</v>
      </c>
      <c r="P59" s="52" t="s">
        <v>28</v>
      </c>
      <c r="Q59" s="52" t="s">
        <v>55</v>
      </c>
      <c r="R59" s="74" t="s">
        <v>38</v>
      </c>
    </row>
    <row r="60" spans="1:18" ht="51.75" customHeight="1">
      <c r="A60" s="43">
        <v>56</v>
      </c>
      <c r="B60" s="48" t="s">
        <v>19</v>
      </c>
      <c r="C60" s="52" t="s">
        <v>120</v>
      </c>
      <c r="D60" s="50">
        <v>6338068</v>
      </c>
      <c r="E60" s="50">
        <v>7</v>
      </c>
      <c r="F60" s="49">
        <v>73</v>
      </c>
      <c r="G60" s="52" t="s">
        <v>22</v>
      </c>
      <c r="H60" s="52" t="s">
        <v>23</v>
      </c>
      <c r="I60" s="52" t="s">
        <v>40</v>
      </c>
      <c r="J60" s="73" t="s">
        <v>41</v>
      </c>
      <c r="K60" s="73" t="s">
        <v>32</v>
      </c>
      <c r="L60" s="49" t="s">
        <v>91</v>
      </c>
      <c r="M60" s="73" t="s">
        <v>34</v>
      </c>
      <c r="N60" s="52" t="s">
        <v>35</v>
      </c>
      <c r="O60" s="52" t="s">
        <v>82</v>
      </c>
      <c r="P60" s="52" t="s">
        <v>37</v>
      </c>
      <c r="Q60" s="52" t="s">
        <v>29</v>
      </c>
      <c r="R60" s="74" t="s">
        <v>38</v>
      </c>
    </row>
    <row r="61" spans="1:18" ht="69.95" customHeight="1">
      <c r="A61" s="43">
        <v>57</v>
      </c>
      <c r="B61" s="48" t="s">
        <v>19</v>
      </c>
      <c r="C61" s="52" t="s">
        <v>121</v>
      </c>
      <c r="D61" s="50">
        <v>5281745</v>
      </c>
      <c r="E61" s="50">
        <v>5</v>
      </c>
      <c r="F61" s="49">
        <v>76</v>
      </c>
      <c r="G61" s="52" t="s">
        <v>22</v>
      </c>
      <c r="H61" s="52" t="s">
        <v>23</v>
      </c>
      <c r="I61" s="52" t="s">
        <v>40</v>
      </c>
      <c r="J61" s="73" t="s">
        <v>41</v>
      </c>
      <c r="K61" s="73" t="s">
        <v>32</v>
      </c>
      <c r="L61" s="49" t="s">
        <v>91</v>
      </c>
      <c r="M61" s="73" t="s">
        <v>34</v>
      </c>
      <c r="N61" s="52" t="s">
        <v>35</v>
      </c>
      <c r="O61" s="52" t="s">
        <v>82</v>
      </c>
      <c r="P61" s="52" t="s">
        <v>37</v>
      </c>
      <c r="Q61" s="52" t="s">
        <v>29</v>
      </c>
      <c r="R61" s="52" t="s">
        <v>30</v>
      </c>
    </row>
    <row r="62" spans="1:18" ht="51.75" customHeight="1">
      <c r="A62" s="43">
        <v>58</v>
      </c>
      <c r="B62" s="48" t="s">
        <v>19</v>
      </c>
      <c r="C62" s="52" t="s">
        <v>122</v>
      </c>
      <c r="D62" s="50">
        <v>7941356</v>
      </c>
      <c r="E62" s="50">
        <v>9</v>
      </c>
      <c r="F62" s="49">
        <v>66</v>
      </c>
      <c r="G62" s="52" t="s">
        <v>22</v>
      </c>
      <c r="H62" s="52" t="s">
        <v>104</v>
      </c>
      <c r="I62" s="52" t="s">
        <v>40</v>
      </c>
      <c r="J62" s="73" t="s">
        <v>41</v>
      </c>
      <c r="K62" s="73" t="s">
        <v>32</v>
      </c>
      <c r="L62" s="49" t="s">
        <v>91</v>
      </c>
      <c r="M62" s="73" t="s">
        <v>34</v>
      </c>
      <c r="N62" s="52" t="s">
        <v>35</v>
      </c>
      <c r="O62" s="52" t="s">
        <v>82</v>
      </c>
      <c r="P62" s="52" t="s">
        <v>28</v>
      </c>
      <c r="Q62" s="52" t="s">
        <v>55</v>
      </c>
      <c r="R62" s="74" t="s">
        <v>38</v>
      </c>
    </row>
    <row r="63" spans="1:18" ht="51.75" customHeight="1">
      <c r="A63" s="43">
        <v>59</v>
      </c>
      <c r="B63" s="48" t="s">
        <v>19</v>
      </c>
      <c r="C63" s="52" t="s">
        <v>123</v>
      </c>
      <c r="D63" s="50">
        <v>7650709</v>
      </c>
      <c r="E63" s="50">
        <v>0</v>
      </c>
      <c r="F63" s="49">
        <v>67</v>
      </c>
      <c r="G63" s="52" t="s">
        <v>22</v>
      </c>
      <c r="H63" s="52" t="s">
        <v>23</v>
      </c>
      <c r="I63" s="52" t="s">
        <v>40</v>
      </c>
      <c r="J63" s="73" t="s">
        <v>41</v>
      </c>
      <c r="K63" s="73" t="s">
        <v>32</v>
      </c>
      <c r="L63" s="49" t="s">
        <v>91</v>
      </c>
      <c r="M63" s="73" t="s">
        <v>34</v>
      </c>
      <c r="N63" s="52" t="s">
        <v>35</v>
      </c>
      <c r="O63" s="52" t="s">
        <v>82</v>
      </c>
      <c r="P63" s="52" t="s">
        <v>37</v>
      </c>
      <c r="Q63" s="52" t="s">
        <v>29</v>
      </c>
      <c r="R63" s="74" t="s">
        <v>38</v>
      </c>
    </row>
    <row r="64" spans="1:18" ht="51.75" customHeight="1">
      <c r="A64" s="43">
        <v>60</v>
      </c>
      <c r="B64" s="48" t="s">
        <v>19</v>
      </c>
      <c r="C64" s="52" t="s">
        <v>124</v>
      </c>
      <c r="D64" s="50">
        <v>7216812</v>
      </c>
      <c r="E64" s="50">
        <v>7</v>
      </c>
      <c r="F64" s="49">
        <v>71</v>
      </c>
      <c r="G64" s="52" t="s">
        <v>22</v>
      </c>
      <c r="H64" s="52" t="s">
        <v>104</v>
      </c>
      <c r="I64" s="52" t="s">
        <v>40</v>
      </c>
      <c r="J64" s="73" t="s">
        <v>41</v>
      </c>
      <c r="K64" s="73" t="s">
        <v>32</v>
      </c>
      <c r="L64" s="49" t="s">
        <v>91</v>
      </c>
      <c r="M64" s="73" t="s">
        <v>34</v>
      </c>
      <c r="N64" s="52" t="s">
        <v>35</v>
      </c>
      <c r="O64" s="52" t="s">
        <v>82</v>
      </c>
      <c r="P64" s="52" t="s">
        <v>28</v>
      </c>
      <c r="Q64" s="52" t="s">
        <v>55</v>
      </c>
      <c r="R64" s="74" t="s">
        <v>38</v>
      </c>
    </row>
    <row r="65" spans="1:18" ht="56.25" customHeight="1">
      <c r="A65" s="43">
        <v>61</v>
      </c>
      <c r="B65" s="48" t="s">
        <v>19</v>
      </c>
      <c r="C65" s="52" t="s">
        <v>125</v>
      </c>
      <c r="D65" s="50">
        <v>7035296</v>
      </c>
      <c r="E65" s="50">
        <v>6</v>
      </c>
      <c r="F65" s="49">
        <v>74</v>
      </c>
      <c r="G65" s="52" t="s">
        <v>86</v>
      </c>
      <c r="H65" s="52" t="s">
        <v>104</v>
      </c>
      <c r="I65" s="52" t="s">
        <v>40</v>
      </c>
      <c r="J65" s="73" t="s">
        <v>41</v>
      </c>
      <c r="K65" s="73" t="s">
        <v>32</v>
      </c>
      <c r="L65" s="49" t="s">
        <v>91</v>
      </c>
      <c r="M65" s="73" t="s">
        <v>34</v>
      </c>
      <c r="N65" s="52" t="s">
        <v>35</v>
      </c>
      <c r="O65" s="52" t="s">
        <v>82</v>
      </c>
      <c r="P65" s="52" t="s">
        <v>28</v>
      </c>
      <c r="Q65" s="52" t="s">
        <v>55</v>
      </c>
      <c r="R65" s="74" t="s">
        <v>38</v>
      </c>
    </row>
    <row r="66" spans="1:18" ht="69.95" customHeight="1">
      <c r="A66" s="43">
        <v>62</v>
      </c>
      <c r="B66" s="48" t="s">
        <v>19</v>
      </c>
      <c r="C66" s="52" t="s">
        <v>126</v>
      </c>
      <c r="D66" s="50">
        <v>7561426</v>
      </c>
      <c r="E66" s="50">
        <v>8</v>
      </c>
      <c r="F66" s="49">
        <v>71</v>
      </c>
      <c r="G66" s="52" t="s">
        <v>77</v>
      </c>
      <c r="H66" s="52" t="s">
        <v>23</v>
      </c>
      <c r="I66" s="52" t="s">
        <v>40</v>
      </c>
      <c r="J66" s="73" t="s">
        <v>41</v>
      </c>
      <c r="K66" s="73" t="s">
        <v>32</v>
      </c>
      <c r="L66" s="49" t="s">
        <v>91</v>
      </c>
      <c r="M66" s="73" t="s">
        <v>34</v>
      </c>
      <c r="N66" s="52" t="s">
        <v>35</v>
      </c>
      <c r="O66" s="52" t="s">
        <v>82</v>
      </c>
      <c r="P66" s="52" t="s">
        <v>37</v>
      </c>
      <c r="Q66" s="52" t="s">
        <v>29</v>
      </c>
      <c r="R66" s="52" t="s">
        <v>30</v>
      </c>
    </row>
    <row r="67" spans="1:18" ht="51.75" customHeight="1">
      <c r="A67" s="43">
        <v>63</v>
      </c>
      <c r="B67" s="48" t="s">
        <v>19</v>
      </c>
      <c r="C67" s="52" t="s">
        <v>127</v>
      </c>
      <c r="D67" s="50">
        <v>16595704</v>
      </c>
      <c r="E67" s="50">
        <v>0</v>
      </c>
      <c r="F67" s="49">
        <v>37</v>
      </c>
      <c r="G67" s="52" t="s">
        <v>22</v>
      </c>
      <c r="H67" s="52" t="s">
        <v>128</v>
      </c>
      <c r="I67" s="52">
        <v>2022</v>
      </c>
      <c r="J67" s="73" t="s">
        <v>41</v>
      </c>
      <c r="K67" s="73" t="s">
        <v>129</v>
      </c>
      <c r="L67" s="49" t="s">
        <v>91</v>
      </c>
      <c r="M67" s="73" t="s">
        <v>34</v>
      </c>
      <c r="N67" s="52" t="s">
        <v>35</v>
      </c>
      <c r="O67" s="52" t="s">
        <v>82</v>
      </c>
      <c r="P67" s="52" t="s">
        <v>37</v>
      </c>
      <c r="Q67" s="52" t="s">
        <v>29</v>
      </c>
      <c r="R67" s="74" t="s">
        <v>38</v>
      </c>
    </row>
    <row r="68" spans="1:18" ht="51.75" customHeight="1">
      <c r="A68" s="43">
        <v>64</v>
      </c>
      <c r="B68" s="48" t="s">
        <v>19</v>
      </c>
      <c r="C68" s="52" t="s">
        <v>130</v>
      </c>
      <c r="D68" s="50">
        <v>9249672</v>
      </c>
      <c r="E68" s="50">
        <v>4</v>
      </c>
      <c r="F68" s="49">
        <v>62</v>
      </c>
      <c r="G68" s="52" t="s">
        <v>22</v>
      </c>
      <c r="H68" s="52" t="s">
        <v>23</v>
      </c>
      <c r="I68" s="52" t="s">
        <v>40</v>
      </c>
      <c r="J68" s="73" t="s">
        <v>41</v>
      </c>
      <c r="K68" s="73" t="s">
        <v>32</v>
      </c>
      <c r="L68" s="49" t="s">
        <v>91</v>
      </c>
      <c r="M68" s="73" t="s">
        <v>34</v>
      </c>
      <c r="N68" s="52" t="s">
        <v>35</v>
      </c>
      <c r="O68" s="52" t="s">
        <v>82</v>
      </c>
      <c r="P68" s="75" t="s">
        <v>28</v>
      </c>
      <c r="Q68" s="52" t="s">
        <v>29</v>
      </c>
      <c r="R68" s="74" t="s">
        <v>38</v>
      </c>
    </row>
    <row r="69" spans="1:18" ht="51.75" customHeight="1">
      <c r="A69" s="43">
        <v>65</v>
      </c>
      <c r="B69" s="48" t="s">
        <v>19</v>
      </c>
      <c r="C69" s="52" t="s">
        <v>131</v>
      </c>
      <c r="D69" s="50">
        <v>5739951</v>
      </c>
      <c r="E69" s="50">
        <v>1</v>
      </c>
      <c r="F69" s="49">
        <v>79</v>
      </c>
      <c r="G69" s="52" t="s">
        <v>22</v>
      </c>
      <c r="H69" s="52" t="s">
        <v>23</v>
      </c>
      <c r="I69" s="52" t="s">
        <v>40</v>
      </c>
      <c r="J69" s="73" t="s">
        <v>41</v>
      </c>
      <c r="K69" s="73" t="s">
        <v>32</v>
      </c>
      <c r="L69" s="49" t="s">
        <v>91</v>
      </c>
      <c r="M69" s="73" t="s">
        <v>34</v>
      </c>
      <c r="N69" s="52" t="s">
        <v>35</v>
      </c>
      <c r="O69" s="52" t="s">
        <v>82</v>
      </c>
      <c r="P69" s="52" t="s">
        <v>28</v>
      </c>
      <c r="Q69" s="52" t="s">
        <v>55</v>
      </c>
      <c r="R69" s="74" t="s">
        <v>38</v>
      </c>
    </row>
    <row r="70" spans="1:18" ht="51.75" customHeight="1">
      <c r="A70" s="43">
        <v>66</v>
      </c>
      <c r="B70" s="48" t="s">
        <v>19</v>
      </c>
      <c r="C70" s="57" t="s">
        <v>132</v>
      </c>
      <c r="D70" s="50">
        <v>7568962</v>
      </c>
      <c r="E70" s="59">
        <v>4</v>
      </c>
      <c r="F70" s="49">
        <v>70</v>
      </c>
      <c r="G70" s="52" t="s">
        <v>22</v>
      </c>
      <c r="H70" s="64" t="s">
        <v>113</v>
      </c>
      <c r="I70" s="52" t="s">
        <v>40</v>
      </c>
      <c r="J70" s="73" t="s">
        <v>41</v>
      </c>
      <c r="K70" s="73" t="s">
        <v>32</v>
      </c>
      <c r="L70" s="49" t="s">
        <v>91</v>
      </c>
      <c r="M70" s="73" t="s">
        <v>34</v>
      </c>
      <c r="N70" s="52" t="s">
        <v>35</v>
      </c>
      <c r="O70" s="52" t="s">
        <v>82</v>
      </c>
      <c r="P70" s="52" t="s">
        <v>37</v>
      </c>
      <c r="Q70" s="52" t="s">
        <v>29</v>
      </c>
      <c r="R70" s="74" t="s">
        <v>38</v>
      </c>
    </row>
    <row r="71" spans="1:18" ht="51.75" customHeight="1">
      <c r="A71" s="43">
        <v>67</v>
      </c>
      <c r="B71" s="48" t="s">
        <v>19</v>
      </c>
      <c r="C71" s="57" t="s">
        <v>133</v>
      </c>
      <c r="D71" s="50">
        <v>5737993</v>
      </c>
      <c r="E71" s="59">
        <v>6</v>
      </c>
      <c r="F71" s="49">
        <v>84</v>
      </c>
      <c r="G71" s="52" t="s">
        <v>86</v>
      </c>
      <c r="H71" s="64" t="s">
        <v>23</v>
      </c>
      <c r="I71" s="52" t="s">
        <v>40</v>
      </c>
      <c r="J71" s="73" t="s">
        <v>41</v>
      </c>
      <c r="K71" s="73" t="s">
        <v>32</v>
      </c>
      <c r="L71" s="49" t="s">
        <v>91</v>
      </c>
      <c r="M71" s="73" t="s">
        <v>34</v>
      </c>
      <c r="N71" s="52" t="s">
        <v>35</v>
      </c>
      <c r="O71" s="52" t="s">
        <v>82</v>
      </c>
      <c r="P71" s="75" t="s">
        <v>28</v>
      </c>
      <c r="Q71" s="52" t="s">
        <v>29</v>
      </c>
      <c r="R71" s="74" t="s">
        <v>38</v>
      </c>
    </row>
    <row r="72" spans="1:18" ht="51.75" customHeight="1">
      <c r="A72" s="43">
        <v>68</v>
      </c>
      <c r="B72" s="48" t="s">
        <v>19</v>
      </c>
      <c r="C72" s="57" t="s">
        <v>134</v>
      </c>
      <c r="D72" s="50">
        <v>5836441</v>
      </c>
      <c r="E72" s="59" t="s">
        <v>68</v>
      </c>
      <c r="F72" s="49">
        <v>76</v>
      </c>
      <c r="G72" s="52" t="s">
        <v>77</v>
      </c>
      <c r="H72" s="64" t="s">
        <v>23</v>
      </c>
      <c r="I72" s="52" t="s">
        <v>40</v>
      </c>
      <c r="J72" s="73" t="s">
        <v>41</v>
      </c>
      <c r="K72" s="73" t="s">
        <v>32</v>
      </c>
      <c r="L72" s="49" t="s">
        <v>91</v>
      </c>
      <c r="M72" s="73" t="s">
        <v>34</v>
      </c>
      <c r="N72" s="52" t="s">
        <v>35</v>
      </c>
      <c r="O72" s="52" t="s">
        <v>82</v>
      </c>
      <c r="P72" s="52" t="s">
        <v>28</v>
      </c>
      <c r="Q72" s="52" t="s">
        <v>55</v>
      </c>
      <c r="R72" s="74" t="s">
        <v>38</v>
      </c>
    </row>
    <row r="73" spans="1:18" ht="51.75" customHeight="1">
      <c r="A73" s="43">
        <v>69</v>
      </c>
      <c r="B73" s="48" t="s">
        <v>19</v>
      </c>
      <c r="C73" s="57" t="s">
        <v>135</v>
      </c>
      <c r="D73" s="50">
        <v>6485973</v>
      </c>
      <c r="E73" s="59">
        <v>0</v>
      </c>
      <c r="F73" s="49">
        <v>74</v>
      </c>
      <c r="G73" s="52" t="s">
        <v>22</v>
      </c>
      <c r="H73" s="64" t="s">
        <v>23</v>
      </c>
      <c r="I73" s="52" t="s">
        <v>40</v>
      </c>
      <c r="J73" s="73" t="s">
        <v>41</v>
      </c>
      <c r="K73" s="73" t="s">
        <v>32</v>
      </c>
      <c r="L73" s="49" t="s">
        <v>91</v>
      </c>
      <c r="M73" s="73" t="s">
        <v>34</v>
      </c>
      <c r="N73" s="52" t="s">
        <v>35</v>
      </c>
      <c r="O73" s="52" t="s">
        <v>82</v>
      </c>
      <c r="P73" s="52" t="s">
        <v>28</v>
      </c>
      <c r="Q73" s="52" t="s">
        <v>55</v>
      </c>
      <c r="R73" s="74" t="s">
        <v>38</v>
      </c>
    </row>
    <row r="74" spans="1:18" ht="51.75" customHeight="1">
      <c r="A74" s="43">
        <v>70</v>
      </c>
      <c r="B74" s="48" t="s">
        <v>19</v>
      </c>
      <c r="C74" s="57" t="s">
        <v>136</v>
      </c>
      <c r="D74" s="65">
        <v>4247298</v>
      </c>
      <c r="E74" s="62">
        <v>0</v>
      </c>
      <c r="F74" s="63">
        <v>84</v>
      </c>
      <c r="G74" s="64" t="s">
        <v>115</v>
      </c>
      <c r="H74" s="64" t="s">
        <v>113</v>
      </c>
      <c r="I74" s="64" t="s">
        <v>40</v>
      </c>
      <c r="J74" s="80" t="s">
        <v>41</v>
      </c>
      <c r="K74" s="80" t="s">
        <v>32</v>
      </c>
      <c r="L74" s="63" t="s">
        <v>91</v>
      </c>
      <c r="M74" s="80" t="s">
        <v>34</v>
      </c>
      <c r="N74" s="64" t="s">
        <v>35</v>
      </c>
      <c r="O74" s="64" t="s">
        <v>82</v>
      </c>
      <c r="P74" s="64" t="s">
        <v>37</v>
      </c>
      <c r="Q74" s="64" t="s">
        <v>29</v>
      </c>
      <c r="R74" s="74" t="s">
        <v>38</v>
      </c>
    </row>
    <row r="75" spans="1:18" ht="51.75" customHeight="1">
      <c r="A75" s="43">
        <v>71</v>
      </c>
      <c r="B75" s="48" t="s">
        <v>19</v>
      </c>
      <c r="C75" s="57" t="s">
        <v>137</v>
      </c>
      <c r="D75" s="50">
        <v>9014384</v>
      </c>
      <c r="E75" s="59">
        <v>0</v>
      </c>
      <c r="F75" s="49">
        <v>63</v>
      </c>
      <c r="G75" s="52" t="s">
        <v>22</v>
      </c>
      <c r="H75" s="64" t="s">
        <v>23</v>
      </c>
      <c r="I75" s="52" t="s">
        <v>40</v>
      </c>
      <c r="J75" s="73" t="s">
        <v>41</v>
      </c>
      <c r="K75" s="73" t="s">
        <v>32</v>
      </c>
      <c r="L75" s="49" t="s">
        <v>91</v>
      </c>
      <c r="M75" s="73" t="s">
        <v>34</v>
      </c>
      <c r="N75" s="52" t="s">
        <v>35</v>
      </c>
      <c r="O75" s="52" t="s">
        <v>82</v>
      </c>
      <c r="P75" s="52" t="s">
        <v>28</v>
      </c>
      <c r="Q75" s="52" t="s">
        <v>55</v>
      </c>
      <c r="R75" s="74" t="s">
        <v>38</v>
      </c>
    </row>
    <row r="76" spans="1:18" ht="51.75" customHeight="1">
      <c r="A76" s="43">
        <v>72</v>
      </c>
      <c r="B76" s="48" t="s">
        <v>19</v>
      </c>
      <c r="C76" s="57" t="s">
        <v>138</v>
      </c>
      <c r="D76" s="50">
        <v>10767812</v>
      </c>
      <c r="E76" s="59">
        <v>3</v>
      </c>
      <c r="F76" s="49">
        <v>73</v>
      </c>
      <c r="G76" s="52" t="s">
        <v>100</v>
      </c>
      <c r="H76" s="64" t="s">
        <v>72</v>
      </c>
      <c r="I76" s="52" t="s">
        <v>40</v>
      </c>
      <c r="J76" s="73" t="s">
        <v>41</v>
      </c>
      <c r="K76" s="73" t="s">
        <v>32</v>
      </c>
      <c r="L76" s="49" t="s">
        <v>91</v>
      </c>
      <c r="M76" s="73" t="s">
        <v>34</v>
      </c>
      <c r="N76" s="52" t="s">
        <v>35</v>
      </c>
      <c r="O76" s="52" t="s">
        <v>82</v>
      </c>
      <c r="P76" s="52" t="s">
        <v>28</v>
      </c>
      <c r="Q76" s="52" t="s">
        <v>55</v>
      </c>
      <c r="R76" s="74" t="s">
        <v>38</v>
      </c>
    </row>
    <row r="77" spans="1:18" ht="51.75" customHeight="1">
      <c r="A77" s="43">
        <v>73</v>
      </c>
      <c r="B77" s="48" t="s">
        <v>19</v>
      </c>
      <c r="C77" s="57" t="s">
        <v>139</v>
      </c>
      <c r="D77" s="50">
        <v>6472136</v>
      </c>
      <c r="E77" s="59">
        <v>4</v>
      </c>
      <c r="F77" s="49">
        <v>77</v>
      </c>
      <c r="G77" s="52" t="s">
        <v>22</v>
      </c>
      <c r="H77" s="64" t="s">
        <v>23</v>
      </c>
      <c r="I77" s="52" t="s">
        <v>40</v>
      </c>
      <c r="J77" s="73" t="s">
        <v>41</v>
      </c>
      <c r="K77" s="73" t="s">
        <v>32</v>
      </c>
      <c r="L77" s="49" t="s">
        <v>91</v>
      </c>
      <c r="M77" s="73" t="s">
        <v>34</v>
      </c>
      <c r="N77" s="52" t="s">
        <v>35</v>
      </c>
      <c r="O77" s="52" t="s">
        <v>82</v>
      </c>
      <c r="P77" s="52" t="s">
        <v>28</v>
      </c>
      <c r="Q77" s="52" t="s">
        <v>55</v>
      </c>
      <c r="R77" s="74" t="s">
        <v>38</v>
      </c>
    </row>
    <row r="78" spans="1:18" ht="51.75" customHeight="1">
      <c r="A78" s="43">
        <v>74</v>
      </c>
      <c r="B78" s="48" t="s">
        <v>19</v>
      </c>
      <c r="C78" s="57" t="s">
        <v>140</v>
      </c>
      <c r="D78" s="50">
        <v>4216215</v>
      </c>
      <c r="E78" s="59">
        <v>9</v>
      </c>
      <c r="F78" s="49">
        <v>86</v>
      </c>
      <c r="G78" s="52" t="s">
        <v>22</v>
      </c>
      <c r="H78" s="64" t="s">
        <v>23</v>
      </c>
      <c r="I78" s="52" t="s">
        <v>40</v>
      </c>
      <c r="J78" s="73" t="s">
        <v>41</v>
      </c>
      <c r="K78" s="73" t="s">
        <v>32</v>
      </c>
      <c r="L78" s="49" t="s">
        <v>91</v>
      </c>
      <c r="M78" s="73" t="s">
        <v>34</v>
      </c>
      <c r="N78" s="52" t="s">
        <v>35</v>
      </c>
      <c r="O78" s="52" t="s">
        <v>82</v>
      </c>
      <c r="P78" s="52" t="s">
        <v>37</v>
      </c>
      <c r="Q78" s="52" t="s">
        <v>29</v>
      </c>
      <c r="R78" s="74" t="s">
        <v>38</v>
      </c>
    </row>
    <row r="79" spans="1:18" ht="51.75" customHeight="1">
      <c r="A79" s="43">
        <v>75</v>
      </c>
      <c r="B79" s="48" t="s">
        <v>19</v>
      </c>
      <c r="C79" s="57" t="s">
        <v>141</v>
      </c>
      <c r="D79" s="50">
        <v>8704237</v>
      </c>
      <c r="E79" s="59">
        <v>5</v>
      </c>
      <c r="F79" s="49">
        <v>64</v>
      </c>
      <c r="G79" s="52" t="s">
        <v>22</v>
      </c>
      <c r="H79" s="64" t="s">
        <v>113</v>
      </c>
      <c r="I79" s="52" t="s">
        <v>40</v>
      </c>
      <c r="J79" s="73" t="s">
        <v>41</v>
      </c>
      <c r="K79" s="73" t="s">
        <v>32</v>
      </c>
      <c r="L79" s="49" t="s">
        <v>91</v>
      </c>
      <c r="M79" s="73" t="s">
        <v>34</v>
      </c>
      <c r="N79" s="52" t="s">
        <v>35</v>
      </c>
      <c r="O79" s="52" t="s">
        <v>82</v>
      </c>
      <c r="P79" s="52" t="s">
        <v>28</v>
      </c>
      <c r="Q79" s="52" t="s">
        <v>55</v>
      </c>
      <c r="R79" s="74" t="s">
        <v>38</v>
      </c>
    </row>
    <row r="80" spans="1:18" ht="51.75" customHeight="1">
      <c r="A80" s="43">
        <v>76</v>
      </c>
      <c r="B80" s="48" t="s">
        <v>19</v>
      </c>
      <c r="C80" s="57" t="s">
        <v>142</v>
      </c>
      <c r="D80" s="50">
        <v>5600236</v>
      </c>
      <c r="E80" s="59">
        <v>7</v>
      </c>
      <c r="F80" s="49">
        <v>79</v>
      </c>
      <c r="G80" s="52" t="s">
        <v>22</v>
      </c>
      <c r="H80" s="64" t="s">
        <v>113</v>
      </c>
      <c r="I80" s="52">
        <v>2022</v>
      </c>
      <c r="J80" s="73" t="s">
        <v>41</v>
      </c>
      <c r="K80" s="73" t="s">
        <v>32</v>
      </c>
      <c r="L80" s="49" t="s">
        <v>91</v>
      </c>
      <c r="M80" s="73" t="s">
        <v>34</v>
      </c>
      <c r="N80" s="52" t="s">
        <v>35</v>
      </c>
      <c r="O80" s="52" t="s">
        <v>82</v>
      </c>
      <c r="P80" s="52" t="s">
        <v>37</v>
      </c>
      <c r="Q80" s="52" t="s">
        <v>29</v>
      </c>
      <c r="R80" s="74" t="s">
        <v>38</v>
      </c>
    </row>
    <row r="81" spans="1:18" ht="51.75" customHeight="1">
      <c r="A81" s="43">
        <v>77</v>
      </c>
      <c r="B81" s="48" t="s">
        <v>19</v>
      </c>
      <c r="C81" s="57" t="s">
        <v>143</v>
      </c>
      <c r="D81" s="50">
        <v>8818354</v>
      </c>
      <c r="E81" s="59">
        <v>1</v>
      </c>
      <c r="F81" s="49">
        <v>64</v>
      </c>
      <c r="G81" s="52" t="s">
        <v>22</v>
      </c>
      <c r="H81" s="64" t="s">
        <v>23</v>
      </c>
      <c r="I81" s="52" t="s">
        <v>40</v>
      </c>
      <c r="J81" s="73" t="s">
        <v>41</v>
      </c>
      <c r="K81" s="73" t="s">
        <v>32</v>
      </c>
      <c r="L81" s="49" t="s">
        <v>91</v>
      </c>
      <c r="M81" s="73" t="s">
        <v>34</v>
      </c>
      <c r="N81" s="52" t="s">
        <v>35</v>
      </c>
      <c r="O81" s="52" t="s">
        <v>82</v>
      </c>
      <c r="P81" s="52" t="s">
        <v>28</v>
      </c>
      <c r="Q81" s="52" t="s">
        <v>29</v>
      </c>
      <c r="R81" s="74" t="s">
        <v>38</v>
      </c>
    </row>
    <row r="82" spans="1:18" ht="51.75" customHeight="1">
      <c r="A82" s="43">
        <v>78</v>
      </c>
      <c r="B82" s="48" t="s">
        <v>19</v>
      </c>
      <c r="C82" s="57" t="s">
        <v>144</v>
      </c>
      <c r="D82" s="50">
        <v>8569520</v>
      </c>
      <c r="E82" s="59">
        <v>7</v>
      </c>
      <c r="F82" s="49">
        <v>66</v>
      </c>
      <c r="G82" s="52" t="s">
        <v>22</v>
      </c>
      <c r="H82" s="64" t="s">
        <v>23</v>
      </c>
      <c r="I82" s="52" t="s">
        <v>40</v>
      </c>
      <c r="J82" s="73" t="s">
        <v>41</v>
      </c>
      <c r="K82" s="73" t="s">
        <v>32</v>
      </c>
      <c r="L82" s="49" t="s">
        <v>91</v>
      </c>
      <c r="M82" s="73" t="s">
        <v>34</v>
      </c>
      <c r="N82" s="52" t="s">
        <v>35</v>
      </c>
      <c r="O82" s="52" t="s">
        <v>82</v>
      </c>
      <c r="P82" s="75" t="s">
        <v>28</v>
      </c>
      <c r="Q82" s="52" t="s">
        <v>29</v>
      </c>
      <c r="R82" s="74" t="s">
        <v>38</v>
      </c>
    </row>
    <row r="83" spans="1:18" ht="51.75" customHeight="1">
      <c r="A83" s="43">
        <v>79</v>
      </c>
      <c r="B83" s="48" t="s">
        <v>19</v>
      </c>
      <c r="C83" s="57" t="s">
        <v>145</v>
      </c>
      <c r="D83" s="50">
        <v>11512183</v>
      </c>
      <c r="E83" s="59">
        <v>9</v>
      </c>
      <c r="F83" s="49">
        <v>53</v>
      </c>
      <c r="G83" s="52" t="s">
        <v>22</v>
      </c>
      <c r="H83" s="64" t="s">
        <v>23</v>
      </c>
      <c r="I83" s="52" t="s">
        <v>40</v>
      </c>
      <c r="J83" s="73" t="s">
        <v>41</v>
      </c>
      <c r="K83" s="73" t="s">
        <v>32</v>
      </c>
      <c r="L83" s="49" t="s">
        <v>91</v>
      </c>
      <c r="M83" s="73" t="s">
        <v>34</v>
      </c>
      <c r="N83" s="52" t="s">
        <v>35</v>
      </c>
      <c r="O83" s="52" t="s">
        <v>82</v>
      </c>
      <c r="P83" s="75" t="s">
        <v>28</v>
      </c>
      <c r="Q83" s="52" t="s">
        <v>29</v>
      </c>
      <c r="R83" s="74" t="s">
        <v>38</v>
      </c>
    </row>
    <row r="84" spans="1:18" ht="51.75" customHeight="1">
      <c r="A84" s="43">
        <v>80</v>
      </c>
      <c r="B84" s="48" t="s">
        <v>19</v>
      </c>
      <c r="C84" s="57" t="s">
        <v>146</v>
      </c>
      <c r="D84" s="50">
        <v>7086654</v>
      </c>
      <c r="E84" s="59">
        <v>4</v>
      </c>
      <c r="F84" s="49">
        <v>72</v>
      </c>
      <c r="G84" s="52" t="s">
        <v>22</v>
      </c>
      <c r="H84" s="64" t="s">
        <v>23</v>
      </c>
      <c r="I84" s="52" t="s">
        <v>40</v>
      </c>
      <c r="J84" s="73" t="s">
        <v>41</v>
      </c>
      <c r="K84" s="73" t="s">
        <v>32</v>
      </c>
      <c r="L84" s="49" t="s">
        <v>91</v>
      </c>
      <c r="M84" s="73" t="s">
        <v>34</v>
      </c>
      <c r="N84" s="52" t="s">
        <v>35</v>
      </c>
      <c r="O84" s="52" t="s">
        <v>82</v>
      </c>
      <c r="P84" s="52" t="s">
        <v>28</v>
      </c>
      <c r="Q84" s="52" t="s">
        <v>58</v>
      </c>
      <c r="R84" s="74" t="s">
        <v>38</v>
      </c>
    </row>
    <row r="85" spans="1:18" ht="51.75" customHeight="1">
      <c r="A85" s="43">
        <v>81</v>
      </c>
      <c r="B85" s="48" t="s">
        <v>19</v>
      </c>
      <c r="C85" s="57" t="s">
        <v>147</v>
      </c>
      <c r="D85" s="50">
        <v>18986810</v>
      </c>
      <c r="E85" s="59">
        <v>3</v>
      </c>
      <c r="F85" s="49">
        <v>28</v>
      </c>
      <c r="G85" s="52" t="s">
        <v>77</v>
      </c>
      <c r="H85" s="64" t="s">
        <v>23</v>
      </c>
      <c r="I85" s="52" t="s">
        <v>40</v>
      </c>
      <c r="J85" s="73" t="s">
        <v>41</v>
      </c>
      <c r="K85" s="73" t="s">
        <v>32</v>
      </c>
      <c r="L85" s="49" t="s">
        <v>91</v>
      </c>
      <c r="M85" s="73" t="s">
        <v>34</v>
      </c>
      <c r="N85" s="52" t="s">
        <v>35</v>
      </c>
      <c r="O85" s="52" t="s">
        <v>82</v>
      </c>
      <c r="P85" s="52" t="s">
        <v>28</v>
      </c>
      <c r="Q85" s="52" t="s">
        <v>55</v>
      </c>
      <c r="R85" s="74" t="s">
        <v>38</v>
      </c>
    </row>
    <row r="86" spans="1:18" ht="51.75" customHeight="1">
      <c r="A86" s="43">
        <v>82</v>
      </c>
      <c r="B86" s="60" t="s">
        <v>19</v>
      </c>
      <c r="C86" s="61" t="s">
        <v>148</v>
      </c>
      <c r="D86" s="65">
        <v>4545606</v>
      </c>
      <c r="E86" s="62">
        <v>4</v>
      </c>
      <c r="F86" s="63">
        <v>82</v>
      </c>
      <c r="G86" s="64" t="s">
        <v>22</v>
      </c>
      <c r="H86" s="64" t="s">
        <v>23</v>
      </c>
      <c r="I86" s="64" t="s">
        <v>40</v>
      </c>
      <c r="J86" s="80" t="s">
        <v>41</v>
      </c>
      <c r="K86" s="80" t="s">
        <v>32</v>
      </c>
      <c r="L86" s="63" t="s">
        <v>91</v>
      </c>
      <c r="M86" s="80" t="s">
        <v>34</v>
      </c>
      <c r="N86" s="64" t="s">
        <v>35</v>
      </c>
      <c r="O86" s="64" t="s">
        <v>82</v>
      </c>
      <c r="P86" s="52" t="s">
        <v>28</v>
      </c>
      <c r="Q86" s="64" t="s">
        <v>55</v>
      </c>
      <c r="R86" s="74" t="s">
        <v>38</v>
      </c>
    </row>
    <row r="87" spans="1:18" ht="51.75" customHeight="1">
      <c r="A87" s="43">
        <v>83</v>
      </c>
      <c r="B87" s="48" t="s">
        <v>19</v>
      </c>
      <c r="C87" s="57" t="s">
        <v>149</v>
      </c>
      <c r="D87" s="50">
        <v>4603761</v>
      </c>
      <c r="E87" s="59">
        <v>8</v>
      </c>
      <c r="F87" s="49">
        <v>81</v>
      </c>
      <c r="G87" s="52" t="s">
        <v>150</v>
      </c>
      <c r="H87" s="64" t="s">
        <v>113</v>
      </c>
      <c r="I87" s="52" t="s">
        <v>40</v>
      </c>
      <c r="J87" s="73" t="s">
        <v>41</v>
      </c>
      <c r="K87" s="73" t="s">
        <v>32</v>
      </c>
      <c r="L87" s="49" t="s">
        <v>91</v>
      </c>
      <c r="M87" s="73" t="s">
        <v>34</v>
      </c>
      <c r="N87" s="52" t="s">
        <v>35</v>
      </c>
      <c r="O87" s="52" t="s">
        <v>82</v>
      </c>
      <c r="P87" s="52" t="s">
        <v>28</v>
      </c>
      <c r="Q87" s="52" t="s">
        <v>55</v>
      </c>
      <c r="R87" s="74" t="s">
        <v>38</v>
      </c>
    </row>
    <row r="88" spans="1:18" ht="51.75" customHeight="1">
      <c r="A88" s="43">
        <v>84</v>
      </c>
      <c r="B88" s="48" t="s">
        <v>19</v>
      </c>
      <c r="C88" s="57" t="s">
        <v>151</v>
      </c>
      <c r="D88" s="50">
        <v>6546526</v>
      </c>
      <c r="E88" s="59">
        <v>4</v>
      </c>
      <c r="F88" s="49">
        <v>76</v>
      </c>
      <c r="G88" s="52" t="s">
        <v>86</v>
      </c>
      <c r="H88" s="64" t="s">
        <v>113</v>
      </c>
      <c r="I88" s="52" t="s">
        <v>40</v>
      </c>
      <c r="J88" s="73" t="s">
        <v>41</v>
      </c>
      <c r="K88" s="73" t="s">
        <v>32</v>
      </c>
      <c r="L88" s="49" t="s">
        <v>91</v>
      </c>
      <c r="M88" s="73" t="s">
        <v>34</v>
      </c>
      <c r="N88" s="52" t="s">
        <v>35</v>
      </c>
      <c r="O88" s="52" t="s">
        <v>82</v>
      </c>
      <c r="P88" s="52" t="s">
        <v>28</v>
      </c>
      <c r="Q88" s="52" t="s">
        <v>55</v>
      </c>
      <c r="R88" s="74" t="s">
        <v>38</v>
      </c>
    </row>
    <row r="89" spans="1:18" ht="51.75" customHeight="1">
      <c r="A89" s="43">
        <v>85</v>
      </c>
      <c r="B89" s="48" t="s">
        <v>19</v>
      </c>
      <c r="C89" s="57" t="s">
        <v>152</v>
      </c>
      <c r="D89" s="50">
        <v>10794313</v>
      </c>
      <c r="E89" s="59">
        <v>7</v>
      </c>
      <c r="F89" s="49">
        <v>58</v>
      </c>
      <c r="G89" s="52" t="s">
        <v>22</v>
      </c>
      <c r="H89" s="64" t="s">
        <v>23</v>
      </c>
      <c r="I89" s="52" t="s">
        <v>40</v>
      </c>
      <c r="J89" s="73" t="s">
        <v>41</v>
      </c>
      <c r="K89" s="73" t="s">
        <v>32</v>
      </c>
      <c r="L89" s="49" t="s">
        <v>91</v>
      </c>
      <c r="M89" s="73" t="s">
        <v>34</v>
      </c>
      <c r="N89" s="52" t="s">
        <v>35</v>
      </c>
      <c r="O89" s="52" t="s">
        <v>82</v>
      </c>
      <c r="P89" s="52" t="s">
        <v>28</v>
      </c>
      <c r="Q89" s="52" t="s">
        <v>55</v>
      </c>
      <c r="R89" s="74" t="s">
        <v>38</v>
      </c>
    </row>
    <row r="90" spans="1:18" ht="51.75" customHeight="1">
      <c r="A90" s="43">
        <v>86</v>
      </c>
      <c r="B90" s="48" t="s">
        <v>19</v>
      </c>
      <c r="C90" s="57" t="s">
        <v>153</v>
      </c>
      <c r="D90" s="50">
        <v>6071227</v>
      </c>
      <c r="E90" s="59">
        <v>1</v>
      </c>
      <c r="F90" s="49">
        <v>71</v>
      </c>
      <c r="G90" s="52" t="s">
        <v>22</v>
      </c>
      <c r="H90" s="64" t="s">
        <v>23</v>
      </c>
      <c r="I90" s="52" t="s">
        <v>40</v>
      </c>
      <c r="J90" s="73" t="s">
        <v>41</v>
      </c>
      <c r="K90" s="73" t="s">
        <v>32</v>
      </c>
      <c r="L90" s="49" t="s">
        <v>91</v>
      </c>
      <c r="M90" s="73" t="s">
        <v>34</v>
      </c>
      <c r="N90" s="52" t="s">
        <v>35</v>
      </c>
      <c r="O90" s="52" t="s">
        <v>82</v>
      </c>
      <c r="P90" s="75" t="s">
        <v>28</v>
      </c>
      <c r="Q90" s="52" t="s">
        <v>29</v>
      </c>
      <c r="R90" s="74" t="s">
        <v>38</v>
      </c>
    </row>
    <row r="91" spans="1:18" ht="51.75" customHeight="1">
      <c r="A91" s="43">
        <v>87</v>
      </c>
      <c r="B91" s="48" t="s">
        <v>19</v>
      </c>
      <c r="C91" s="57" t="s">
        <v>154</v>
      </c>
      <c r="D91" s="50">
        <v>11382624</v>
      </c>
      <c r="E91" s="59" t="s">
        <v>68</v>
      </c>
      <c r="F91" s="49">
        <v>55</v>
      </c>
      <c r="G91" s="52" t="s">
        <v>22</v>
      </c>
      <c r="H91" s="64" t="s">
        <v>113</v>
      </c>
      <c r="I91" s="52" t="s">
        <v>40</v>
      </c>
      <c r="J91" s="73" t="s">
        <v>41</v>
      </c>
      <c r="K91" s="73" t="s">
        <v>32</v>
      </c>
      <c r="L91" s="49" t="s">
        <v>91</v>
      </c>
      <c r="M91" s="73" t="s">
        <v>34</v>
      </c>
      <c r="N91" s="52" t="s">
        <v>35</v>
      </c>
      <c r="O91" s="52" t="s">
        <v>82</v>
      </c>
      <c r="P91" s="52" t="s">
        <v>28</v>
      </c>
      <c r="Q91" s="52" t="s">
        <v>55</v>
      </c>
      <c r="R91" s="74" t="s">
        <v>38</v>
      </c>
    </row>
    <row r="92" spans="1:18" ht="51.75" customHeight="1">
      <c r="A92" s="43">
        <v>88</v>
      </c>
      <c r="B92" s="48" t="s">
        <v>19</v>
      </c>
      <c r="C92" s="57" t="s">
        <v>155</v>
      </c>
      <c r="D92" s="50">
        <v>9189978</v>
      </c>
      <c r="E92" s="59">
        <v>7</v>
      </c>
      <c r="F92" s="49">
        <v>73</v>
      </c>
      <c r="G92" s="52" t="s">
        <v>22</v>
      </c>
      <c r="H92" s="64" t="s">
        <v>156</v>
      </c>
      <c r="I92" s="52" t="s">
        <v>40</v>
      </c>
      <c r="J92" s="73" t="s">
        <v>41</v>
      </c>
      <c r="K92" s="73" t="s">
        <v>32</v>
      </c>
      <c r="L92" s="49" t="s">
        <v>91</v>
      </c>
      <c r="M92" s="73" t="s">
        <v>34</v>
      </c>
      <c r="N92" s="52" t="s">
        <v>35</v>
      </c>
      <c r="O92" s="52" t="s">
        <v>82</v>
      </c>
      <c r="P92" s="52" t="s">
        <v>37</v>
      </c>
      <c r="Q92" s="52" t="s">
        <v>29</v>
      </c>
      <c r="R92" s="74" t="s">
        <v>38</v>
      </c>
    </row>
    <row r="93" spans="1:18" ht="51.75" customHeight="1">
      <c r="A93" s="43">
        <v>89</v>
      </c>
      <c r="B93" s="48" t="s">
        <v>19</v>
      </c>
      <c r="C93" s="57" t="s">
        <v>157</v>
      </c>
      <c r="D93" s="50">
        <v>12943856</v>
      </c>
      <c r="E93" s="59">
        <v>8</v>
      </c>
      <c r="F93" s="49">
        <v>58</v>
      </c>
      <c r="G93" s="52" t="s">
        <v>22</v>
      </c>
      <c r="H93" s="64" t="s">
        <v>113</v>
      </c>
      <c r="I93" s="52" t="s">
        <v>40</v>
      </c>
      <c r="J93" s="73" t="s">
        <v>41</v>
      </c>
      <c r="K93" s="73" t="s">
        <v>32</v>
      </c>
      <c r="L93" s="49" t="s">
        <v>91</v>
      </c>
      <c r="M93" s="73" t="s">
        <v>34</v>
      </c>
      <c r="N93" s="52" t="s">
        <v>35</v>
      </c>
      <c r="O93" s="52" t="s">
        <v>82</v>
      </c>
      <c r="P93" s="52" t="s">
        <v>28</v>
      </c>
      <c r="Q93" s="52" t="s">
        <v>55</v>
      </c>
      <c r="R93" s="74" t="s">
        <v>38</v>
      </c>
    </row>
    <row r="94" spans="1:18" ht="51.75" customHeight="1">
      <c r="A94" s="43">
        <v>90</v>
      </c>
      <c r="B94" s="48" t="s">
        <v>19</v>
      </c>
      <c r="C94" s="57" t="s">
        <v>158</v>
      </c>
      <c r="D94" s="50">
        <v>11513245</v>
      </c>
      <c r="E94" s="59">
        <v>8</v>
      </c>
      <c r="F94" s="49">
        <v>53</v>
      </c>
      <c r="G94" s="52" t="s">
        <v>22</v>
      </c>
      <c r="H94" s="64" t="s">
        <v>113</v>
      </c>
      <c r="I94" s="52" t="s">
        <v>40</v>
      </c>
      <c r="J94" s="73" t="s">
        <v>41</v>
      </c>
      <c r="K94" s="73" t="s">
        <v>32</v>
      </c>
      <c r="L94" s="49" t="s">
        <v>91</v>
      </c>
      <c r="M94" s="73" t="s">
        <v>34</v>
      </c>
      <c r="N94" s="52" t="s">
        <v>35</v>
      </c>
      <c r="O94" s="52" t="s">
        <v>82</v>
      </c>
      <c r="P94" s="52" t="s">
        <v>28</v>
      </c>
      <c r="Q94" s="52" t="s">
        <v>55</v>
      </c>
      <c r="R94" s="74" t="s">
        <v>38</v>
      </c>
    </row>
    <row r="95" spans="1:18" ht="51.75" customHeight="1">
      <c r="A95" s="43">
        <v>91</v>
      </c>
      <c r="B95" s="48" t="s">
        <v>19</v>
      </c>
      <c r="C95" s="57" t="s">
        <v>159</v>
      </c>
      <c r="D95" s="50">
        <v>7167466</v>
      </c>
      <c r="E95" s="59">
        <v>5</v>
      </c>
      <c r="F95" s="49">
        <v>70</v>
      </c>
      <c r="G95" s="52" t="s">
        <v>22</v>
      </c>
      <c r="H95" s="52" t="s">
        <v>23</v>
      </c>
      <c r="I95" s="52" t="s">
        <v>40</v>
      </c>
      <c r="J95" s="73" t="s">
        <v>41</v>
      </c>
      <c r="K95" s="73" t="s">
        <v>32</v>
      </c>
      <c r="L95" s="49" t="s">
        <v>91</v>
      </c>
      <c r="M95" s="73" t="s">
        <v>34</v>
      </c>
      <c r="N95" s="52" t="s">
        <v>35</v>
      </c>
      <c r="O95" s="52" t="s">
        <v>82</v>
      </c>
      <c r="P95" s="52" t="s">
        <v>28</v>
      </c>
      <c r="Q95" s="52" t="s">
        <v>55</v>
      </c>
      <c r="R95" s="74" t="s">
        <v>38</v>
      </c>
    </row>
    <row r="96" spans="1:18" ht="51.75" customHeight="1">
      <c r="A96" s="43">
        <v>92</v>
      </c>
      <c r="B96" s="48" t="s">
        <v>19</v>
      </c>
      <c r="C96" s="57" t="s">
        <v>160</v>
      </c>
      <c r="D96" s="50">
        <v>7173962</v>
      </c>
      <c r="E96" s="59">
        <v>7</v>
      </c>
      <c r="F96" s="49">
        <v>69</v>
      </c>
      <c r="G96" s="52" t="s">
        <v>22</v>
      </c>
      <c r="H96" s="52" t="s">
        <v>23</v>
      </c>
      <c r="I96" s="52" t="s">
        <v>40</v>
      </c>
      <c r="J96" s="72" t="s">
        <v>41</v>
      </c>
      <c r="K96" s="73" t="s">
        <v>161</v>
      </c>
      <c r="L96" s="49" t="s">
        <v>91</v>
      </c>
      <c r="M96" s="72" t="s">
        <v>34</v>
      </c>
      <c r="N96" s="52" t="s">
        <v>35</v>
      </c>
      <c r="O96" s="52" t="s">
        <v>82</v>
      </c>
      <c r="P96" s="75" t="s">
        <v>28</v>
      </c>
      <c r="Q96" s="52" t="s">
        <v>29</v>
      </c>
      <c r="R96" s="74" t="s">
        <v>38</v>
      </c>
    </row>
    <row r="97" spans="1:18" ht="51.75" customHeight="1">
      <c r="A97" s="43">
        <v>93</v>
      </c>
      <c r="B97" s="48" t="s">
        <v>19</v>
      </c>
      <c r="C97" s="52" t="s">
        <v>162</v>
      </c>
      <c r="D97" s="50">
        <v>9649908</v>
      </c>
      <c r="E97" s="50">
        <v>6</v>
      </c>
      <c r="F97" s="49"/>
      <c r="G97" s="52" t="s">
        <v>22</v>
      </c>
      <c r="H97" s="52" t="s">
        <v>23</v>
      </c>
      <c r="I97" s="52" t="s">
        <v>40</v>
      </c>
      <c r="J97" s="72" t="s">
        <v>41</v>
      </c>
      <c r="K97" s="73" t="s">
        <v>32</v>
      </c>
      <c r="L97" s="49" t="s">
        <v>91</v>
      </c>
      <c r="M97" s="72" t="s">
        <v>34</v>
      </c>
      <c r="N97" s="52" t="s">
        <v>35</v>
      </c>
      <c r="O97" s="52" t="s">
        <v>82</v>
      </c>
      <c r="P97" s="52" t="s">
        <v>28</v>
      </c>
      <c r="Q97" s="52" t="s">
        <v>55</v>
      </c>
      <c r="R97" s="74" t="s">
        <v>38</v>
      </c>
    </row>
    <row r="98" spans="1:18" ht="51.75" customHeight="1">
      <c r="A98" s="43">
        <v>94</v>
      </c>
      <c r="B98" s="48" t="s">
        <v>19</v>
      </c>
      <c r="C98" s="57" t="s">
        <v>163</v>
      </c>
      <c r="D98" s="50">
        <v>8236106</v>
      </c>
      <c r="E98" s="59">
        <v>5</v>
      </c>
      <c r="F98" s="49">
        <v>67</v>
      </c>
      <c r="G98" s="52" t="s">
        <v>22</v>
      </c>
      <c r="H98" s="64" t="s">
        <v>23</v>
      </c>
      <c r="I98" s="52" t="s">
        <v>40</v>
      </c>
      <c r="J98" s="73" t="s">
        <v>41</v>
      </c>
      <c r="K98" s="73" t="s">
        <v>32</v>
      </c>
      <c r="L98" s="49" t="s">
        <v>49</v>
      </c>
      <c r="M98" s="73" t="s">
        <v>34</v>
      </c>
      <c r="N98" s="52" t="s">
        <v>35</v>
      </c>
      <c r="O98" s="52" t="s">
        <v>82</v>
      </c>
      <c r="P98" s="52" t="s">
        <v>28</v>
      </c>
      <c r="Q98" s="52" t="s">
        <v>55</v>
      </c>
      <c r="R98" s="74" t="s">
        <v>38</v>
      </c>
    </row>
    <row r="99" spans="1:18" ht="69.95" customHeight="1">
      <c r="A99" s="43">
        <v>95</v>
      </c>
      <c r="B99" s="48" t="s">
        <v>19</v>
      </c>
      <c r="C99" s="57" t="s">
        <v>164</v>
      </c>
      <c r="D99" s="50">
        <v>8262721</v>
      </c>
      <c r="E99" s="59">
        <v>9</v>
      </c>
      <c r="F99" s="49">
        <v>69</v>
      </c>
      <c r="G99" s="52" t="s">
        <v>22</v>
      </c>
      <c r="H99" s="52" t="s">
        <v>23</v>
      </c>
      <c r="I99" s="52" t="s">
        <v>40</v>
      </c>
      <c r="J99" s="73" t="s">
        <v>41</v>
      </c>
      <c r="K99" s="73" t="s">
        <v>24</v>
      </c>
      <c r="L99" s="49" t="s">
        <v>25</v>
      </c>
      <c r="M99" s="72">
        <v>45334</v>
      </c>
      <c r="N99" s="52" t="s">
        <v>165</v>
      </c>
      <c r="O99" s="52" t="s">
        <v>36</v>
      </c>
      <c r="P99" s="52" t="s">
        <v>37</v>
      </c>
      <c r="Q99" s="52" t="s">
        <v>29</v>
      </c>
      <c r="R99" s="52" t="s">
        <v>30</v>
      </c>
    </row>
    <row r="100" spans="1:18" ht="75" customHeight="1">
      <c r="A100" s="43">
        <v>96</v>
      </c>
      <c r="B100" s="48" t="s">
        <v>19</v>
      </c>
      <c r="C100" s="83" t="s">
        <v>166</v>
      </c>
      <c r="D100" s="50">
        <v>13760126</v>
      </c>
      <c r="E100" s="59">
        <v>5</v>
      </c>
      <c r="F100" s="49">
        <v>44</v>
      </c>
      <c r="G100" s="52" t="s">
        <v>22</v>
      </c>
      <c r="H100" s="52" t="s">
        <v>23</v>
      </c>
      <c r="I100" s="52">
        <v>2023</v>
      </c>
      <c r="J100" s="72">
        <v>45117</v>
      </c>
      <c r="K100" s="73" t="s">
        <v>24</v>
      </c>
      <c r="L100" s="74" t="s">
        <v>167</v>
      </c>
      <c r="M100" s="73" t="s">
        <v>34</v>
      </c>
      <c r="N100" s="52" t="s">
        <v>35</v>
      </c>
      <c r="O100" s="52" t="s">
        <v>168</v>
      </c>
      <c r="P100" s="52" t="s">
        <v>169</v>
      </c>
      <c r="Q100" s="52" t="s">
        <v>29</v>
      </c>
      <c r="R100" s="74" t="s">
        <v>168</v>
      </c>
    </row>
    <row r="101" spans="1:18" ht="75" customHeight="1">
      <c r="A101" s="43">
        <v>97</v>
      </c>
      <c r="B101" s="48" t="s">
        <v>170</v>
      </c>
      <c r="C101" s="83" t="s">
        <v>171</v>
      </c>
      <c r="D101" s="50">
        <v>7186137</v>
      </c>
      <c r="E101" s="59">
        <v>6</v>
      </c>
      <c r="F101" s="51">
        <v>70</v>
      </c>
      <c r="G101" s="52" t="s">
        <v>22</v>
      </c>
      <c r="H101" s="52" t="s">
        <v>23</v>
      </c>
      <c r="I101" s="52">
        <v>2023</v>
      </c>
      <c r="J101" s="72">
        <v>45338</v>
      </c>
      <c r="K101" s="73" t="s">
        <v>24</v>
      </c>
      <c r="L101" s="49" t="s">
        <v>49</v>
      </c>
      <c r="M101" s="73" t="s">
        <v>34</v>
      </c>
      <c r="N101" s="52" t="s">
        <v>35</v>
      </c>
      <c r="O101" s="52" t="s">
        <v>36</v>
      </c>
      <c r="P101" s="52" t="s">
        <v>37</v>
      </c>
      <c r="Q101" s="52" t="s">
        <v>29</v>
      </c>
      <c r="R101" s="74" t="s">
        <v>38</v>
      </c>
    </row>
    <row r="102" spans="1:18" ht="75" customHeight="1">
      <c r="A102" s="43">
        <v>98</v>
      </c>
      <c r="B102" s="48" t="s">
        <v>19</v>
      </c>
      <c r="C102" s="57" t="s">
        <v>172</v>
      </c>
      <c r="D102" s="50">
        <v>3875605</v>
      </c>
      <c r="E102" s="59">
        <v>2</v>
      </c>
      <c r="F102" s="49">
        <v>86</v>
      </c>
      <c r="G102" s="52" t="s">
        <v>22</v>
      </c>
      <c r="H102" s="52" t="s">
        <v>23</v>
      </c>
      <c r="I102" s="52" t="s">
        <v>40</v>
      </c>
      <c r="J102" s="72" t="s">
        <v>41</v>
      </c>
      <c r="K102" s="73" t="s">
        <v>24</v>
      </c>
      <c r="L102" s="74" t="s">
        <v>49</v>
      </c>
      <c r="M102" s="72" t="s">
        <v>34</v>
      </c>
      <c r="N102" s="52" t="s">
        <v>35</v>
      </c>
      <c r="O102" s="52" t="s">
        <v>36</v>
      </c>
      <c r="P102" s="52" t="s">
        <v>169</v>
      </c>
      <c r="Q102" s="52" t="s">
        <v>29</v>
      </c>
      <c r="R102" s="74" t="s">
        <v>38</v>
      </c>
    </row>
    <row r="103" spans="1:18" ht="75" customHeight="1">
      <c r="A103" s="43">
        <v>99</v>
      </c>
      <c r="B103" s="48" t="s">
        <v>19</v>
      </c>
      <c r="C103" s="57" t="s">
        <v>173</v>
      </c>
      <c r="D103" s="50">
        <v>7806347</v>
      </c>
      <c r="E103" s="59">
        <v>5</v>
      </c>
      <c r="F103" s="49">
        <v>68</v>
      </c>
      <c r="G103" s="52" t="s">
        <v>86</v>
      </c>
      <c r="H103" s="52" t="s">
        <v>23</v>
      </c>
      <c r="I103" s="52" t="s">
        <v>40</v>
      </c>
      <c r="J103" s="72" t="s">
        <v>41</v>
      </c>
      <c r="K103" s="73" t="s">
        <v>24</v>
      </c>
      <c r="L103" s="49" t="s">
        <v>49</v>
      </c>
      <c r="M103" s="72" t="s">
        <v>34</v>
      </c>
      <c r="N103" s="52" t="s">
        <v>35</v>
      </c>
      <c r="O103" s="52" t="s">
        <v>36</v>
      </c>
      <c r="P103" s="52" t="s">
        <v>169</v>
      </c>
      <c r="Q103" s="52" t="s">
        <v>29</v>
      </c>
      <c r="R103" s="74" t="s">
        <v>38</v>
      </c>
    </row>
    <row r="104" spans="1:18" ht="75" customHeight="1">
      <c r="A104" s="43">
        <v>100</v>
      </c>
      <c r="B104" s="48" t="s">
        <v>19</v>
      </c>
      <c r="C104" s="57" t="s">
        <v>174</v>
      </c>
      <c r="D104" s="50">
        <v>6850378</v>
      </c>
      <c r="E104" s="59">
        <v>7</v>
      </c>
      <c r="F104" s="49">
        <v>70</v>
      </c>
      <c r="G104" s="52" t="s">
        <v>22</v>
      </c>
      <c r="H104" s="52" t="s">
        <v>23</v>
      </c>
      <c r="I104" s="52">
        <v>2023</v>
      </c>
      <c r="J104" s="72">
        <v>45349</v>
      </c>
      <c r="K104" s="73" t="s">
        <v>24</v>
      </c>
      <c r="L104" s="49" t="s">
        <v>25</v>
      </c>
      <c r="M104" s="73" t="s">
        <v>34</v>
      </c>
      <c r="N104" s="52" t="s">
        <v>35</v>
      </c>
      <c r="O104" s="52" t="s">
        <v>36</v>
      </c>
      <c r="P104" s="52" t="s">
        <v>37</v>
      </c>
      <c r="Q104" s="52" t="s">
        <v>29</v>
      </c>
      <c r="R104" s="74" t="s">
        <v>38</v>
      </c>
    </row>
    <row r="105" spans="1:18" ht="69.95" customHeight="1">
      <c r="A105" s="43">
        <v>101</v>
      </c>
      <c r="B105" s="48" t="s">
        <v>19</v>
      </c>
      <c r="C105" s="57" t="s">
        <v>175</v>
      </c>
      <c r="D105" s="50">
        <v>4540642</v>
      </c>
      <c r="E105" s="59">
        <v>3</v>
      </c>
      <c r="F105" s="49">
        <v>84</v>
      </c>
      <c r="G105" s="52" t="s">
        <v>22</v>
      </c>
      <c r="H105" s="52" t="s">
        <v>23</v>
      </c>
      <c r="I105" s="52">
        <v>2024</v>
      </c>
      <c r="J105" s="72">
        <v>45331</v>
      </c>
      <c r="K105" s="73" t="s">
        <v>24</v>
      </c>
      <c r="L105" s="73" t="s">
        <v>167</v>
      </c>
      <c r="M105" s="72">
        <v>45357</v>
      </c>
      <c r="N105" s="52" t="s">
        <v>176</v>
      </c>
      <c r="O105" s="52" t="s">
        <v>36</v>
      </c>
      <c r="P105" s="52" t="s">
        <v>169</v>
      </c>
      <c r="Q105" s="52" t="s">
        <v>177</v>
      </c>
      <c r="R105" s="52" t="s">
        <v>30</v>
      </c>
    </row>
    <row r="106" spans="1:18" ht="69.95" customHeight="1">
      <c r="A106" s="43">
        <v>102</v>
      </c>
      <c r="B106" s="48" t="s">
        <v>19</v>
      </c>
      <c r="C106" s="57" t="s">
        <v>178</v>
      </c>
      <c r="D106" s="50">
        <v>3964326</v>
      </c>
      <c r="E106" s="59" t="s">
        <v>68</v>
      </c>
      <c r="F106" s="49">
        <v>83</v>
      </c>
      <c r="G106" s="52" t="s">
        <v>22</v>
      </c>
      <c r="H106" s="52" t="s">
        <v>23</v>
      </c>
      <c r="I106" s="52">
        <v>2023</v>
      </c>
      <c r="J106" s="72">
        <v>45131</v>
      </c>
      <c r="K106" s="73" t="s">
        <v>24</v>
      </c>
      <c r="L106" s="73" t="s">
        <v>53</v>
      </c>
      <c r="M106" s="72">
        <v>45043</v>
      </c>
      <c r="N106" s="52" t="s">
        <v>179</v>
      </c>
      <c r="O106" s="52" t="s">
        <v>36</v>
      </c>
      <c r="P106" s="52" t="s">
        <v>169</v>
      </c>
      <c r="Q106" s="52" t="s">
        <v>180</v>
      </c>
      <c r="R106" s="52" t="s">
        <v>30</v>
      </c>
    </row>
    <row r="107" spans="1:18" ht="69.95" customHeight="1">
      <c r="A107" s="43">
        <v>103</v>
      </c>
      <c r="B107" s="56" t="s">
        <v>19</v>
      </c>
      <c r="C107" s="83" t="s">
        <v>181</v>
      </c>
      <c r="D107" s="50">
        <v>6881114</v>
      </c>
      <c r="E107" s="59">
        <v>7</v>
      </c>
      <c r="F107" s="49">
        <v>71</v>
      </c>
      <c r="G107" s="52" t="s">
        <v>22</v>
      </c>
      <c r="H107" s="52" t="s">
        <v>23</v>
      </c>
      <c r="I107" s="52" t="s">
        <v>40</v>
      </c>
      <c r="J107" s="73" t="s">
        <v>41</v>
      </c>
      <c r="K107" s="73" t="s">
        <v>24</v>
      </c>
      <c r="L107" s="93" t="s">
        <v>182</v>
      </c>
      <c r="M107" s="72">
        <v>45008</v>
      </c>
      <c r="N107" s="52" t="s">
        <v>183</v>
      </c>
      <c r="O107" s="52" t="s">
        <v>36</v>
      </c>
      <c r="P107" s="52" t="s">
        <v>28</v>
      </c>
      <c r="Q107" s="52" t="s">
        <v>184</v>
      </c>
      <c r="R107" s="52" t="s">
        <v>30</v>
      </c>
    </row>
    <row r="108" spans="1:18" ht="93.75" customHeight="1">
      <c r="A108" s="43">
        <v>104</v>
      </c>
      <c r="B108" s="56" t="s">
        <v>19</v>
      </c>
      <c r="C108" s="83" t="s">
        <v>185</v>
      </c>
      <c r="D108" s="50">
        <v>10389616</v>
      </c>
      <c r="E108" s="59">
        <v>9</v>
      </c>
      <c r="F108" s="49">
        <v>57</v>
      </c>
      <c r="G108" s="52" t="s">
        <v>22</v>
      </c>
      <c r="H108" s="52" t="s">
        <v>23</v>
      </c>
      <c r="I108" s="52">
        <v>2022</v>
      </c>
      <c r="J108" s="72">
        <v>44879</v>
      </c>
      <c r="K108" s="73" t="s">
        <v>24</v>
      </c>
      <c r="L108" s="94" t="s">
        <v>25</v>
      </c>
      <c r="M108" s="72">
        <v>44833</v>
      </c>
      <c r="N108" s="52" t="s">
        <v>186</v>
      </c>
      <c r="O108" s="52" t="s">
        <v>27</v>
      </c>
      <c r="P108" s="52" t="s">
        <v>169</v>
      </c>
      <c r="Q108" s="52" t="s">
        <v>177</v>
      </c>
      <c r="R108" s="74" t="s">
        <v>105</v>
      </c>
    </row>
    <row r="109" spans="1:18" ht="93.75" customHeight="1">
      <c r="A109" s="43">
        <v>105</v>
      </c>
      <c r="B109" s="56" t="s">
        <v>19</v>
      </c>
      <c r="C109" s="83" t="s">
        <v>187</v>
      </c>
      <c r="D109" s="50">
        <v>5774400</v>
      </c>
      <c r="E109" s="59">
        <v>6</v>
      </c>
      <c r="F109" s="49">
        <v>75</v>
      </c>
      <c r="G109" s="52" t="s">
        <v>22</v>
      </c>
      <c r="H109" s="52" t="s">
        <v>23</v>
      </c>
      <c r="I109" s="52">
        <v>2018</v>
      </c>
      <c r="J109" s="73" t="s">
        <v>41</v>
      </c>
      <c r="K109" s="73" t="s">
        <v>24</v>
      </c>
      <c r="L109" s="94" t="s">
        <v>25</v>
      </c>
      <c r="M109" s="72">
        <v>44938</v>
      </c>
      <c r="N109" s="52" t="s">
        <v>176</v>
      </c>
      <c r="O109" s="52" t="s">
        <v>27</v>
      </c>
      <c r="P109" s="52" t="s">
        <v>169</v>
      </c>
      <c r="Q109" s="52" t="s">
        <v>177</v>
      </c>
      <c r="R109" s="74" t="s">
        <v>105</v>
      </c>
    </row>
    <row r="110" spans="1:18" ht="93.75" customHeight="1">
      <c r="A110" s="43">
        <v>106</v>
      </c>
      <c r="B110" s="56" t="s">
        <v>19</v>
      </c>
      <c r="C110" s="57" t="s">
        <v>188</v>
      </c>
      <c r="D110" s="50">
        <v>7792446</v>
      </c>
      <c r="E110" s="59">
        <v>9</v>
      </c>
      <c r="F110" s="49">
        <v>66</v>
      </c>
      <c r="G110" s="52" t="s">
        <v>22</v>
      </c>
      <c r="H110" s="52" t="s">
        <v>156</v>
      </c>
      <c r="I110" s="52">
        <v>2024</v>
      </c>
      <c r="J110" s="73" t="s">
        <v>41</v>
      </c>
      <c r="K110" s="73" t="s">
        <v>24</v>
      </c>
      <c r="L110" s="94" t="s">
        <v>25</v>
      </c>
      <c r="M110" s="73" t="s">
        <v>34</v>
      </c>
      <c r="N110" s="52" t="s">
        <v>35</v>
      </c>
      <c r="O110" s="52" t="s">
        <v>36</v>
      </c>
      <c r="P110" s="52" t="s">
        <v>169</v>
      </c>
      <c r="Q110" s="52" t="s">
        <v>177</v>
      </c>
      <c r="R110" s="74" t="s">
        <v>38</v>
      </c>
    </row>
    <row r="111" spans="1:18" ht="69.95" customHeight="1">
      <c r="A111" s="43">
        <v>107</v>
      </c>
      <c r="B111" s="48" t="s">
        <v>19</v>
      </c>
      <c r="C111" s="57" t="s">
        <v>189</v>
      </c>
      <c r="D111" s="50">
        <v>6861012</v>
      </c>
      <c r="E111" s="59">
        <v>5</v>
      </c>
      <c r="F111" s="49">
        <v>73</v>
      </c>
      <c r="G111" s="52" t="s">
        <v>22</v>
      </c>
      <c r="H111" s="52" t="s">
        <v>23</v>
      </c>
      <c r="I111" s="52">
        <v>2023</v>
      </c>
      <c r="J111" s="73" t="s">
        <v>41</v>
      </c>
      <c r="K111" s="73" t="s">
        <v>24</v>
      </c>
      <c r="L111" s="94" t="s">
        <v>182</v>
      </c>
      <c r="M111" s="72">
        <v>45343</v>
      </c>
      <c r="N111" s="52" t="s">
        <v>190</v>
      </c>
      <c r="O111" s="52" t="s">
        <v>36</v>
      </c>
      <c r="P111" s="52" t="s">
        <v>169</v>
      </c>
      <c r="Q111" s="52" t="s">
        <v>191</v>
      </c>
      <c r="R111" s="52" t="s">
        <v>30</v>
      </c>
    </row>
    <row r="112" spans="1:18" s="6" customFormat="1" ht="69.95" customHeight="1">
      <c r="A112" s="43">
        <v>108</v>
      </c>
      <c r="B112" s="48" t="s">
        <v>19</v>
      </c>
      <c r="C112" s="57" t="s">
        <v>192</v>
      </c>
      <c r="D112" s="50">
        <v>7409317</v>
      </c>
      <c r="E112" s="59">
        <v>5</v>
      </c>
      <c r="F112" s="49">
        <v>71</v>
      </c>
      <c r="G112" s="52" t="s">
        <v>22</v>
      </c>
      <c r="H112" s="52" t="s">
        <v>23</v>
      </c>
      <c r="I112" s="52">
        <v>2024</v>
      </c>
      <c r="J112" s="72">
        <v>45408</v>
      </c>
      <c r="K112" s="73" t="s">
        <v>24</v>
      </c>
      <c r="L112" s="94" t="s">
        <v>182</v>
      </c>
      <c r="M112" s="72">
        <v>45420</v>
      </c>
      <c r="N112" s="52" t="s">
        <v>176</v>
      </c>
      <c r="O112" s="52" t="s">
        <v>36</v>
      </c>
      <c r="P112" s="52" t="s">
        <v>169</v>
      </c>
      <c r="Q112" s="52" t="s">
        <v>191</v>
      </c>
      <c r="R112" s="52" t="s">
        <v>30</v>
      </c>
    </row>
    <row r="113" spans="1:26" ht="93.75" customHeight="1">
      <c r="A113" s="43">
        <v>109</v>
      </c>
      <c r="B113" s="48" t="s">
        <v>19</v>
      </c>
      <c r="C113" s="83" t="s">
        <v>193</v>
      </c>
      <c r="D113" s="50">
        <v>6455698</v>
      </c>
      <c r="E113" s="59">
        <v>3</v>
      </c>
      <c r="F113" s="49">
        <v>72</v>
      </c>
      <c r="G113" s="52" t="s">
        <v>22</v>
      </c>
      <c r="H113" s="52" t="s">
        <v>23</v>
      </c>
      <c r="I113" s="52">
        <v>2023</v>
      </c>
      <c r="J113" s="72">
        <v>45160</v>
      </c>
      <c r="K113" s="73" t="s">
        <v>24</v>
      </c>
      <c r="L113" s="94" t="s">
        <v>25</v>
      </c>
      <c r="M113" s="72">
        <v>45182</v>
      </c>
      <c r="N113" s="52" t="s">
        <v>194</v>
      </c>
      <c r="O113" s="52" t="s">
        <v>36</v>
      </c>
      <c r="P113" s="52" t="s">
        <v>169</v>
      </c>
      <c r="Q113" s="52" t="s">
        <v>191</v>
      </c>
      <c r="R113" s="74" t="s">
        <v>105</v>
      </c>
    </row>
    <row r="114" spans="1:26" ht="93.75" customHeight="1">
      <c r="A114" s="43">
        <v>110</v>
      </c>
      <c r="B114" s="48" t="s">
        <v>19</v>
      </c>
      <c r="C114" s="83" t="s">
        <v>195</v>
      </c>
      <c r="D114" s="50">
        <v>9042828</v>
      </c>
      <c r="E114" s="59">
        <v>4</v>
      </c>
      <c r="F114" s="49">
        <v>60</v>
      </c>
      <c r="G114" s="52" t="s">
        <v>22</v>
      </c>
      <c r="H114" s="52" t="s">
        <v>23</v>
      </c>
      <c r="I114" s="52">
        <v>2022</v>
      </c>
      <c r="J114" s="73" t="s">
        <v>41</v>
      </c>
      <c r="K114" s="73" t="s">
        <v>24</v>
      </c>
      <c r="L114" s="94" t="s">
        <v>182</v>
      </c>
      <c r="M114" s="72">
        <v>44959</v>
      </c>
      <c r="N114" s="52" t="s">
        <v>196</v>
      </c>
      <c r="O114" s="52" t="s">
        <v>27</v>
      </c>
      <c r="P114" s="52" t="s">
        <v>169</v>
      </c>
      <c r="Q114" s="52" t="s">
        <v>191</v>
      </c>
      <c r="R114" s="74" t="s">
        <v>105</v>
      </c>
    </row>
    <row r="115" spans="1:26" ht="93.75" customHeight="1">
      <c r="A115" s="43">
        <v>111</v>
      </c>
      <c r="B115" s="48" t="s">
        <v>19</v>
      </c>
      <c r="C115" s="83" t="s">
        <v>197</v>
      </c>
      <c r="D115" s="50">
        <v>7334661</v>
      </c>
      <c r="E115" s="59">
        <v>4</v>
      </c>
      <c r="F115" s="49">
        <v>66</v>
      </c>
      <c r="G115" s="52" t="s">
        <v>22</v>
      </c>
      <c r="H115" s="52" t="s">
        <v>198</v>
      </c>
      <c r="I115" s="52" t="s">
        <v>40</v>
      </c>
      <c r="J115" s="73" t="s">
        <v>41</v>
      </c>
      <c r="K115" s="73" t="s">
        <v>161</v>
      </c>
      <c r="L115" s="94" t="s">
        <v>25</v>
      </c>
      <c r="M115" s="72">
        <v>45392</v>
      </c>
      <c r="N115" s="52" t="s">
        <v>199</v>
      </c>
      <c r="O115" s="52" t="s">
        <v>168</v>
      </c>
      <c r="P115" s="52" t="s">
        <v>37</v>
      </c>
      <c r="Q115" s="52" t="s">
        <v>180</v>
      </c>
      <c r="R115" s="74" t="s">
        <v>168</v>
      </c>
    </row>
    <row r="116" spans="1:26" ht="93.75" customHeight="1">
      <c r="A116" s="43">
        <v>112</v>
      </c>
      <c r="B116" s="56" t="s">
        <v>19</v>
      </c>
      <c r="C116" s="83" t="s">
        <v>200</v>
      </c>
      <c r="D116" s="50">
        <v>13330706</v>
      </c>
      <c r="E116" s="59">
        <v>0</v>
      </c>
      <c r="F116" s="49">
        <v>46</v>
      </c>
      <c r="G116" s="52" t="s">
        <v>86</v>
      </c>
      <c r="H116" s="52" t="s">
        <v>23</v>
      </c>
      <c r="I116" s="52">
        <v>2022</v>
      </c>
      <c r="J116" s="73" t="s">
        <v>41</v>
      </c>
      <c r="K116" s="73" t="s">
        <v>24</v>
      </c>
      <c r="L116" s="94" t="s">
        <v>47</v>
      </c>
      <c r="M116" s="72">
        <v>44917</v>
      </c>
      <c r="N116" s="52" t="s">
        <v>199</v>
      </c>
      <c r="O116" s="52" t="s">
        <v>201</v>
      </c>
      <c r="P116" s="52" t="s">
        <v>169</v>
      </c>
      <c r="Q116" s="52" t="s">
        <v>177</v>
      </c>
      <c r="R116" s="74" t="s">
        <v>201</v>
      </c>
    </row>
    <row r="117" spans="1:26" ht="93.75" customHeight="1">
      <c r="A117" s="43">
        <v>113</v>
      </c>
      <c r="B117" s="48" t="s">
        <v>19</v>
      </c>
      <c r="C117" s="84" t="s">
        <v>202</v>
      </c>
      <c r="D117" s="25">
        <v>3948077</v>
      </c>
      <c r="E117" s="85">
        <v>8</v>
      </c>
      <c r="F117" s="10">
        <v>85</v>
      </c>
      <c r="G117" s="24" t="s">
        <v>22</v>
      </c>
      <c r="H117" s="52" t="s">
        <v>23</v>
      </c>
      <c r="I117" s="24" t="s">
        <v>40</v>
      </c>
      <c r="J117" s="30" t="s">
        <v>41</v>
      </c>
      <c r="K117" s="73" t="s">
        <v>161</v>
      </c>
      <c r="L117" s="30" t="s">
        <v>91</v>
      </c>
      <c r="M117" s="30" t="s">
        <v>34</v>
      </c>
      <c r="N117" s="24" t="s">
        <v>35</v>
      </c>
      <c r="O117" s="52" t="s">
        <v>36</v>
      </c>
      <c r="P117" s="52" t="s">
        <v>169</v>
      </c>
      <c r="Q117" s="24" t="s">
        <v>184</v>
      </c>
      <c r="R117" s="74" t="s">
        <v>38</v>
      </c>
    </row>
    <row r="118" spans="1:26" ht="93.75" customHeight="1">
      <c r="A118" s="43">
        <v>114</v>
      </c>
      <c r="B118" s="48" t="s">
        <v>19</v>
      </c>
      <c r="C118" s="84" t="s">
        <v>203</v>
      </c>
      <c r="D118" s="25">
        <v>5189356</v>
      </c>
      <c r="E118" s="85">
        <v>5</v>
      </c>
      <c r="F118" s="10">
        <v>83</v>
      </c>
      <c r="G118" s="24" t="s">
        <v>22</v>
      </c>
      <c r="H118" s="52" t="s">
        <v>23</v>
      </c>
      <c r="I118" s="24">
        <v>2022</v>
      </c>
      <c r="J118" s="30" t="s">
        <v>41</v>
      </c>
      <c r="K118" s="73" t="s">
        <v>161</v>
      </c>
      <c r="L118" s="30" t="s">
        <v>91</v>
      </c>
      <c r="M118" s="30" t="s">
        <v>34</v>
      </c>
      <c r="N118" s="24" t="s">
        <v>35</v>
      </c>
      <c r="O118" s="52" t="s">
        <v>36</v>
      </c>
      <c r="P118" s="52" t="s">
        <v>169</v>
      </c>
      <c r="Q118" s="24" t="s">
        <v>184</v>
      </c>
      <c r="R118" s="74" t="s">
        <v>38</v>
      </c>
    </row>
    <row r="119" spans="1:26" ht="93.75" customHeight="1">
      <c r="A119" s="43">
        <v>115</v>
      </c>
      <c r="B119" s="48" t="s">
        <v>19</v>
      </c>
      <c r="C119" s="24" t="s">
        <v>204</v>
      </c>
      <c r="D119" s="25">
        <v>6937926</v>
      </c>
      <c r="E119" s="25">
        <v>5</v>
      </c>
      <c r="F119" s="10">
        <v>72</v>
      </c>
      <c r="G119" s="24" t="s">
        <v>205</v>
      </c>
      <c r="H119" s="52" t="s">
        <v>23</v>
      </c>
      <c r="I119" s="24"/>
      <c r="J119" s="30" t="s">
        <v>41</v>
      </c>
      <c r="K119" s="73" t="s">
        <v>24</v>
      </c>
      <c r="L119" s="30"/>
      <c r="M119" s="30" t="s">
        <v>206</v>
      </c>
      <c r="N119" s="24"/>
      <c r="O119" s="24" t="s">
        <v>36</v>
      </c>
      <c r="P119" s="24" t="s">
        <v>207</v>
      </c>
      <c r="Q119" s="24" t="s">
        <v>208</v>
      </c>
      <c r="R119" s="52" t="s">
        <v>209</v>
      </c>
    </row>
    <row r="120" spans="1:26" ht="69.95" customHeight="1">
      <c r="A120" s="43">
        <v>116</v>
      </c>
      <c r="B120" s="11" t="s">
        <v>19</v>
      </c>
      <c r="C120" s="86" t="s">
        <v>88</v>
      </c>
      <c r="D120" s="87">
        <v>7631102</v>
      </c>
      <c r="E120" s="87">
        <v>1</v>
      </c>
      <c r="F120" s="88">
        <v>66</v>
      </c>
      <c r="G120" s="88" t="s">
        <v>22</v>
      </c>
      <c r="H120" s="64" t="s">
        <v>23</v>
      </c>
      <c r="I120" s="88">
        <v>2024</v>
      </c>
      <c r="J120" s="95" t="s">
        <v>41</v>
      </c>
      <c r="K120" s="80" t="s">
        <v>24</v>
      </c>
      <c r="L120" s="96">
        <v>45301</v>
      </c>
      <c r="M120" s="95" t="s">
        <v>210</v>
      </c>
      <c r="N120" s="88"/>
      <c r="O120" s="88" t="s">
        <v>36</v>
      </c>
      <c r="P120" s="88" t="s">
        <v>28</v>
      </c>
      <c r="Q120" s="88"/>
      <c r="R120" s="88" t="s">
        <v>30</v>
      </c>
    </row>
    <row r="121" spans="1:26" ht="53.25" customHeight="1">
      <c r="A121" s="43">
        <v>117</v>
      </c>
      <c r="B121" s="48" t="s">
        <v>19</v>
      </c>
      <c r="C121" s="1" t="s">
        <v>211</v>
      </c>
      <c r="D121" s="1">
        <v>3697511</v>
      </c>
      <c r="E121" s="25">
        <v>3</v>
      </c>
      <c r="F121" s="10">
        <v>81</v>
      </c>
      <c r="G121" s="89" t="s">
        <v>22</v>
      </c>
      <c r="H121" s="89" t="s">
        <v>23</v>
      </c>
      <c r="I121" s="24"/>
      <c r="J121" s="30" t="s">
        <v>41</v>
      </c>
      <c r="K121" s="30" t="s">
        <v>24</v>
      </c>
      <c r="L121" s="30" t="s">
        <v>25</v>
      </c>
      <c r="M121" s="97">
        <v>45405</v>
      </c>
      <c r="N121" s="24" t="s">
        <v>176</v>
      </c>
      <c r="O121" s="24" t="s">
        <v>201</v>
      </c>
      <c r="P121" s="24" t="s">
        <v>28</v>
      </c>
      <c r="Q121" s="24"/>
      <c r="R121" s="74" t="s">
        <v>201</v>
      </c>
    </row>
    <row r="122" spans="1:26" ht="69.95" customHeight="1">
      <c r="A122" s="43">
        <v>118</v>
      </c>
      <c r="B122" s="48" t="s">
        <v>19</v>
      </c>
      <c r="C122" s="24" t="s">
        <v>212</v>
      </c>
      <c r="D122" s="25">
        <v>10628795</v>
      </c>
      <c r="E122" s="25">
        <v>3</v>
      </c>
      <c r="F122" s="24">
        <v>76</v>
      </c>
      <c r="G122" s="24" t="s">
        <v>22</v>
      </c>
      <c r="H122" s="52" t="s">
        <v>23</v>
      </c>
      <c r="I122" s="24">
        <v>2024</v>
      </c>
      <c r="J122" s="97">
        <v>45422</v>
      </c>
      <c r="K122" s="24" t="s">
        <v>24</v>
      </c>
      <c r="L122" s="10" t="s">
        <v>213</v>
      </c>
      <c r="M122" s="73" t="s">
        <v>34</v>
      </c>
      <c r="N122" s="52" t="s">
        <v>35</v>
      </c>
      <c r="O122" s="24" t="s">
        <v>36</v>
      </c>
      <c r="P122" s="24" t="s">
        <v>214</v>
      </c>
      <c r="Q122" s="24"/>
      <c r="R122" s="24" t="s">
        <v>30</v>
      </c>
    </row>
    <row r="123" spans="1:26" s="7" customFormat="1" ht="93.75" customHeight="1">
      <c r="A123" s="15">
        <v>119</v>
      </c>
      <c r="B123" s="90" t="s">
        <v>19</v>
      </c>
      <c r="C123" s="91" t="s">
        <v>215</v>
      </c>
      <c r="D123" s="22">
        <v>7083957</v>
      </c>
      <c r="E123" s="92">
        <v>1</v>
      </c>
      <c r="F123" s="22">
        <v>70</v>
      </c>
      <c r="G123" s="22" t="s">
        <v>22</v>
      </c>
      <c r="H123" s="22" t="s">
        <v>23</v>
      </c>
      <c r="I123" s="22">
        <v>2023</v>
      </c>
      <c r="J123" s="22" t="s">
        <v>41</v>
      </c>
      <c r="K123" s="22" t="s">
        <v>24</v>
      </c>
      <c r="L123" s="26" t="s">
        <v>167</v>
      </c>
      <c r="M123" s="22" t="s">
        <v>34</v>
      </c>
      <c r="N123" s="22" t="s">
        <v>35</v>
      </c>
      <c r="O123" s="22" t="s">
        <v>36</v>
      </c>
      <c r="P123" s="22" t="s">
        <v>37</v>
      </c>
      <c r="Q123" s="22" t="s">
        <v>177</v>
      </c>
      <c r="R123" s="22" t="s">
        <v>30</v>
      </c>
      <c r="S123" s="156"/>
      <c r="T123" s="156"/>
      <c r="U123" s="157"/>
      <c r="V123" s="157"/>
      <c r="W123" s="156"/>
      <c r="X123" s="8"/>
    </row>
    <row r="124" spans="1:26" s="155" customFormat="1" ht="61.5" customHeight="1">
      <c r="A124" s="150">
        <v>120</v>
      </c>
      <c r="B124" s="151" t="s">
        <v>19</v>
      </c>
      <c r="C124" s="152" t="s">
        <v>216</v>
      </c>
      <c r="D124" s="153">
        <v>6350386</v>
      </c>
      <c r="E124" s="154" t="s">
        <v>68</v>
      </c>
      <c r="F124" s="153">
        <v>74</v>
      </c>
      <c r="G124" s="153" t="s">
        <v>22</v>
      </c>
      <c r="H124" s="153" t="s">
        <v>23</v>
      </c>
      <c r="I124" s="153" t="s">
        <v>217</v>
      </c>
      <c r="J124" s="153" t="s">
        <v>217</v>
      </c>
      <c r="K124" s="153" t="s">
        <v>161</v>
      </c>
      <c r="L124" s="153" t="s">
        <v>91</v>
      </c>
      <c r="M124" s="153" t="s">
        <v>34</v>
      </c>
      <c r="N124" s="153" t="s">
        <v>35</v>
      </c>
      <c r="O124" s="153" t="s">
        <v>36</v>
      </c>
      <c r="P124" s="153" t="s">
        <v>28</v>
      </c>
      <c r="Q124" s="153"/>
      <c r="R124" s="170" t="s">
        <v>218</v>
      </c>
      <c r="S124" s="158"/>
      <c r="T124" s="158"/>
      <c r="U124" s="159"/>
      <c r="V124" s="159"/>
      <c r="W124" s="158"/>
      <c r="X124" s="160"/>
    </row>
    <row r="125" spans="1:26" s="7" customFormat="1" ht="146.25" customHeight="1">
      <c r="A125" s="15">
        <v>33</v>
      </c>
      <c r="B125" s="22" t="s">
        <v>19</v>
      </c>
      <c r="C125" s="22" t="s">
        <v>219</v>
      </c>
      <c r="D125" s="22">
        <v>7485452</v>
      </c>
      <c r="E125" s="22">
        <v>4</v>
      </c>
      <c r="F125" s="22">
        <v>67</v>
      </c>
      <c r="G125" s="22" t="s">
        <v>22</v>
      </c>
      <c r="H125" s="22" t="s">
        <v>23</v>
      </c>
      <c r="I125" s="22">
        <v>2024</v>
      </c>
      <c r="J125" s="22" t="s">
        <v>41</v>
      </c>
      <c r="K125" s="22" t="s">
        <v>24</v>
      </c>
      <c r="L125" s="26" t="s">
        <v>182</v>
      </c>
      <c r="M125" s="29">
        <v>45420</v>
      </c>
      <c r="N125" s="22" t="s">
        <v>220</v>
      </c>
      <c r="O125" s="22" t="s">
        <v>36</v>
      </c>
      <c r="P125" s="22" t="s">
        <v>169</v>
      </c>
      <c r="Q125" s="22" t="s">
        <v>184</v>
      </c>
      <c r="R125" s="26" t="s">
        <v>221</v>
      </c>
      <c r="S125" s="156"/>
      <c r="T125" s="156"/>
      <c r="U125" s="157"/>
      <c r="V125" s="157"/>
      <c r="W125" s="156"/>
      <c r="X125" s="8"/>
    </row>
    <row r="126" spans="1:26" ht="53.25" customHeight="1">
      <c r="B126" s="11" t="s">
        <v>19</v>
      </c>
      <c r="C126" s="11" t="s">
        <v>222</v>
      </c>
      <c r="D126" s="12">
        <v>3803706</v>
      </c>
      <c r="E126" s="12">
        <v>4</v>
      </c>
      <c r="G126" s="11" t="s">
        <v>22</v>
      </c>
      <c r="H126" s="11" t="s">
        <v>223</v>
      </c>
      <c r="I126" s="11">
        <v>2024</v>
      </c>
      <c r="J126" s="14" t="s">
        <v>224</v>
      </c>
      <c r="K126" s="11" t="s">
        <v>161</v>
      </c>
      <c r="L126" s="13" t="s">
        <v>51</v>
      </c>
      <c r="M126" s="14" t="s">
        <v>225</v>
      </c>
      <c r="N126" s="11" t="s">
        <v>225</v>
      </c>
      <c r="O126" s="11" t="s">
        <v>36</v>
      </c>
      <c r="P126" s="11" t="s">
        <v>28</v>
      </c>
      <c r="R126" s="11" t="s">
        <v>226</v>
      </c>
    </row>
    <row r="127" spans="1:26" ht="53.25" customHeight="1">
      <c r="B127" s="11" t="s">
        <v>19</v>
      </c>
      <c r="C127" s="11" t="s">
        <v>227</v>
      </c>
      <c r="D127" s="12">
        <v>8284089</v>
      </c>
      <c r="E127" s="12">
        <v>3</v>
      </c>
      <c r="G127" s="11" t="s">
        <v>22</v>
      </c>
      <c r="H127" s="11" t="s">
        <v>223</v>
      </c>
      <c r="I127" s="11">
        <v>2024</v>
      </c>
      <c r="J127" s="14" t="s">
        <v>228</v>
      </c>
      <c r="L127" s="13" t="s">
        <v>51</v>
      </c>
      <c r="M127" s="14" t="s">
        <v>225</v>
      </c>
      <c r="N127" s="11" t="s">
        <v>225</v>
      </c>
      <c r="O127" s="11" t="s">
        <v>36</v>
      </c>
      <c r="P127" s="11" t="s">
        <v>28</v>
      </c>
      <c r="R127" s="11" t="s">
        <v>229</v>
      </c>
    </row>
    <row r="128" spans="1:26" s="7" customFormat="1" ht="127.5" customHeight="1">
      <c r="A128" s="15">
        <v>38</v>
      </c>
      <c r="B128" s="21" t="s">
        <v>19</v>
      </c>
      <c r="C128" s="22" t="s">
        <v>230</v>
      </c>
      <c r="D128" s="22">
        <v>11162689</v>
      </c>
      <c r="E128" s="22">
        <v>8</v>
      </c>
      <c r="F128" s="22">
        <v>57</v>
      </c>
      <c r="G128" s="22" t="s">
        <v>77</v>
      </c>
      <c r="H128" s="22" t="s">
        <v>23</v>
      </c>
      <c r="I128" s="22" t="s">
        <v>40</v>
      </c>
      <c r="J128" s="22" t="s">
        <v>41</v>
      </c>
      <c r="K128" s="22" t="s">
        <v>24</v>
      </c>
      <c r="L128" s="22" t="s">
        <v>91</v>
      </c>
      <c r="M128" s="22" t="s">
        <v>34</v>
      </c>
      <c r="N128" s="22" t="s">
        <v>35</v>
      </c>
      <c r="O128" s="22" t="s">
        <v>36</v>
      </c>
      <c r="P128" s="22" t="s">
        <v>28</v>
      </c>
      <c r="Q128" s="22"/>
      <c r="R128" s="161" t="s">
        <v>231</v>
      </c>
      <c r="S128" s="22" t="s">
        <v>232</v>
      </c>
      <c r="T128" s="22" t="s">
        <v>233</v>
      </c>
      <c r="U128" s="29">
        <v>45141</v>
      </c>
      <c r="V128" s="29" t="s">
        <v>234</v>
      </c>
      <c r="W128" s="22" t="e">
        <f t="shared" ref="W128:W133" ca="1" si="0">V128-TODAY()</f>
        <v>#VALUE!</v>
      </c>
      <c r="X128" s="17" t="e">
        <f t="shared" ref="X128:X133" ca="1" si="1">IF(W128&gt;=25,"Vigente",IF(AND(W128&gt;=1,W128&lt;=25),"Por Vencer","Vencido"))</f>
        <v>#VALUE!</v>
      </c>
      <c r="Y128" s="18" t="s">
        <v>235</v>
      </c>
      <c r="Z128" s="18" t="s">
        <v>236</v>
      </c>
    </row>
    <row r="129" spans="1:41" s="7" customFormat="1" ht="139.5" customHeight="1">
      <c r="A129" s="15">
        <v>34</v>
      </c>
      <c r="B129" s="16" t="s">
        <v>19</v>
      </c>
      <c r="C129" s="22" t="s">
        <v>237</v>
      </c>
      <c r="D129" s="22">
        <v>11473562</v>
      </c>
      <c r="E129" s="22">
        <v>0</v>
      </c>
      <c r="F129" s="22">
        <v>55</v>
      </c>
      <c r="G129" s="22" t="s">
        <v>22</v>
      </c>
      <c r="H129" s="22" t="s">
        <v>198</v>
      </c>
      <c r="I129" s="22" t="s">
        <v>40</v>
      </c>
      <c r="J129" s="22" t="s">
        <v>41</v>
      </c>
      <c r="K129" s="22" t="s">
        <v>24</v>
      </c>
      <c r="L129" s="22" t="s">
        <v>25</v>
      </c>
      <c r="M129" s="22" t="s">
        <v>34</v>
      </c>
      <c r="N129" s="22" t="s">
        <v>35</v>
      </c>
      <c r="O129" s="22" t="s">
        <v>36</v>
      </c>
      <c r="P129" s="22" t="s">
        <v>28</v>
      </c>
      <c r="Q129" s="22"/>
      <c r="R129" s="171" t="s">
        <v>238</v>
      </c>
      <c r="S129" s="22" t="s">
        <v>239</v>
      </c>
      <c r="T129" s="22" t="s">
        <v>233</v>
      </c>
      <c r="U129" s="29">
        <v>45509</v>
      </c>
      <c r="V129" s="29" t="s">
        <v>240</v>
      </c>
      <c r="W129" s="22" t="e">
        <f t="shared" ca="1" si="0"/>
        <v>#VALUE!</v>
      </c>
      <c r="X129" s="17" t="e">
        <f t="shared" ca="1" si="1"/>
        <v>#VALUE!</v>
      </c>
      <c r="Y129" s="18" t="s">
        <v>241</v>
      </c>
      <c r="Z129" s="18" t="s">
        <v>236</v>
      </c>
    </row>
    <row r="130" spans="1:41" s="9" customFormat="1" ht="149.25" customHeight="1">
      <c r="A130" s="15">
        <v>19</v>
      </c>
      <c r="B130" s="16" t="s">
        <v>19</v>
      </c>
      <c r="C130" s="22" t="s">
        <v>242</v>
      </c>
      <c r="D130" s="22">
        <v>10036026</v>
      </c>
      <c r="E130" s="22">
        <v>8</v>
      </c>
      <c r="F130" s="22">
        <v>60</v>
      </c>
      <c r="G130" s="22" t="s">
        <v>22</v>
      </c>
      <c r="H130" s="22" t="s">
        <v>23</v>
      </c>
      <c r="I130" s="22">
        <v>2023</v>
      </c>
      <c r="J130" s="29">
        <v>44930</v>
      </c>
      <c r="K130" s="22" t="s">
        <v>24</v>
      </c>
      <c r="L130" s="22" t="s">
        <v>47</v>
      </c>
      <c r="M130" s="29">
        <v>44938</v>
      </c>
      <c r="N130" s="22" t="s">
        <v>243</v>
      </c>
      <c r="O130" s="22" t="s">
        <v>36</v>
      </c>
      <c r="P130" s="22" t="s">
        <v>169</v>
      </c>
      <c r="Q130" s="22"/>
      <c r="R130" s="123" t="s">
        <v>244</v>
      </c>
      <c r="S130" s="22" t="s">
        <v>245</v>
      </c>
      <c r="T130" s="22" t="s">
        <v>233</v>
      </c>
      <c r="U130" s="29">
        <v>45506</v>
      </c>
      <c r="V130" s="29">
        <v>45537</v>
      </c>
      <c r="W130" s="22">
        <f t="shared" ca="1" si="0"/>
        <v>-548</v>
      </c>
      <c r="X130" s="17" t="str">
        <f t="shared" ca="1" si="1"/>
        <v>Vencido</v>
      </c>
      <c r="Y130" s="38" t="s">
        <v>246</v>
      </c>
      <c r="Z130" s="38" t="s">
        <v>236</v>
      </c>
      <c r="AA130" s="7"/>
      <c r="AB130" s="7"/>
      <c r="AC130" s="7"/>
      <c r="AD130" s="7"/>
      <c r="AE130" s="7"/>
      <c r="AF130" s="7"/>
      <c r="AG130" s="7"/>
      <c r="AH130" s="7"/>
      <c r="AI130" s="7"/>
      <c r="AJ130" s="7"/>
      <c r="AK130" s="7"/>
      <c r="AL130" s="7"/>
      <c r="AM130" s="7"/>
      <c r="AN130" s="7"/>
      <c r="AO130" s="7"/>
    </row>
    <row r="131" spans="1:41" s="7" customFormat="1" ht="132.75" customHeight="1">
      <c r="A131" s="15">
        <v>53</v>
      </c>
      <c r="B131" s="21" t="s">
        <v>19</v>
      </c>
      <c r="C131" s="22" t="s">
        <v>247</v>
      </c>
      <c r="D131" s="22">
        <v>8621034</v>
      </c>
      <c r="E131" s="22">
        <v>7</v>
      </c>
      <c r="F131" s="22">
        <v>63</v>
      </c>
      <c r="G131" s="22" t="s">
        <v>77</v>
      </c>
      <c r="H131" s="22" t="s">
        <v>23</v>
      </c>
      <c r="I131" s="22" t="s">
        <v>40</v>
      </c>
      <c r="J131" s="22" t="s">
        <v>41</v>
      </c>
      <c r="K131" s="22" t="s">
        <v>161</v>
      </c>
      <c r="L131" s="22" t="s">
        <v>91</v>
      </c>
      <c r="M131" s="22" t="s">
        <v>34</v>
      </c>
      <c r="N131" s="22" t="s">
        <v>35</v>
      </c>
      <c r="O131" s="22" t="s">
        <v>36</v>
      </c>
      <c r="P131" s="22" t="s">
        <v>28</v>
      </c>
      <c r="Q131" s="22"/>
      <c r="R131" s="171" t="s">
        <v>248</v>
      </c>
      <c r="S131" s="22" t="s">
        <v>249</v>
      </c>
      <c r="T131" s="22" t="s">
        <v>233</v>
      </c>
      <c r="U131" s="29">
        <v>45513</v>
      </c>
      <c r="V131" s="29">
        <v>45513</v>
      </c>
      <c r="W131" s="22">
        <f t="shared" ca="1" si="0"/>
        <v>-572</v>
      </c>
      <c r="X131" s="17" t="str">
        <f t="shared" ca="1" si="1"/>
        <v>Vencido</v>
      </c>
      <c r="Y131" s="18" t="s">
        <v>250</v>
      </c>
      <c r="Z131" s="18" t="s">
        <v>236</v>
      </c>
    </row>
    <row r="132" spans="1:41" ht="138" customHeight="1">
      <c r="A132" s="18">
        <v>65</v>
      </c>
      <c r="B132" s="16" t="s">
        <v>19</v>
      </c>
      <c r="C132" s="22" t="s">
        <v>251</v>
      </c>
      <c r="D132" s="22">
        <v>6303862</v>
      </c>
      <c r="E132" s="22">
        <v>8</v>
      </c>
      <c r="F132" s="22">
        <v>74</v>
      </c>
      <c r="G132" s="22" t="s">
        <v>22</v>
      </c>
      <c r="H132" s="22" t="s">
        <v>23</v>
      </c>
      <c r="I132" s="22" t="s">
        <v>40</v>
      </c>
      <c r="J132" s="22" t="s">
        <v>41</v>
      </c>
      <c r="K132" s="22" t="s">
        <v>161</v>
      </c>
      <c r="L132" s="22" t="s">
        <v>91</v>
      </c>
      <c r="M132" s="22" t="s">
        <v>34</v>
      </c>
      <c r="N132" s="22" t="s">
        <v>35</v>
      </c>
      <c r="O132" s="22" t="s">
        <v>36</v>
      </c>
      <c r="P132" s="22" t="s">
        <v>169</v>
      </c>
      <c r="Q132" s="22"/>
      <c r="R132" s="171" t="s">
        <v>252</v>
      </c>
      <c r="S132" s="22" t="s">
        <v>245</v>
      </c>
      <c r="T132" s="22" t="s">
        <v>233</v>
      </c>
      <c r="U132" s="29">
        <v>45450</v>
      </c>
      <c r="V132" s="29">
        <v>45480</v>
      </c>
      <c r="W132" s="22">
        <f t="shared" ca="1" si="0"/>
        <v>-605</v>
      </c>
      <c r="X132" s="17" t="str">
        <f t="shared" ca="1" si="1"/>
        <v>Vencido</v>
      </c>
      <c r="Y132" s="18" t="s">
        <v>253</v>
      </c>
      <c r="Z132" s="18" t="s">
        <v>236</v>
      </c>
    </row>
    <row r="133" spans="1:41" s="7" customFormat="1" ht="144" customHeight="1">
      <c r="A133" s="15">
        <v>47</v>
      </c>
      <c r="B133" s="16" t="s">
        <v>19</v>
      </c>
      <c r="C133" s="22" t="s">
        <v>254</v>
      </c>
      <c r="D133" s="22">
        <v>28347992</v>
      </c>
      <c r="E133" s="22">
        <v>7</v>
      </c>
      <c r="F133" s="22">
        <v>72</v>
      </c>
      <c r="G133" s="22" t="s">
        <v>22</v>
      </c>
      <c r="H133" s="22" t="s">
        <v>23</v>
      </c>
      <c r="I133" s="22">
        <v>2024</v>
      </c>
      <c r="J133" s="29">
        <v>45461</v>
      </c>
      <c r="K133" s="22" t="s">
        <v>24</v>
      </c>
      <c r="L133" s="26" t="s">
        <v>182</v>
      </c>
      <c r="M133" s="29">
        <v>45476</v>
      </c>
      <c r="N133" s="22" t="s">
        <v>255</v>
      </c>
      <c r="O133" s="22" t="s">
        <v>36</v>
      </c>
      <c r="P133" s="22" t="s">
        <v>28</v>
      </c>
      <c r="Q133" s="22"/>
      <c r="R133" s="161" t="s">
        <v>256</v>
      </c>
      <c r="S133" s="22" t="s">
        <v>245</v>
      </c>
      <c r="T133" s="22" t="s">
        <v>233</v>
      </c>
      <c r="U133" s="29">
        <v>45476</v>
      </c>
      <c r="V133" s="29">
        <v>45538</v>
      </c>
      <c r="W133" s="22">
        <f t="shared" ca="1" si="0"/>
        <v>-547</v>
      </c>
      <c r="X133" s="17" t="str">
        <f t="shared" ca="1" si="1"/>
        <v>Vencido</v>
      </c>
      <c r="Y133" s="18" t="s">
        <v>257</v>
      </c>
      <c r="Z133" s="18" t="s">
        <v>258</v>
      </c>
    </row>
    <row r="134" spans="1:41" ht="93.75" customHeight="1">
      <c r="A134" s="18">
        <v>65</v>
      </c>
      <c r="B134" s="23" t="s">
        <v>19</v>
      </c>
      <c r="C134" s="18" t="s">
        <v>259</v>
      </c>
      <c r="D134" s="18">
        <v>2710609</v>
      </c>
      <c r="E134" s="18">
        <v>9</v>
      </c>
      <c r="F134" s="18">
        <v>93</v>
      </c>
      <c r="G134" s="18" t="s">
        <v>77</v>
      </c>
      <c r="H134" s="18" t="s">
        <v>260</v>
      </c>
      <c r="I134" s="18">
        <v>2024</v>
      </c>
      <c r="J134" s="28">
        <v>45421</v>
      </c>
      <c r="K134" s="18" t="s">
        <v>161</v>
      </c>
      <c r="L134" s="18" t="s">
        <v>91</v>
      </c>
      <c r="M134" s="18" t="s">
        <v>34</v>
      </c>
      <c r="N134" s="18" t="s">
        <v>35</v>
      </c>
      <c r="O134" s="18" t="s">
        <v>36</v>
      </c>
      <c r="P134" s="18" t="s">
        <v>28</v>
      </c>
      <c r="Q134" s="18"/>
      <c r="R134" s="32" t="s">
        <v>261</v>
      </c>
      <c r="S134" s="18" t="s">
        <v>262</v>
      </c>
      <c r="T134" s="18" t="s">
        <v>263</v>
      </c>
      <c r="U134" s="28">
        <v>45514</v>
      </c>
      <c r="V134" s="28">
        <v>45524</v>
      </c>
      <c r="W134" s="22">
        <f t="shared" ref="W134:W139" ca="1" si="2">V134-TODAY()</f>
        <v>-561</v>
      </c>
      <c r="X134" s="17" t="str">
        <f t="shared" ref="X134:X139" ca="1" si="3">IF(W134&gt;=25,"Vigente",IF(AND(W134&gt;=1,W134&lt;=25),"Por Vencer","Vencido"))</f>
        <v>Vencido</v>
      </c>
      <c r="Y134" s="32" t="s">
        <v>264</v>
      </c>
      <c r="Z134" s="18" t="s">
        <v>236</v>
      </c>
    </row>
    <row r="135" spans="1:41" ht="93.75" customHeight="1">
      <c r="A135" s="18">
        <v>71</v>
      </c>
      <c r="B135" s="19" t="s">
        <v>19</v>
      </c>
      <c r="C135" s="18" t="s">
        <v>265</v>
      </c>
      <c r="D135" s="18">
        <v>4056811</v>
      </c>
      <c r="E135" s="18">
        <v>5</v>
      </c>
      <c r="F135" s="18">
        <v>87</v>
      </c>
      <c r="G135" s="18" t="s">
        <v>22</v>
      </c>
      <c r="H135" s="18" t="s">
        <v>260</v>
      </c>
      <c r="I135" s="18">
        <v>2024</v>
      </c>
      <c r="J135" s="100">
        <v>45444</v>
      </c>
      <c r="K135" s="18" t="s">
        <v>266</v>
      </c>
      <c r="L135" s="18" t="s">
        <v>267</v>
      </c>
      <c r="M135" s="18" t="s">
        <v>268</v>
      </c>
      <c r="N135" s="18" t="s">
        <v>35</v>
      </c>
      <c r="O135" s="18" t="s">
        <v>36</v>
      </c>
      <c r="P135" s="18" t="s">
        <v>28</v>
      </c>
      <c r="Q135" s="18"/>
      <c r="R135" s="32" t="s">
        <v>269</v>
      </c>
      <c r="S135" s="18" t="s">
        <v>245</v>
      </c>
      <c r="T135" s="18" t="s">
        <v>233</v>
      </c>
      <c r="U135" s="28">
        <v>45523</v>
      </c>
      <c r="V135" s="28">
        <v>45525</v>
      </c>
      <c r="W135" s="18">
        <f t="shared" ca="1" si="2"/>
        <v>-560</v>
      </c>
      <c r="X135" s="18" t="str">
        <f t="shared" ca="1" si="3"/>
        <v>Vencido</v>
      </c>
      <c r="Y135" s="18" t="s">
        <v>270</v>
      </c>
      <c r="Z135" s="18" t="s">
        <v>271</v>
      </c>
    </row>
    <row r="136" spans="1:41" ht="93.75" customHeight="1">
      <c r="A136" s="18">
        <v>73</v>
      </c>
      <c r="B136" s="19" t="s">
        <v>19</v>
      </c>
      <c r="C136" s="18" t="s">
        <v>272</v>
      </c>
      <c r="D136" s="18">
        <v>14486813</v>
      </c>
      <c r="E136" s="18">
        <v>7</v>
      </c>
      <c r="F136" s="18">
        <v>49</v>
      </c>
      <c r="G136" s="18" t="s">
        <v>22</v>
      </c>
      <c r="H136" s="18" t="s">
        <v>260</v>
      </c>
      <c r="I136" s="18">
        <v>2024</v>
      </c>
      <c r="J136" s="100">
        <v>45444</v>
      </c>
      <c r="K136" s="18" t="s">
        <v>266</v>
      </c>
      <c r="L136" s="18" t="s">
        <v>267</v>
      </c>
      <c r="M136" s="18" t="s">
        <v>268</v>
      </c>
      <c r="N136" s="18" t="s">
        <v>35</v>
      </c>
      <c r="O136" s="18" t="s">
        <v>36</v>
      </c>
      <c r="P136" s="18" t="s">
        <v>28</v>
      </c>
      <c r="Q136" s="18"/>
      <c r="R136" s="32" t="s">
        <v>273</v>
      </c>
      <c r="S136" s="18" t="s">
        <v>245</v>
      </c>
      <c r="T136" s="18" t="s">
        <v>233</v>
      </c>
      <c r="U136" s="28">
        <v>45525</v>
      </c>
      <c r="V136" s="28">
        <v>45526</v>
      </c>
      <c r="W136" s="18">
        <f t="shared" ca="1" si="2"/>
        <v>-559</v>
      </c>
      <c r="X136" s="18" t="str">
        <f t="shared" ca="1" si="3"/>
        <v>Vencido</v>
      </c>
      <c r="Y136" s="18" t="s">
        <v>274</v>
      </c>
      <c r="Z136" s="18" t="s">
        <v>236</v>
      </c>
    </row>
    <row r="137" spans="1:41" ht="93.75" customHeight="1">
      <c r="A137" s="18">
        <v>70</v>
      </c>
      <c r="B137" s="19" t="s">
        <v>19</v>
      </c>
      <c r="C137" s="18" t="s">
        <v>275</v>
      </c>
      <c r="D137" s="18">
        <v>5485527</v>
      </c>
      <c r="E137" s="18">
        <v>3</v>
      </c>
      <c r="F137" s="18">
        <v>79</v>
      </c>
      <c r="G137" s="18" t="s">
        <v>22</v>
      </c>
      <c r="H137" s="18" t="s">
        <v>260</v>
      </c>
      <c r="I137" s="18">
        <v>2024</v>
      </c>
      <c r="J137" s="100">
        <v>45444</v>
      </c>
      <c r="K137" s="18" t="s">
        <v>266</v>
      </c>
      <c r="L137" s="18" t="s">
        <v>267</v>
      </c>
      <c r="M137" s="18" t="s">
        <v>268</v>
      </c>
      <c r="N137" s="18" t="s">
        <v>35</v>
      </c>
      <c r="O137" s="18" t="s">
        <v>36</v>
      </c>
      <c r="P137" s="18" t="s">
        <v>28</v>
      </c>
      <c r="Q137" s="18"/>
      <c r="R137" s="18" t="s">
        <v>276</v>
      </c>
      <c r="S137" s="18" t="s">
        <v>245</v>
      </c>
      <c r="T137" s="18" t="s">
        <v>233</v>
      </c>
      <c r="U137" s="28">
        <v>45524</v>
      </c>
      <c r="V137" s="28">
        <v>45526</v>
      </c>
      <c r="W137" s="18">
        <f t="shared" ca="1" si="2"/>
        <v>-559</v>
      </c>
      <c r="X137" s="18" t="str">
        <f t="shared" ca="1" si="3"/>
        <v>Vencido</v>
      </c>
      <c r="Y137" s="18" t="s">
        <v>277</v>
      </c>
      <c r="Z137" s="18" t="s">
        <v>236</v>
      </c>
    </row>
    <row r="138" spans="1:41" ht="120.75" customHeight="1">
      <c r="A138" s="18">
        <v>69</v>
      </c>
      <c r="B138" s="19" t="s">
        <v>19</v>
      </c>
      <c r="C138" s="18" t="s">
        <v>278</v>
      </c>
      <c r="D138" s="18">
        <v>5402417</v>
      </c>
      <c r="E138" s="18">
        <v>7</v>
      </c>
      <c r="F138" s="18">
        <v>77</v>
      </c>
      <c r="G138" s="18" t="s">
        <v>22</v>
      </c>
      <c r="H138" s="18" t="s">
        <v>279</v>
      </c>
      <c r="I138" s="18">
        <v>2024</v>
      </c>
      <c r="J138" s="100">
        <v>45474</v>
      </c>
      <c r="K138" s="18" t="s">
        <v>266</v>
      </c>
      <c r="L138" s="18" t="s">
        <v>267</v>
      </c>
      <c r="M138" s="18" t="s">
        <v>34</v>
      </c>
      <c r="N138" s="18" t="s">
        <v>35</v>
      </c>
      <c r="O138" s="18" t="s">
        <v>82</v>
      </c>
      <c r="P138" s="18" t="s">
        <v>28</v>
      </c>
      <c r="Q138" s="18"/>
      <c r="R138" s="18" t="s">
        <v>280</v>
      </c>
      <c r="S138" s="18" t="s">
        <v>281</v>
      </c>
      <c r="T138" s="18" t="s">
        <v>233</v>
      </c>
      <c r="U138" s="28">
        <v>45524</v>
      </c>
      <c r="V138" s="28">
        <v>45526</v>
      </c>
      <c r="W138" s="18">
        <f t="shared" ca="1" si="2"/>
        <v>-559</v>
      </c>
      <c r="X138" s="18" t="str">
        <f t="shared" ca="1" si="3"/>
        <v>Vencido</v>
      </c>
      <c r="Y138" s="18" t="s">
        <v>282</v>
      </c>
      <c r="Z138" s="18" t="s">
        <v>236</v>
      </c>
    </row>
    <row r="139" spans="1:41" ht="94.5" customHeight="1">
      <c r="A139" s="18">
        <v>64</v>
      </c>
      <c r="B139" s="21" t="s">
        <v>19</v>
      </c>
      <c r="C139" s="22" t="s">
        <v>283</v>
      </c>
      <c r="D139" s="22">
        <v>5964040</v>
      </c>
      <c r="E139" s="22">
        <v>2</v>
      </c>
      <c r="F139" s="22">
        <v>82</v>
      </c>
      <c r="G139" s="22" t="s">
        <v>86</v>
      </c>
      <c r="H139" s="22" t="s">
        <v>23</v>
      </c>
      <c r="I139" s="22">
        <v>2023</v>
      </c>
      <c r="J139" s="29">
        <v>45117</v>
      </c>
      <c r="K139" s="22" t="s">
        <v>24</v>
      </c>
      <c r="L139" s="26" t="s">
        <v>25</v>
      </c>
      <c r="M139" s="29">
        <v>45222</v>
      </c>
      <c r="N139" s="22" t="s">
        <v>176</v>
      </c>
      <c r="O139" s="22" t="s">
        <v>36</v>
      </c>
      <c r="P139" s="22" t="s">
        <v>28</v>
      </c>
      <c r="Q139" s="22"/>
      <c r="R139" s="26" t="s">
        <v>284</v>
      </c>
      <c r="S139" s="22" t="s">
        <v>285</v>
      </c>
      <c r="T139" s="22" t="s">
        <v>233</v>
      </c>
      <c r="U139" s="29">
        <v>45518</v>
      </c>
      <c r="V139" s="29">
        <v>45549</v>
      </c>
      <c r="W139" s="22">
        <f t="shared" ca="1" si="2"/>
        <v>-536</v>
      </c>
      <c r="X139" s="17" t="str">
        <f t="shared" ca="1" si="3"/>
        <v>Vencido</v>
      </c>
      <c r="Y139" s="101" t="s">
        <v>286</v>
      </c>
      <c r="Z139" s="17" t="s">
        <v>236</v>
      </c>
    </row>
    <row r="140" spans="1:41" s="7" customFormat="1" ht="123" customHeight="1">
      <c r="A140" s="15">
        <v>1</v>
      </c>
      <c r="B140" s="19" t="s">
        <v>19</v>
      </c>
      <c r="C140" s="18" t="s">
        <v>287</v>
      </c>
      <c r="D140" s="18">
        <v>8260388</v>
      </c>
      <c r="E140" s="18">
        <v>3</v>
      </c>
      <c r="F140" s="18">
        <v>67</v>
      </c>
      <c r="G140" s="18" t="s">
        <v>22</v>
      </c>
      <c r="H140" s="18" t="s">
        <v>260</v>
      </c>
      <c r="I140" s="18">
        <v>2024</v>
      </c>
      <c r="J140" s="100">
        <v>45505</v>
      </c>
      <c r="K140" s="18" t="s">
        <v>266</v>
      </c>
      <c r="L140" s="18" t="s">
        <v>51</v>
      </c>
      <c r="M140" s="18" t="s">
        <v>34</v>
      </c>
      <c r="N140" s="18" t="s">
        <v>35</v>
      </c>
      <c r="O140" s="18" t="s">
        <v>36</v>
      </c>
      <c r="P140" s="18" t="s">
        <v>28</v>
      </c>
      <c r="Q140" s="18"/>
      <c r="R140" s="32" t="s">
        <v>288</v>
      </c>
      <c r="S140" s="18" t="s">
        <v>289</v>
      </c>
      <c r="T140" s="18" t="s">
        <v>233</v>
      </c>
      <c r="U140" s="28">
        <v>45527</v>
      </c>
      <c r="V140" s="28">
        <v>45530</v>
      </c>
      <c r="W140" s="18">
        <f t="shared" ref="W140:W145" ca="1" si="4">V140-TODAY()</f>
        <v>-555</v>
      </c>
      <c r="X140" s="18" t="str">
        <f t="shared" ref="X140:X145" ca="1" si="5">IF(W140&gt;=25,"Vigente",IF(AND(W140&gt;=1,W140&lt;=25),"Por Vencer","Vencido"))</f>
        <v>Vencido</v>
      </c>
      <c r="Y140" s="102" t="s">
        <v>290</v>
      </c>
      <c r="Z140" s="18" t="s">
        <v>236</v>
      </c>
    </row>
    <row r="141" spans="1:41" s="7" customFormat="1" ht="37.5" customHeight="1">
      <c r="A141" s="15">
        <v>34</v>
      </c>
      <c r="B141" s="19" t="s">
        <v>19</v>
      </c>
      <c r="C141" s="18" t="s">
        <v>291</v>
      </c>
      <c r="D141" s="18">
        <v>6463924</v>
      </c>
      <c r="E141" s="18">
        <v>2</v>
      </c>
      <c r="F141" s="18">
        <v>71</v>
      </c>
      <c r="G141" s="18" t="s">
        <v>22</v>
      </c>
      <c r="H141" s="18" t="s">
        <v>292</v>
      </c>
      <c r="I141" s="18">
        <v>2024</v>
      </c>
      <c r="J141" s="18" t="s">
        <v>41</v>
      </c>
      <c r="K141" s="18" t="s">
        <v>24</v>
      </c>
      <c r="L141" s="18" t="s">
        <v>293</v>
      </c>
      <c r="M141" s="18" t="s">
        <v>294</v>
      </c>
      <c r="N141" s="18" t="s">
        <v>225</v>
      </c>
      <c r="O141" s="18" t="s">
        <v>36</v>
      </c>
      <c r="P141" s="18" t="s">
        <v>28</v>
      </c>
      <c r="Q141" s="18"/>
      <c r="R141" s="18" t="s">
        <v>295</v>
      </c>
      <c r="S141" s="18" t="s">
        <v>245</v>
      </c>
      <c r="T141" s="18" t="s">
        <v>296</v>
      </c>
      <c r="U141" s="28">
        <v>45525</v>
      </c>
      <c r="V141" s="28">
        <v>45534</v>
      </c>
      <c r="W141" s="18">
        <f t="shared" ca="1" si="4"/>
        <v>-551</v>
      </c>
      <c r="X141" s="18" t="str">
        <f t="shared" ca="1" si="5"/>
        <v>Vencido</v>
      </c>
      <c r="Y141" s="18" t="s">
        <v>297</v>
      </c>
      <c r="Z141" s="18" t="s">
        <v>236</v>
      </c>
    </row>
    <row r="142" spans="1:41" s="7" customFormat="1" ht="129.75" customHeight="1">
      <c r="A142" s="15">
        <v>52</v>
      </c>
      <c r="B142" s="21" t="s">
        <v>19</v>
      </c>
      <c r="C142" s="22" t="s">
        <v>298</v>
      </c>
      <c r="D142" s="22">
        <v>7724423</v>
      </c>
      <c r="E142" s="22">
        <v>9</v>
      </c>
      <c r="F142" s="22">
        <v>67</v>
      </c>
      <c r="G142" s="22" t="s">
        <v>86</v>
      </c>
      <c r="H142" s="22" t="s">
        <v>23</v>
      </c>
      <c r="I142" s="22" t="s">
        <v>40</v>
      </c>
      <c r="J142" s="22" t="s">
        <v>41</v>
      </c>
      <c r="K142" s="22" t="s">
        <v>161</v>
      </c>
      <c r="L142" s="22" t="s">
        <v>91</v>
      </c>
      <c r="M142" s="22" t="s">
        <v>34</v>
      </c>
      <c r="N142" s="22" t="s">
        <v>35</v>
      </c>
      <c r="O142" s="22" t="s">
        <v>36</v>
      </c>
      <c r="P142" s="22" t="s">
        <v>28</v>
      </c>
      <c r="Q142" s="22"/>
      <c r="R142" s="18" t="s">
        <v>299</v>
      </c>
      <c r="S142" s="22" t="s">
        <v>239</v>
      </c>
      <c r="T142" s="22" t="s">
        <v>233</v>
      </c>
      <c r="U142" s="29">
        <v>45539</v>
      </c>
      <c r="V142" s="29">
        <v>45720</v>
      </c>
      <c r="W142" s="22">
        <f t="shared" ca="1" si="4"/>
        <v>-365</v>
      </c>
      <c r="X142" s="17" t="str">
        <f t="shared" ca="1" si="5"/>
        <v>Vencido</v>
      </c>
      <c r="Y142" s="18" t="s">
        <v>300</v>
      </c>
      <c r="Z142" s="18" t="s">
        <v>301</v>
      </c>
    </row>
    <row r="143" spans="1:41" s="7" customFormat="1" ht="134.25" customHeight="1">
      <c r="A143" s="15">
        <v>50</v>
      </c>
      <c r="B143" s="18" t="s">
        <v>19</v>
      </c>
      <c r="C143" s="18" t="s">
        <v>302</v>
      </c>
      <c r="D143" s="18">
        <v>16806974</v>
      </c>
      <c r="E143" s="18" t="s">
        <v>68</v>
      </c>
      <c r="F143" s="18">
        <v>32</v>
      </c>
      <c r="G143" s="18" t="s">
        <v>22</v>
      </c>
      <c r="H143" s="18" t="s">
        <v>260</v>
      </c>
      <c r="I143" s="18">
        <v>2023</v>
      </c>
      <c r="J143" s="18" t="s">
        <v>41</v>
      </c>
      <c r="K143" s="18" t="s">
        <v>161</v>
      </c>
      <c r="L143" s="18" t="s">
        <v>51</v>
      </c>
      <c r="M143" s="18" t="s">
        <v>34</v>
      </c>
      <c r="N143" s="18" t="s">
        <v>35</v>
      </c>
      <c r="O143" s="18" t="s">
        <v>36</v>
      </c>
      <c r="P143" s="18" t="s">
        <v>28</v>
      </c>
      <c r="Q143" s="18"/>
      <c r="R143" s="18" t="s">
        <v>303</v>
      </c>
      <c r="S143" s="18" t="s">
        <v>245</v>
      </c>
      <c r="T143" s="18" t="s">
        <v>233</v>
      </c>
      <c r="U143" s="28">
        <v>45530</v>
      </c>
      <c r="V143" s="28">
        <v>45561</v>
      </c>
      <c r="W143" s="18">
        <f t="shared" ca="1" si="4"/>
        <v>-524</v>
      </c>
      <c r="X143" s="18" t="str">
        <f t="shared" ca="1" si="5"/>
        <v>Vencido</v>
      </c>
      <c r="Y143" s="18"/>
      <c r="Z143" s="18" t="s">
        <v>236</v>
      </c>
    </row>
    <row r="144" spans="1:41" s="7" customFormat="1" ht="142.5" customHeight="1">
      <c r="A144" s="15">
        <v>36</v>
      </c>
      <c r="B144" s="16" t="s">
        <v>19</v>
      </c>
      <c r="C144" s="22" t="s">
        <v>304</v>
      </c>
      <c r="D144" s="22">
        <v>7087817</v>
      </c>
      <c r="E144" s="22">
        <v>8</v>
      </c>
      <c r="F144" s="22">
        <v>71</v>
      </c>
      <c r="G144" s="22" t="s">
        <v>22</v>
      </c>
      <c r="H144" s="22" t="s">
        <v>198</v>
      </c>
      <c r="I144" s="22" t="s">
        <v>40</v>
      </c>
      <c r="J144" s="22" t="s">
        <v>41</v>
      </c>
      <c r="K144" s="22" t="s">
        <v>24</v>
      </c>
      <c r="L144" s="22" t="s">
        <v>25</v>
      </c>
      <c r="M144" s="22" t="s">
        <v>34</v>
      </c>
      <c r="N144" s="22" t="s">
        <v>35</v>
      </c>
      <c r="O144" s="22" t="s">
        <v>36</v>
      </c>
      <c r="P144" s="22" t="s">
        <v>169</v>
      </c>
      <c r="Q144" s="22"/>
      <c r="R144" s="18" t="s">
        <v>305</v>
      </c>
      <c r="S144" s="22" t="s">
        <v>239</v>
      </c>
      <c r="T144" s="22" t="s">
        <v>233</v>
      </c>
      <c r="U144" s="29">
        <v>45362</v>
      </c>
      <c r="V144" s="29">
        <v>45484</v>
      </c>
      <c r="W144" s="22">
        <f t="shared" ca="1" si="4"/>
        <v>-601</v>
      </c>
      <c r="X144" s="17" t="str">
        <f t="shared" ca="1" si="5"/>
        <v>Vencido</v>
      </c>
      <c r="Y144" s="18" t="s">
        <v>306</v>
      </c>
      <c r="Z144" s="18" t="s">
        <v>301</v>
      </c>
    </row>
    <row r="145" spans="1:41" s="7" customFormat="1" ht="137.25" customHeight="1">
      <c r="A145" s="15">
        <v>38</v>
      </c>
      <c r="B145" s="16" t="s">
        <v>19</v>
      </c>
      <c r="C145" s="22" t="s">
        <v>307</v>
      </c>
      <c r="D145" s="22">
        <v>9820796</v>
      </c>
      <c r="E145" s="22">
        <v>1</v>
      </c>
      <c r="F145" s="22">
        <v>61</v>
      </c>
      <c r="G145" s="22" t="s">
        <v>22</v>
      </c>
      <c r="H145" s="22" t="s">
        <v>308</v>
      </c>
      <c r="I145" s="22" t="s">
        <v>40</v>
      </c>
      <c r="J145" s="22" t="s">
        <v>41</v>
      </c>
      <c r="K145" s="22" t="s">
        <v>161</v>
      </c>
      <c r="L145" s="22" t="s">
        <v>91</v>
      </c>
      <c r="M145" s="22" t="s">
        <v>34</v>
      </c>
      <c r="N145" s="22" t="s">
        <v>35</v>
      </c>
      <c r="O145" s="22" t="s">
        <v>36</v>
      </c>
      <c r="P145" s="22" t="s">
        <v>37</v>
      </c>
      <c r="Q145" s="22" t="s">
        <v>177</v>
      </c>
      <c r="R145" s="22" t="s">
        <v>309</v>
      </c>
      <c r="S145" s="22" t="s">
        <v>245</v>
      </c>
      <c r="T145" s="22" t="s">
        <v>233</v>
      </c>
      <c r="U145" s="29">
        <v>45471</v>
      </c>
      <c r="V145" s="29">
        <v>45501</v>
      </c>
      <c r="W145" s="22">
        <f t="shared" ca="1" si="4"/>
        <v>-584</v>
      </c>
      <c r="X145" s="17" t="str">
        <f t="shared" ca="1" si="5"/>
        <v>Vencido</v>
      </c>
      <c r="Y145" s="18" t="s">
        <v>310</v>
      </c>
      <c r="Z145" s="18" t="s">
        <v>301</v>
      </c>
    </row>
    <row r="146" spans="1:41" ht="93.75" customHeight="1">
      <c r="A146" s="15">
        <v>59</v>
      </c>
      <c r="B146" s="19" t="s">
        <v>19</v>
      </c>
      <c r="C146" s="18" t="s">
        <v>311</v>
      </c>
      <c r="D146" s="18">
        <v>5338306</v>
      </c>
      <c r="E146" s="18">
        <v>8</v>
      </c>
      <c r="F146" s="18">
        <v>80</v>
      </c>
      <c r="G146" s="18" t="s">
        <v>22</v>
      </c>
      <c r="H146" s="18" t="s">
        <v>312</v>
      </c>
      <c r="I146" s="18">
        <v>2024</v>
      </c>
      <c r="J146" s="100">
        <v>45444</v>
      </c>
      <c r="K146" s="18" t="s">
        <v>266</v>
      </c>
      <c r="L146" s="18" t="s">
        <v>267</v>
      </c>
      <c r="M146" s="18" t="s">
        <v>268</v>
      </c>
      <c r="N146" s="18" t="s">
        <v>35</v>
      </c>
      <c r="O146" s="18" t="s">
        <v>36</v>
      </c>
      <c r="P146" s="18" t="s">
        <v>28</v>
      </c>
      <c r="Q146" s="18"/>
      <c r="R146" s="18" t="s">
        <v>313</v>
      </c>
      <c r="S146" s="18" t="s">
        <v>245</v>
      </c>
      <c r="T146" s="18" t="s">
        <v>233</v>
      </c>
      <c r="U146" s="28">
        <v>45541</v>
      </c>
      <c r="V146" s="28">
        <v>45571</v>
      </c>
      <c r="W146" s="18">
        <f t="shared" ref="W146:W152" ca="1" si="6">V146-TODAY()</f>
        <v>-514</v>
      </c>
      <c r="X146" s="18" t="str">
        <f t="shared" ref="X146:X152" ca="1" si="7">IF(W146&gt;=25,"Vigente",IF(AND(W146&gt;=1,W146&lt;=25),"Por Vencer","Vencido"))</f>
        <v>Vencido</v>
      </c>
      <c r="Y146" s="18" t="s">
        <v>314</v>
      </c>
      <c r="Z146" s="18" t="s">
        <v>301</v>
      </c>
    </row>
    <row r="147" spans="1:41" s="7" customFormat="1" ht="144.75" customHeight="1">
      <c r="A147" s="18"/>
      <c r="B147" s="19" t="s">
        <v>19</v>
      </c>
      <c r="C147" s="18" t="s">
        <v>315</v>
      </c>
      <c r="D147" s="18">
        <v>18986814</v>
      </c>
      <c r="E147" s="18">
        <v>6</v>
      </c>
      <c r="F147" s="18">
        <v>28</v>
      </c>
      <c r="G147" s="18" t="s">
        <v>22</v>
      </c>
      <c r="H147" s="18" t="s">
        <v>316</v>
      </c>
      <c r="I147" s="18">
        <v>2024</v>
      </c>
      <c r="J147" s="28">
        <v>45533</v>
      </c>
      <c r="K147" s="18" t="s">
        <v>161</v>
      </c>
      <c r="L147" s="18" t="s">
        <v>51</v>
      </c>
      <c r="M147" s="18" t="s">
        <v>268</v>
      </c>
      <c r="N147" s="18" t="s">
        <v>35</v>
      </c>
      <c r="O147" s="18" t="s">
        <v>36</v>
      </c>
      <c r="P147" s="18" t="s">
        <v>28</v>
      </c>
      <c r="Q147" s="18"/>
      <c r="R147" s="32" t="s">
        <v>317</v>
      </c>
      <c r="S147" s="18" t="s">
        <v>245</v>
      </c>
      <c r="T147" s="18" t="s">
        <v>233</v>
      </c>
      <c r="U147" s="28">
        <v>45548</v>
      </c>
      <c r="V147" s="28">
        <v>45555</v>
      </c>
      <c r="W147" s="18">
        <f t="shared" ca="1" si="6"/>
        <v>-530</v>
      </c>
      <c r="X147" s="18" t="str">
        <f t="shared" ca="1" si="7"/>
        <v>Vencido</v>
      </c>
      <c r="Y147" s="18" t="s">
        <v>318</v>
      </c>
      <c r="Z147" s="18" t="s">
        <v>301</v>
      </c>
    </row>
    <row r="148" spans="1:41" s="7" customFormat="1" ht="135" customHeight="1">
      <c r="A148" s="15">
        <v>3</v>
      </c>
      <c r="B148" s="16" t="s">
        <v>19</v>
      </c>
      <c r="C148" s="22" t="s">
        <v>319</v>
      </c>
      <c r="D148" s="22">
        <v>10448360</v>
      </c>
      <c r="E148" s="22">
        <v>7</v>
      </c>
      <c r="F148" s="22">
        <v>81</v>
      </c>
      <c r="G148" s="22" t="s">
        <v>22</v>
      </c>
      <c r="H148" s="22" t="s">
        <v>23</v>
      </c>
      <c r="I148" s="22" t="s">
        <v>40</v>
      </c>
      <c r="J148" s="22" t="s">
        <v>41</v>
      </c>
      <c r="K148" s="22" t="s">
        <v>24</v>
      </c>
      <c r="L148" s="22" t="s">
        <v>182</v>
      </c>
      <c r="M148" s="29">
        <v>45259</v>
      </c>
      <c r="N148" s="22" t="s">
        <v>320</v>
      </c>
      <c r="O148" s="22" t="s">
        <v>36</v>
      </c>
      <c r="P148" s="22" t="s">
        <v>169</v>
      </c>
      <c r="Q148" s="22"/>
      <c r="R148" s="26" t="s">
        <v>321</v>
      </c>
      <c r="S148" s="26" t="s">
        <v>245</v>
      </c>
      <c r="T148" s="22" t="s">
        <v>233</v>
      </c>
      <c r="U148" s="29">
        <v>45497</v>
      </c>
      <c r="V148" s="29">
        <v>45589</v>
      </c>
      <c r="W148" s="22">
        <f t="shared" ca="1" si="6"/>
        <v>-496</v>
      </c>
      <c r="X148" s="17" t="str">
        <f t="shared" ca="1" si="7"/>
        <v>Vencido</v>
      </c>
      <c r="Y148" s="18" t="s">
        <v>322</v>
      </c>
      <c r="Z148" s="18" t="s">
        <v>323</v>
      </c>
    </row>
    <row r="149" spans="1:41" ht="134.25" customHeight="1">
      <c r="A149" s="15">
        <v>46</v>
      </c>
      <c r="B149" s="21" t="s">
        <v>19</v>
      </c>
      <c r="C149" s="22" t="s">
        <v>324</v>
      </c>
      <c r="D149" s="22">
        <v>6583545</v>
      </c>
      <c r="E149" s="22">
        <v>2</v>
      </c>
      <c r="F149" s="22">
        <v>73</v>
      </c>
      <c r="G149" s="22" t="s">
        <v>77</v>
      </c>
      <c r="H149" s="22" t="s">
        <v>23</v>
      </c>
      <c r="I149" s="22" t="s">
        <v>40</v>
      </c>
      <c r="J149" s="22" t="s">
        <v>41</v>
      </c>
      <c r="K149" s="22" t="s">
        <v>24</v>
      </c>
      <c r="L149" s="26" t="s">
        <v>25</v>
      </c>
      <c r="M149" s="29">
        <v>45085</v>
      </c>
      <c r="N149" s="22" t="s">
        <v>325</v>
      </c>
      <c r="O149" s="22" t="s">
        <v>36</v>
      </c>
      <c r="P149" s="22" t="s">
        <v>169</v>
      </c>
      <c r="Q149" s="22"/>
      <c r="R149" s="26" t="s">
        <v>326</v>
      </c>
      <c r="S149" s="22" t="s">
        <v>245</v>
      </c>
      <c r="T149" s="22" t="s">
        <v>233</v>
      </c>
      <c r="U149" s="29">
        <v>45525</v>
      </c>
      <c r="V149" s="29">
        <v>45559</v>
      </c>
      <c r="W149" s="22">
        <f t="shared" ca="1" si="6"/>
        <v>-526</v>
      </c>
      <c r="X149" s="17" t="str">
        <f t="shared" ca="1" si="7"/>
        <v>Vencido</v>
      </c>
      <c r="Y149" s="18" t="s">
        <v>327</v>
      </c>
      <c r="Z149" s="18" t="s">
        <v>301</v>
      </c>
    </row>
    <row r="150" spans="1:41" s="7" customFormat="1" ht="118.5" customHeight="1">
      <c r="A150" s="15">
        <v>39</v>
      </c>
      <c r="B150" s="16" t="s">
        <v>19</v>
      </c>
      <c r="C150" s="22" t="s">
        <v>328</v>
      </c>
      <c r="D150" s="22">
        <v>7036154</v>
      </c>
      <c r="E150" s="22" t="s">
        <v>68</v>
      </c>
      <c r="F150" s="22">
        <v>72</v>
      </c>
      <c r="G150" s="22" t="s">
        <v>22</v>
      </c>
      <c r="H150" s="22" t="s">
        <v>23</v>
      </c>
      <c r="I150" s="22" t="s">
        <v>40</v>
      </c>
      <c r="J150" s="22" t="s">
        <v>41</v>
      </c>
      <c r="K150" s="22" t="s">
        <v>161</v>
      </c>
      <c r="L150" s="22" t="s">
        <v>91</v>
      </c>
      <c r="M150" s="22" t="s">
        <v>34</v>
      </c>
      <c r="N150" s="22" t="s">
        <v>35</v>
      </c>
      <c r="O150" s="22" t="s">
        <v>36</v>
      </c>
      <c r="P150" s="22" t="s">
        <v>169</v>
      </c>
      <c r="Q150" s="22"/>
      <c r="R150" s="161" t="s">
        <v>329</v>
      </c>
      <c r="S150" s="22" t="s">
        <v>245</v>
      </c>
      <c r="T150" s="22" t="s">
        <v>233</v>
      </c>
      <c r="U150" s="29">
        <v>45551</v>
      </c>
      <c r="V150" s="29">
        <v>45581</v>
      </c>
      <c r="W150" s="22">
        <f t="shared" ca="1" si="6"/>
        <v>-504</v>
      </c>
      <c r="X150" s="17" t="str">
        <f t="shared" ca="1" si="7"/>
        <v>Vencido</v>
      </c>
      <c r="Y150" s="18" t="s">
        <v>330</v>
      </c>
      <c r="Z150" s="18" t="s">
        <v>301</v>
      </c>
    </row>
    <row r="151" spans="1:41" ht="93.75" customHeight="1">
      <c r="A151" s="18"/>
      <c r="B151" s="19" t="s">
        <v>19</v>
      </c>
      <c r="C151" s="18" t="s">
        <v>331</v>
      </c>
      <c r="D151" s="18">
        <v>3698935</v>
      </c>
      <c r="E151" s="18">
        <v>1</v>
      </c>
      <c r="F151" s="18">
        <v>87</v>
      </c>
      <c r="G151" s="18" t="s">
        <v>22</v>
      </c>
      <c r="H151" s="18" t="s">
        <v>332</v>
      </c>
      <c r="I151" s="18">
        <v>2024</v>
      </c>
      <c r="J151" s="18" t="s">
        <v>41</v>
      </c>
      <c r="K151" s="18" t="s">
        <v>161</v>
      </c>
      <c r="L151" s="18" t="s">
        <v>267</v>
      </c>
      <c r="M151" s="18" t="s">
        <v>268</v>
      </c>
      <c r="N151" s="18" t="s">
        <v>35</v>
      </c>
      <c r="O151" s="18" t="s">
        <v>36</v>
      </c>
      <c r="P151" s="18" t="s">
        <v>28</v>
      </c>
      <c r="Q151" s="18"/>
      <c r="R151" s="32" t="s">
        <v>333</v>
      </c>
      <c r="S151" s="18" t="s">
        <v>334</v>
      </c>
      <c r="T151" s="18" t="s">
        <v>233</v>
      </c>
      <c r="U151" s="28">
        <v>45551</v>
      </c>
      <c r="V151" s="28">
        <v>45581</v>
      </c>
      <c r="W151" s="18">
        <f t="shared" ca="1" si="6"/>
        <v>-504</v>
      </c>
      <c r="X151" s="18" t="str">
        <f t="shared" ca="1" si="7"/>
        <v>Vencido</v>
      </c>
      <c r="Y151" s="18" t="s">
        <v>335</v>
      </c>
      <c r="Z151" s="18" t="s">
        <v>301</v>
      </c>
    </row>
    <row r="152" spans="1:41" s="9" customFormat="1" ht="136.5" customHeight="1">
      <c r="A152" s="18"/>
      <c r="B152" s="19" t="s">
        <v>19</v>
      </c>
      <c r="C152" s="18" t="s">
        <v>336</v>
      </c>
      <c r="D152" s="18">
        <v>11939048</v>
      </c>
      <c r="E152" s="18">
        <v>6</v>
      </c>
      <c r="F152" s="18">
        <v>52</v>
      </c>
      <c r="G152" s="18" t="s">
        <v>22</v>
      </c>
      <c r="H152" s="18" t="s">
        <v>337</v>
      </c>
      <c r="I152" s="18">
        <v>2024</v>
      </c>
      <c r="J152" s="28">
        <v>45315</v>
      </c>
      <c r="K152" s="18" t="s">
        <v>161</v>
      </c>
      <c r="L152" s="18" t="s">
        <v>51</v>
      </c>
      <c r="M152" s="18" t="s">
        <v>268</v>
      </c>
      <c r="N152" s="18" t="s">
        <v>35</v>
      </c>
      <c r="O152" s="18" t="s">
        <v>36</v>
      </c>
      <c r="P152" s="18" t="s">
        <v>28</v>
      </c>
      <c r="Q152" s="18"/>
      <c r="R152" s="32" t="s">
        <v>338</v>
      </c>
      <c r="S152" s="18" t="s">
        <v>245</v>
      </c>
      <c r="T152" s="18" t="s">
        <v>233</v>
      </c>
      <c r="U152" s="28">
        <v>45544</v>
      </c>
      <c r="V152" s="28">
        <v>45561</v>
      </c>
      <c r="W152" s="18">
        <f t="shared" ca="1" si="6"/>
        <v>-524</v>
      </c>
      <c r="X152" s="18" t="str">
        <f t="shared" ca="1" si="7"/>
        <v>Vencido</v>
      </c>
      <c r="Y152" s="18" t="s">
        <v>339</v>
      </c>
      <c r="Z152" s="18" t="s">
        <v>301</v>
      </c>
      <c r="AA152" s="7"/>
      <c r="AB152" s="7"/>
      <c r="AC152" s="7"/>
      <c r="AD152" s="7"/>
      <c r="AE152" s="7"/>
      <c r="AF152" s="7"/>
      <c r="AG152" s="7"/>
      <c r="AH152" s="7"/>
      <c r="AI152" s="7"/>
      <c r="AJ152" s="7"/>
      <c r="AK152" s="7"/>
      <c r="AL152" s="7"/>
      <c r="AM152" s="7"/>
      <c r="AN152" s="7"/>
      <c r="AO152" s="7"/>
    </row>
    <row r="153" spans="1:41" s="7" customFormat="1" ht="135" customHeight="1">
      <c r="A153" s="18"/>
      <c r="B153" s="19" t="s">
        <v>19</v>
      </c>
      <c r="C153" s="18" t="s">
        <v>340</v>
      </c>
      <c r="D153" s="18">
        <v>10404369</v>
      </c>
      <c r="E153" s="18">
        <v>0</v>
      </c>
      <c r="F153" s="18">
        <v>58</v>
      </c>
      <c r="G153" s="18" t="s">
        <v>22</v>
      </c>
      <c r="H153" s="18" t="s">
        <v>341</v>
      </c>
      <c r="I153" s="18">
        <v>2024</v>
      </c>
      <c r="J153" s="28">
        <v>45525</v>
      </c>
      <c r="K153" s="18" t="s">
        <v>161</v>
      </c>
      <c r="L153" s="18" t="s">
        <v>51</v>
      </c>
      <c r="M153" s="18" t="s">
        <v>268</v>
      </c>
      <c r="N153" s="18" t="s">
        <v>35</v>
      </c>
      <c r="O153" s="18" t="s">
        <v>36</v>
      </c>
      <c r="P153" s="18" t="s">
        <v>28</v>
      </c>
      <c r="Q153" s="18"/>
      <c r="R153" s="18" t="s">
        <v>342</v>
      </c>
      <c r="S153" s="18" t="s">
        <v>245</v>
      </c>
      <c r="T153" s="18" t="s">
        <v>233</v>
      </c>
      <c r="U153" s="28">
        <v>45544</v>
      </c>
      <c r="V153" s="28">
        <v>45569</v>
      </c>
      <c r="W153" s="18">
        <f t="shared" ref="W153:W158" ca="1" si="8">V153-TODAY()</f>
        <v>-516</v>
      </c>
      <c r="X153" s="18" t="str">
        <f t="shared" ref="X153:X158" ca="1" si="9">IF(W153&gt;=25,"Vigente",IF(AND(W153&gt;=1,W153&lt;=25),"Por Vencer","Vencido"))</f>
        <v>Vencido</v>
      </c>
      <c r="Y153" s="18" t="s">
        <v>343</v>
      </c>
      <c r="Z153" s="18" t="s">
        <v>301</v>
      </c>
    </row>
    <row r="154" spans="1:41" ht="137.25" customHeight="1">
      <c r="A154" s="18"/>
      <c r="B154" s="19" t="s">
        <v>19</v>
      </c>
      <c r="C154" s="18" t="s">
        <v>344</v>
      </c>
      <c r="D154" s="18">
        <v>7489169</v>
      </c>
      <c r="E154" s="18">
        <v>1</v>
      </c>
      <c r="F154" s="18">
        <v>69</v>
      </c>
      <c r="G154" s="18" t="s">
        <v>22</v>
      </c>
      <c r="H154" s="18" t="s">
        <v>345</v>
      </c>
      <c r="I154" s="18">
        <v>2024</v>
      </c>
      <c r="J154" s="28">
        <v>45532</v>
      </c>
      <c r="K154" s="18" t="s">
        <v>161</v>
      </c>
      <c r="L154" s="18" t="s">
        <v>51</v>
      </c>
      <c r="M154" s="18" t="s">
        <v>268</v>
      </c>
      <c r="N154" s="18" t="s">
        <v>35</v>
      </c>
      <c r="O154" s="18" t="s">
        <v>36</v>
      </c>
      <c r="P154" s="18" t="s">
        <v>28</v>
      </c>
      <c r="Q154" s="18"/>
      <c r="R154" s="18" t="s">
        <v>346</v>
      </c>
      <c r="S154" s="18" t="s">
        <v>245</v>
      </c>
      <c r="T154" s="18" t="s">
        <v>233</v>
      </c>
      <c r="U154" s="28">
        <v>45544</v>
      </c>
      <c r="V154" s="28">
        <v>45569</v>
      </c>
      <c r="W154" s="18">
        <f t="shared" ca="1" si="8"/>
        <v>-516</v>
      </c>
      <c r="X154" s="18" t="str">
        <f t="shared" ca="1" si="9"/>
        <v>Vencido</v>
      </c>
      <c r="Y154" s="18" t="s">
        <v>347</v>
      </c>
      <c r="Z154" s="18" t="s">
        <v>301</v>
      </c>
    </row>
    <row r="155" spans="1:41" s="7" customFormat="1" ht="141.75" customHeight="1">
      <c r="A155" s="18"/>
      <c r="B155" s="19" t="s">
        <v>19</v>
      </c>
      <c r="C155" s="18" t="s">
        <v>348</v>
      </c>
      <c r="D155" s="18">
        <v>7429865</v>
      </c>
      <c r="E155" s="18">
        <v>6</v>
      </c>
      <c r="F155" s="18">
        <v>67</v>
      </c>
      <c r="G155" s="18" t="s">
        <v>22</v>
      </c>
      <c r="H155" s="18" t="s">
        <v>349</v>
      </c>
      <c r="I155" s="18">
        <v>2024</v>
      </c>
      <c r="J155" s="18" t="s">
        <v>350</v>
      </c>
      <c r="K155" s="18" t="s">
        <v>161</v>
      </c>
      <c r="L155" s="18" t="s">
        <v>51</v>
      </c>
      <c r="M155" s="18" t="s">
        <v>268</v>
      </c>
      <c r="N155" s="18" t="s">
        <v>35</v>
      </c>
      <c r="O155" s="18" t="s">
        <v>36</v>
      </c>
      <c r="P155" s="18" t="s">
        <v>351</v>
      </c>
      <c r="Q155" s="18" t="s">
        <v>177</v>
      </c>
      <c r="R155" s="18" t="s">
        <v>30</v>
      </c>
      <c r="S155" s="18" t="s">
        <v>245</v>
      </c>
      <c r="T155" s="18" t="s">
        <v>233</v>
      </c>
      <c r="U155" s="28">
        <v>45534</v>
      </c>
      <c r="V155" s="28">
        <v>45565</v>
      </c>
      <c r="W155" s="18">
        <f t="shared" ca="1" si="8"/>
        <v>-520</v>
      </c>
      <c r="X155" s="18" t="str">
        <f t="shared" ca="1" si="9"/>
        <v>Vencido</v>
      </c>
      <c r="Y155" s="18" t="s">
        <v>352</v>
      </c>
      <c r="Z155" s="18" t="s">
        <v>236</v>
      </c>
    </row>
    <row r="156" spans="1:41" ht="114" customHeight="1">
      <c r="A156" s="18"/>
      <c r="B156" s="23" t="s">
        <v>19</v>
      </c>
      <c r="C156" s="18" t="s">
        <v>353</v>
      </c>
      <c r="D156" s="18">
        <v>5674657</v>
      </c>
      <c r="E156" s="18">
        <v>9</v>
      </c>
      <c r="F156" s="18">
        <v>77</v>
      </c>
      <c r="G156" s="18" t="s">
        <v>77</v>
      </c>
      <c r="H156" s="18" t="s">
        <v>337</v>
      </c>
      <c r="I156" s="18">
        <v>2024</v>
      </c>
      <c r="J156" s="28">
        <v>45429</v>
      </c>
      <c r="K156" s="18" t="s">
        <v>161</v>
      </c>
      <c r="L156" s="18" t="s">
        <v>51</v>
      </c>
      <c r="M156" s="18" t="s">
        <v>268</v>
      </c>
      <c r="N156" s="18" t="s">
        <v>35</v>
      </c>
      <c r="O156" s="18" t="s">
        <v>36</v>
      </c>
      <c r="P156" s="18" t="s">
        <v>28</v>
      </c>
      <c r="Q156" s="18"/>
      <c r="R156" s="32" t="s">
        <v>354</v>
      </c>
      <c r="S156" s="18" t="s">
        <v>245</v>
      </c>
      <c r="T156" s="18" t="s">
        <v>233</v>
      </c>
      <c r="U156" s="28">
        <v>45562</v>
      </c>
      <c r="V156" s="28">
        <v>45592</v>
      </c>
      <c r="W156" s="18">
        <f t="shared" ca="1" si="8"/>
        <v>-493</v>
      </c>
      <c r="X156" s="18" t="str">
        <f t="shared" ca="1" si="9"/>
        <v>Vencido</v>
      </c>
      <c r="Y156" s="18" t="s">
        <v>355</v>
      </c>
      <c r="Z156" s="18" t="s">
        <v>356</v>
      </c>
    </row>
    <row r="157" spans="1:41" s="9" customFormat="1" ht="132.75" customHeight="1">
      <c r="A157" s="15">
        <v>13</v>
      </c>
      <c r="B157" s="16" t="s">
        <v>19</v>
      </c>
      <c r="C157" s="22" t="s">
        <v>357</v>
      </c>
      <c r="D157" s="22">
        <v>5306099</v>
      </c>
      <c r="E157" s="22">
        <v>4</v>
      </c>
      <c r="F157" s="22">
        <v>80</v>
      </c>
      <c r="G157" s="22" t="s">
        <v>22</v>
      </c>
      <c r="H157" s="22" t="s">
        <v>198</v>
      </c>
      <c r="I157" s="22">
        <v>2021</v>
      </c>
      <c r="J157" s="22" t="s">
        <v>41</v>
      </c>
      <c r="K157" s="22" t="s">
        <v>161</v>
      </c>
      <c r="L157" s="22" t="s">
        <v>91</v>
      </c>
      <c r="M157" s="22" t="s">
        <v>34</v>
      </c>
      <c r="N157" s="22" t="s">
        <v>35</v>
      </c>
      <c r="O157" s="22" t="s">
        <v>36</v>
      </c>
      <c r="P157" s="22" t="s">
        <v>169</v>
      </c>
      <c r="Q157" s="22"/>
      <c r="R157" s="123" t="s">
        <v>358</v>
      </c>
      <c r="S157" s="22" t="s">
        <v>245</v>
      </c>
      <c r="T157" s="22" t="s">
        <v>233</v>
      </c>
      <c r="U157" s="29">
        <v>45547</v>
      </c>
      <c r="V157" s="29">
        <v>45576</v>
      </c>
      <c r="W157" s="22">
        <f t="shared" ca="1" si="8"/>
        <v>-509</v>
      </c>
      <c r="X157" s="17" t="str">
        <f t="shared" ca="1" si="9"/>
        <v>Vencido</v>
      </c>
      <c r="Y157" s="18" t="s">
        <v>359</v>
      </c>
      <c r="Z157" s="18" t="s">
        <v>356</v>
      </c>
      <c r="AA157" s="7"/>
      <c r="AB157" s="7"/>
      <c r="AC157" s="7"/>
      <c r="AD157" s="7"/>
      <c r="AE157" s="7"/>
      <c r="AF157" s="7"/>
      <c r="AG157" s="7"/>
      <c r="AH157" s="7"/>
      <c r="AI157" s="7"/>
      <c r="AJ157" s="7"/>
      <c r="AK157" s="7"/>
      <c r="AL157" s="7"/>
      <c r="AM157" s="7"/>
      <c r="AN157" s="7"/>
      <c r="AO157" s="7"/>
    </row>
    <row r="158" spans="1:41" s="7" customFormat="1" ht="118.5" customHeight="1">
      <c r="A158" s="15">
        <v>32</v>
      </c>
      <c r="B158" s="16" t="s">
        <v>19</v>
      </c>
      <c r="C158" s="22" t="s">
        <v>360</v>
      </c>
      <c r="D158" s="22">
        <v>20307883</v>
      </c>
      <c r="E158" s="22">
        <v>8</v>
      </c>
      <c r="F158" s="22">
        <v>24</v>
      </c>
      <c r="G158" s="22" t="s">
        <v>22</v>
      </c>
      <c r="H158" s="22" t="s">
        <v>361</v>
      </c>
      <c r="I158" s="22" t="s">
        <v>40</v>
      </c>
      <c r="J158" s="22" t="s">
        <v>41</v>
      </c>
      <c r="K158" s="22" t="s">
        <v>161</v>
      </c>
      <c r="L158" s="22" t="s">
        <v>91</v>
      </c>
      <c r="M158" s="22" t="s">
        <v>34</v>
      </c>
      <c r="N158" s="22" t="s">
        <v>35</v>
      </c>
      <c r="O158" s="22" t="s">
        <v>36</v>
      </c>
      <c r="P158" s="22" t="s">
        <v>28</v>
      </c>
      <c r="Q158" s="22"/>
      <c r="R158" s="171" t="s">
        <v>362</v>
      </c>
      <c r="S158" s="22" t="s">
        <v>245</v>
      </c>
      <c r="T158" s="22" t="s">
        <v>233</v>
      </c>
      <c r="U158" s="29">
        <v>45478</v>
      </c>
      <c r="V158" s="29">
        <v>45579</v>
      </c>
      <c r="W158" s="22">
        <f t="shared" ca="1" si="8"/>
        <v>-506</v>
      </c>
      <c r="X158" s="17" t="str">
        <f t="shared" ca="1" si="9"/>
        <v>Vencido</v>
      </c>
      <c r="Y158" s="18" t="s">
        <v>363</v>
      </c>
      <c r="Z158" s="18" t="s">
        <v>356</v>
      </c>
    </row>
    <row r="159" spans="1:41" ht="114.75" customHeight="1">
      <c r="A159" s="18"/>
      <c r="B159" s="19" t="s">
        <v>19</v>
      </c>
      <c r="C159" s="18" t="s">
        <v>364</v>
      </c>
      <c r="D159" s="18">
        <v>6218316</v>
      </c>
      <c r="E159" s="18">
        <v>0</v>
      </c>
      <c r="F159" s="18">
        <v>73</v>
      </c>
      <c r="G159" s="18" t="s">
        <v>22</v>
      </c>
      <c r="H159" s="18" t="s">
        <v>332</v>
      </c>
      <c r="I159" s="18">
        <v>2024</v>
      </c>
      <c r="J159" s="18" t="s">
        <v>41</v>
      </c>
      <c r="K159" s="18" t="s">
        <v>161</v>
      </c>
      <c r="L159" s="18" t="s">
        <v>51</v>
      </c>
      <c r="M159" s="18" t="s">
        <v>34</v>
      </c>
      <c r="N159" s="18" t="s">
        <v>35</v>
      </c>
      <c r="O159" s="18" t="s">
        <v>36</v>
      </c>
      <c r="P159" s="18" t="s">
        <v>28</v>
      </c>
      <c r="Q159" s="18"/>
      <c r="R159" s="32" t="s">
        <v>365</v>
      </c>
      <c r="S159" s="18" t="s">
        <v>245</v>
      </c>
      <c r="T159" s="18" t="s">
        <v>233</v>
      </c>
      <c r="U159" s="28">
        <v>45581</v>
      </c>
      <c r="V159" s="28">
        <v>45673</v>
      </c>
      <c r="W159" s="22">
        <f t="shared" ref="W159:W164" ca="1" si="10">V159-TODAY()</f>
        <v>-412</v>
      </c>
      <c r="X159" s="17" t="str">
        <f t="shared" ref="X159:X164" ca="1" si="11">IF(W159&gt;=25,"Vigente",IF(AND(W159&gt;=1,W159&lt;=25),"Por Vencer","Vencido"))</f>
        <v>Vencido</v>
      </c>
      <c r="Y159" s="18" t="s">
        <v>366</v>
      </c>
      <c r="Z159" s="18" t="s">
        <v>367</v>
      </c>
    </row>
    <row r="160" spans="1:41" s="9" customFormat="1" ht="134.25" customHeight="1">
      <c r="A160" s="15">
        <v>16</v>
      </c>
      <c r="B160" s="19" t="s">
        <v>19</v>
      </c>
      <c r="C160" s="18" t="s">
        <v>368</v>
      </c>
      <c r="D160" s="18">
        <v>3995060</v>
      </c>
      <c r="E160" s="18" t="s">
        <v>68</v>
      </c>
      <c r="F160" s="18">
        <v>82</v>
      </c>
      <c r="G160" s="18" t="s">
        <v>22</v>
      </c>
      <c r="H160" s="18" t="s">
        <v>260</v>
      </c>
      <c r="I160" s="18">
        <v>2024</v>
      </c>
      <c r="J160" s="100">
        <v>45474</v>
      </c>
      <c r="K160" s="18" t="s">
        <v>266</v>
      </c>
      <c r="L160" s="18" t="s">
        <v>267</v>
      </c>
      <c r="M160" s="18" t="s">
        <v>268</v>
      </c>
      <c r="N160" s="18" t="s">
        <v>35</v>
      </c>
      <c r="O160" s="18" t="s">
        <v>82</v>
      </c>
      <c r="P160" s="18" t="s">
        <v>28</v>
      </c>
      <c r="Q160" s="18"/>
      <c r="R160" s="32" t="s">
        <v>369</v>
      </c>
      <c r="S160" s="18" t="s">
        <v>370</v>
      </c>
      <c r="T160" s="18" t="s">
        <v>233</v>
      </c>
      <c r="U160" s="28">
        <v>45583</v>
      </c>
      <c r="V160" s="28">
        <v>45586</v>
      </c>
      <c r="W160" s="18">
        <f t="shared" ca="1" si="10"/>
        <v>-499</v>
      </c>
      <c r="X160" s="18" t="str">
        <f t="shared" ca="1" si="11"/>
        <v>Vencido</v>
      </c>
      <c r="Y160" s="18" t="s">
        <v>371</v>
      </c>
      <c r="Z160" s="18" t="s">
        <v>356</v>
      </c>
      <c r="AA160" s="7"/>
      <c r="AB160" s="7"/>
      <c r="AC160" s="7"/>
      <c r="AD160" s="7"/>
      <c r="AE160" s="7"/>
      <c r="AF160" s="7"/>
      <c r="AG160" s="7"/>
      <c r="AH160" s="7"/>
      <c r="AI160" s="7"/>
      <c r="AJ160" s="7"/>
      <c r="AK160" s="7"/>
      <c r="AL160" s="7"/>
      <c r="AM160" s="7"/>
      <c r="AN160" s="7"/>
      <c r="AO160" s="7"/>
    </row>
    <row r="161" spans="1:41" s="7" customFormat="1" ht="142.5" customHeight="1">
      <c r="A161" s="15">
        <v>2</v>
      </c>
      <c r="B161" s="21" t="s">
        <v>19</v>
      </c>
      <c r="C161" s="22" t="s">
        <v>372</v>
      </c>
      <c r="D161" s="22">
        <v>9082508</v>
      </c>
      <c r="E161" s="22">
        <v>9</v>
      </c>
      <c r="F161" s="22">
        <v>64</v>
      </c>
      <c r="G161" s="22" t="s">
        <v>86</v>
      </c>
      <c r="H161" s="22" t="s">
        <v>23</v>
      </c>
      <c r="I161" s="22" t="s">
        <v>40</v>
      </c>
      <c r="J161" s="22" t="s">
        <v>41</v>
      </c>
      <c r="K161" s="22" t="s">
        <v>161</v>
      </c>
      <c r="L161" s="22" t="s">
        <v>91</v>
      </c>
      <c r="M161" s="22" t="s">
        <v>34</v>
      </c>
      <c r="N161" s="22" t="s">
        <v>35</v>
      </c>
      <c r="O161" s="22" t="s">
        <v>36</v>
      </c>
      <c r="P161" s="22" t="s">
        <v>28</v>
      </c>
      <c r="Q161" s="22" t="s">
        <v>184</v>
      </c>
      <c r="R161" s="171" t="s">
        <v>373</v>
      </c>
      <c r="S161" s="22" t="s">
        <v>245</v>
      </c>
      <c r="T161" s="22" t="s">
        <v>296</v>
      </c>
      <c r="U161" s="29">
        <v>45538</v>
      </c>
      <c r="V161" s="29">
        <v>45583</v>
      </c>
      <c r="W161" s="22">
        <f t="shared" ca="1" si="10"/>
        <v>-502</v>
      </c>
      <c r="X161" s="17" t="str">
        <f t="shared" ca="1" si="11"/>
        <v>Vencido</v>
      </c>
      <c r="Y161" s="18" t="s">
        <v>374</v>
      </c>
      <c r="Z161" s="18" t="s">
        <v>356</v>
      </c>
    </row>
    <row r="162" spans="1:41" s="7" customFormat="1" ht="140.25" customHeight="1">
      <c r="A162" s="15">
        <v>5</v>
      </c>
      <c r="B162" s="19" t="s">
        <v>19</v>
      </c>
      <c r="C162" s="18" t="s">
        <v>375</v>
      </c>
      <c r="D162" s="18">
        <v>9550734</v>
      </c>
      <c r="E162" s="18">
        <v>4</v>
      </c>
      <c r="F162" s="18">
        <v>61</v>
      </c>
      <c r="G162" s="18" t="s">
        <v>22</v>
      </c>
      <c r="H162" s="18" t="s">
        <v>376</v>
      </c>
      <c r="I162" s="18">
        <v>2024</v>
      </c>
      <c r="J162" s="28">
        <v>45348</v>
      </c>
      <c r="K162" s="18" t="s">
        <v>161</v>
      </c>
      <c r="L162" s="18" t="s">
        <v>51</v>
      </c>
      <c r="M162" s="18" t="s">
        <v>34</v>
      </c>
      <c r="N162" s="18" t="s">
        <v>35</v>
      </c>
      <c r="O162" s="18" t="s">
        <v>82</v>
      </c>
      <c r="P162" s="18" t="s">
        <v>28</v>
      </c>
      <c r="Q162" s="18"/>
      <c r="R162" s="32" t="s">
        <v>377</v>
      </c>
      <c r="S162" s="18" t="s">
        <v>245</v>
      </c>
      <c r="T162" s="18" t="s">
        <v>378</v>
      </c>
      <c r="U162" s="28">
        <v>45565</v>
      </c>
      <c r="V162" s="28">
        <v>45588</v>
      </c>
      <c r="W162" s="18">
        <f t="shared" ca="1" si="10"/>
        <v>-497</v>
      </c>
      <c r="X162" s="18" t="str">
        <f t="shared" ca="1" si="11"/>
        <v>Vencido</v>
      </c>
      <c r="Y162" s="18" t="s">
        <v>379</v>
      </c>
      <c r="Z162" s="18" t="s">
        <v>356</v>
      </c>
    </row>
    <row r="163" spans="1:41" s="9" customFormat="1" ht="134.25" customHeight="1">
      <c r="A163" s="18"/>
      <c r="B163" s="23" t="s">
        <v>19</v>
      </c>
      <c r="C163" s="18" t="s">
        <v>380</v>
      </c>
      <c r="D163" s="18">
        <v>10223883</v>
      </c>
      <c r="E163" s="18">
        <v>4</v>
      </c>
      <c r="F163" s="18">
        <v>56</v>
      </c>
      <c r="G163" s="18" t="s">
        <v>115</v>
      </c>
      <c r="H163" s="18" t="s">
        <v>381</v>
      </c>
      <c r="I163" s="18">
        <v>2024</v>
      </c>
      <c r="J163" s="18" t="s">
        <v>382</v>
      </c>
      <c r="K163" s="18" t="s">
        <v>161</v>
      </c>
      <c r="L163" s="18" t="s">
        <v>51</v>
      </c>
      <c r="M163" s="28">
        <v>45581</v>
      </c>
      <c r="N163" s="18" t="s">
        <v>383</v>
      </c>
      <c r="O163" s="18" t="s">
        <v>36</v>
      </c>
      <c r="P163" s="18" t="s">
        <v>28</v>
      </c>
      <c r="Q163" s="18"/>
      <c r="R163" s="32" t="s">
        <v>384</v>
      </c>
      <c r="S163" s="18" t="s">
        <v>245</v>
      </c>
      <c r="T163" s="18" t="s">
        <v>233</v>
      </c>
      <c r="U163" s="28">
        <v>45581</v>
      </c>
      <c r="V163" s="28">
        <v>45586</v>
      </c>
      <c r="W163" s="18">
        <f t="shared" ca="1" si="10"/>
        <v>-499</v>
      </c>
      <c r="X163" s="18" t="str">
        <f t="shared" ca="1" si="11"/>
        <v>Vencido</v>
      </c>
      <c r="Y163" s="18" t="s">
        <v>385</v>
      </c>
      <c r="Z163" s="18" t="s">
        <v>356</v>
      </c>
      <c r="AA163" s="7"/>
      <c r="AB163" s="7"/>
      <c r="AC163" s="7"/>
      <c r="AD163" s="7"/>
      <c r="AE163" s="7"/>
      <c r="AF163" s="7"/>
      <c r="AG163" s="7"/>
      <c r="AH163" s="7"/>
      <c r="AI163" s="7"/>
      <c r="AJ163" s="7"/>
      <c r="AK163" s="7"/>
      <c r="AL163" s="7"/>
      <c r="AM163" s="7"/>
      <c r="AN163" s="7"/>
      <c r="AO163" s="7"/>
    </row>
    <row r="164" spans="1:41" ht="93.75" customHeight="1">
      <c r="A164" s="18"/>
      <c r="B164" s="23" t="s">
        <v>19</v>
      </c>
      <c r="C164" s="18" t="s">
        <v>386</v>
      </c>
      <c r="D164" s="18">
        <v>5888540</v>
      </c>
      <c r="E164" s="18">
        <v>1</v>
      </c>
      <c r="F164" s="18">
        <v>75</v>
      </c>
      <c r="G164" s="18" t="s">
        <v>77</v>
      </c>
      <c r="H164" s="18" t="s">
        <v>312</v>
      </c>
      <c r="I164" s="18">
        <v>2024</v>
      </c>
      <c r="J164" s="28">
        <v>45531</v>
      </c>
      <c r="K164" s="18" t="s">
        <v>161</v>
      </c>
      <c r="L164" s="18" t="s">
        <v>387</v>
      </c>
      <c r="M164" s="28">
        <v>45574</v>
      </c>
      <c r="N164" s="18" t="s">
        <v>388</v>
      </c>
      <c r="O164" s="18" t="s">
        <v>36</v>
      </c>
      <c r="P164" s="18" t="s">
        <v>28</v>
      </c>
      <c r="Q164" s="18"/>
      <c r="R164" s="18" t="s">
        <v>30</v>
      </c>
      <c r="S164" s="18" t="s">
        <v>245</v>
      </c>
      <c r="T164" s="18" t="s">
        <v>233</v>
      </c>
      <c r="U164" s="28">
        <v>45574</v>
      </c>
      <c r="V164" s="28">
        <v>45605</v>
      </c>
      <c r="W164" s="22">
        <f t="shared" ca="1" si="10"/>
        <v>-480</v>
      </c>
      <c r="X164" s="17" t="str">
        <f t="shared" ca="1" si="11"/>
        <v>Vencido</v>
      </c>
      <c r="Y164" s="18" t="s">
        <v>389</v>
      </c>
      <c r="Z164" s="18" t="s">
        <v>356</v>
      </c>
    </row>
    <row r="165" spans="1:41" ht="120" customHeight="1">
      <c r="A165" s="15">
        <v>30</v>
      </c>
      <c r="B165" s="16" t="s">
        <v>19</v>
      </c>
      <c r="C165" s="22" t="s">
        <v>390</v>
      </c>
      <c r="D165" s="22">
        <v>4504466</v>
      </c>
      <c r="E165" s="22">
        <v>1</v>
      </c>
      <c r="F165" s="22">
        <v>84</v>
      </c>
      <c r="G165" s="22" t="s">
        <v>22</v>
      </c>
      <c r="H165" s="22" t="s">
        <v>23</v>
      </c>
      <c r="I165" s="22" t="s">
        <v>391</v>
      </c>
      <c r="J165" s="22" t="s">
        <v>41</v>
      </c>
      <c r="K165" s="22" t="s">
        <v>24</v>
      </c>
      <c r="L165" s="22" t="s">
        <v>213</v>
      </c>
      <c r="M165" s="29">
        <v>45546</v>
      </c>
      <c r="N165" s="22" t="s">
        <v>392</v>
      </c>
      <c r="O165" s="22" t="s">
        <v>27</v>
      </c>
      <c r="P165" s="22" t="s">
        <v>28</v>
      </c>
      <c r="Q165" s="22"/>
      <c r="R165" s="161" t="s">
        <v>393</v>
      </c>
      <c r="S165" s="22" t="s">
        <v>245</v>
      </c>
      <c r="T165" s="22" t="s">
        <v>233</v>
      </c>
      <c r="U165" s="29">
        <v>45593</v>
      </c>
      <c r="V165" s="29">
        <v>45602</v>
      </c>
      <c r="W165" s="22">
        <f t="shared" ref="W165:W170" ca="1" si="12">V165-TODAY()</f>
        <v>-483</v>
      </c>
      <c r="X165" s="17" t="str">
        <f t="shared" ref="X165:X170" ca="1" si="13">IF(W165&gt;=25,"Vigente",IF(AND(W165&gt;=1,W165&lt;=25),"Por Vencer","Vencido"))</f>
        <v>Vencido</v>
      </c>
      <c r="Y165" s="18" t="s">
        <v>394</v>
      </c>
      <c r="Z165" s="18" t="s">
        <v>356</v>
      </c>
    </row>
    <row r="166" spans="1:41" s="7" customFormat="1" ht="132" customHeight="1">
      <c r="A166" s="15">
        <v>1</v>
      </c>
      <c r="B166" s="16" t="s">
        <v>19</v>
      </c>
      <c r="C166" s="22" t="s">
        <v>395</v>
      </c>
      <c r="D166" s="22">
        <v>5449187</v>
      </c>
      <c r="E166" s="22">
        <v>5</v>
      </c>
      <c r="F166" s="22">
        <v>83</v>
      </c>
      <c r="G166" s="22" t="s">
        <v>22</v>
      </c>
      <c r="H166" s="22" t="s">
        <v>23</v>
      </c>
      <c r="I166" s="22">
        <v>2024</v>
      </c>
      <c r="J166" s="22" t="s">
        <v>41</v>
      </c>
      <c r="K166" s="22" t="s">
        <v>24</v>
      </c>
      <c r="L166" s="26" t="s">
        <v>182</v>
      </c>
      <c r="M166" s="29">
        <v>45546</v>
      </c>
      <c r="N166" s="22" t="s">
        <v>392</v>
      </c>
      <c r="O166" s="22" t="s">
        <v>36</v>
      </c>
      <c r="P166" s="22" t="s">
        <v>169</v>
      </c>
      <c r="Q166" s="22"/>
      <c r="R166" s="161" t="s">
        <v>396</v>
      </c>
      <c r="S166" s="22" t="s">
        <v>245</v>
      </c>
      <c r="T166" s="22" t="s">
        <v>296</v>
      </c>
      <c r="U166" s="29">
        <v>45601</v>
      </c>
      <c r="V166" s="29">
        <v>45662</v>
      </c>
      <c r="W166" s="22">
        <f t="shared" ca="1" si="12"/>
        <v>-423</v>
      </c>
      <c r="X166" s="17" t="str">
        <f t="shared" ca="1" si="13"/>
        <v>Vencido</v>
      </c>
      <c r="Y166" s="18" t="s">
        <v>397</v>
      </c>
      <c r="Z166" s="18" t="s">
        <v>398</v>
      </c>
    </row>
    <row r="167" spans="1:41" ht="93.75" customHeight="1">
      <c r="A167" s="15">
        <v>57</v>
      </c>
      <c r="B167" s="16" t="s">
        <v>19</v>
      </c>
      <c r="C167" s="22" t="s">
        <v>399</v>
      </c>
      <c r="D167" s="22">
        <v>7403499</v>
      </c>
      <c r="E167" s="22">
        <v>3</v>
      </c>
      <c r="F167" s="22">
        <v>71</v>
      </c>
      <c r="G167" s="22" t="s">
        <v>22</v>
      </c>
      <c r="H167" s="22" t="s">
        <v>400</v>
      </c>
      <c r="I167" s="22" t="s">
        <v>40</v>
      </c>
      <c r="J167" s="22" t="s">
        <v>41</v>
      </c>
      <c r="K167" s="22" t="s">
        <v>161</v>
      </c>
      <c r="L167" s="22" t="s">
        <v>91</v>
      </c>
      <c r="M167" s="22" t="s">
        <v>34</v>
      </c>
      <c r="N167" s="22" t="s">
        <v>35</v>
      </c>
      <c r="O167" s="22" t="s">
        <v>36</v>
      </c>
      <c r="P167" s="22" t="s">
        <v>28</v>
      </c>
      <c r="Q167" s="22"/>
      <c r="R167" s="161" t="s">
        <v>401</v>
      </c>
      <c r="S167" s="22" t="s">
        <v>245</v>
      </c>
      <c r="T167" s="22" t="s">
        <v>233</v>
      </c>
      <c r="U167" s="29">
        <v>45575</v>
      </c>
      <c r="V167" s="29">
        <v>45611</v>
      </c>
      <c r="W167" s="22">
        <f t="shared" ca="1" si="12"/>
        <v>-474</v>
      </c>
      <c r="X167" s="17" t="str">
        <f t="shared" ca="1" si="13"/>
        <v>Vencido</v>
      </c>
      <c r="Y167" s="18" t="s">
        <v>402</v>
      </c>
      <c r="Z167" s="18" t="s">
        <v>398</v>
      </c>
    </row>
    <row r="168" spans="1:41" ht="124.5" customHeight="1">
      <c r="A168" s="15">
        <v>42</v>
      </c>
      <c r="B168" s="16" t="s">
        <v>19</v>
      </c>
      <c r="C168" s="22" t="s">
        <v>403</v>
      </c>
      <c r="D168" s="26">
        <v>10188092</v>
      </c>
      <c r="E168" s="22">
        <v>3</v>
      </c>
      <c r="F168" s="22">
        <v>59</v>
      </c>
      <c r="G168" s="22" t="s">
        <v>22</v>
      </c>
      <c r="H168" s="22" t="s">
        <v>23</v>
      </c>
      <c r="I168" s="22">
        <v>2024</v>
      </c>
      <c r="J168" s="22" t="s">
        <v>41</v>
      </c>
      <c r="K168" s="22" t="s">
        <v>24</v>
      </c>
      <c r="L168" s="26" t="s">
        <v>167</v>
      </c>
      <c r="M168" s="29">
        <v>45434</v>
      </c>
      <c r="N168" s="22" t="s">
        <v>404</v>
      </c>
      <c r="O168" s="22" t="s">
        <v>36</v>
      </c>
      <c r="P168" s="22" t="s">
        <v>169</v>
      </c>
      <c r="Q168" s="22"/>
      <c r="R168" s="26" t="s">
        <v>405</v>
      </c>
      <c r="S168" s="22" t="s">
        <v>285</v>
      </c>
      <c r="T168" s="22" t="s">
        <v>233</v>
      </c>
      <c r="U168" s="29">
        <v>45532</v>
      </c>
      <c r="V168" s="29">
        <v>45611</v>
      </c>
      <c r="W168" s="22">
        <f t="shared" ca="1" si="12"/>
        <v>-474</v>
      </c>
      <c r="X168" s="17" t="str">
        <f t="shared" ca="1" si="13"/>
        <v>Vencido</v>
      </c>
      <c r="Y168" s="18" t="s">
        <v>406</v>
      </c>
      <c r="Z168" s="18" t="s">
        <v>398</v>
      </c>
    </row>
    <row r="169" spans="1:41" s="7" customFormat="1" ht="126" customHeight="1">
      <c r="A169" s="15">
        <v>28</v>
      </c>
      <c r="B169" s="16" t="s">
        <v>19</v>
      </c>
      <c r="C169" s="22" t="s">
        <v>407</v>
      </c>
      <c r="D169" s="22">
        <v>4310406</v>
      </c>
      <c r="E169" s="22">
        <v>3</v>
      </c>
      <c r="F169" s="22">
        <v>85</v>
      </c>
      <c r="G169" s="22" t="s">
        <v>22</v>
      </c>
      <c r="H169" s="22" t="s">
        <v>23</v>
      </c>
      <c r="I169" s="22">
        <v>2023</v>
      </c>
      <c r="J169" s="22" t="s">
        <v>41</v>
      </c>
      <c r="K169" s="22" t="s">
        <v>24</v>
      </c>
      <c r="L169" s="22" t="s">
        <v>213</v>
      </c>
      <c r="M169" s="29">
        <v>44854</v>
      </c>
      <c r="N169" s="22" t="s">
        <v>199</v>
      </c>
      <c r="O169" s="22" t="s">
        <v>27</v>
      </c>
      <c r="P169" s="22" t="s">
        <v>28</v>
      </c>
      <c r="Q169" s="22"/>
      <c r="R169" s="123" t="s">
        <v>408</v>
      </c>
      <c r="S169" s="22" t="s">
        <v>245</v>
      </c>
      <c r="T169" s="22" t="s">
        <v>233</v>
      </c>
      <c r="U169" s="29">
        <v>45559</v>
      </c>
      <c r="V169" s="29">
        <v>45614</v>
      </c>
      <c r="W169" s="22">
        <f t="shared" ca="1" si="12"/>
        <v>-471</v>
      </c>
      <c r="X169" s="17" t="str">
        <f t="shared" ca="1" si="13"/>
        <v>Vencido</v>
      </c>
      <c r="Y169" s="18" t="s">
        <v>409</v>
      </c>
      <c r="Z169" s="18" t="s">
        <v>301</v>
      </c>
    </row>
    <row r="170" spans="1:41" ht="112.5" customHeight="1">
      <c r="A170" s="18"/>
      <c r="B170" s="18" t="s">
        <v>19</v>
      </c>
      <c r="C170" s="18" t="s">
        <v>410</v>
      </c>
      <c r="D170" s="18">
        <v>7882022</v>
      </c>
      <c r="E170" s="18">
        <v>5</v>
      </c>
      <c r="F170" s="18">
        <v>70</v>
      </c>
      <c r="G170" s="18" t="s">
        <v>77</v>
      </c>
      <c r="H170" s="18" t="s">
        <v>332</v>
      </c>
      <c r="I170" s="18">
        <v>2024</v>
      </c>
      <c r="J170" s="18" t="s">
        <v>41</v>
      </c>
      <c r="K170" s="18" t="s">
        <v>266</v>
      </c>
      <c r="L170" s="18" t="s">
        <v>51</v>
      </c>
      <c r="M170" s="18" t="s">
        <v>268</v>
      </c>
      <c r="N170" s="18" t="s">
        <v>35</v>
      </c>
      <c r="O170" s="18" t="s">
        <v>36</v>
      </c>
      <c r="P170" s="18" t="s">
        <v>28</v>
      </c>
      <c r="Q170" s="18"/>
      <c r="R170" s="18" t="s">
        <v>411</v>
      </c>
      <c r="S170" s="18" t="s">
        <v>245</v>
      </c>
      <c r="T170" s="18" t="s">
        <v>233</v>
      </c>
      <c r="U170" s="28">
        <v>45573</v>
      </c>
      <c r="V170" s="28">
        <v>45621</v>
      </c>
      <c r="W170" s="22">
        <f t="shared" ca="1" si="12"/>
        <v>-464</v>
      </c>
      <c r="X170" s="17" t="str">
        <f t="shared" ca="1" si="13"/>
        <v>Vencido</v>
      </c>
      <c r="Y170" s="18" t="s">
        <v>412</v>
      </c>
      <c r="Z170" s="18" t="s">
        <v>398</v>
      </c>
    </row>
    <row r="171" spans="1:41" s="7" customFormat="1" ht="123" customHeight="1">
      <c r="A171" s="15">
        <v>27</v>
      </c>
      <c r="B171" s="21" t="s">
        <v>19</v>
      </c>
      <c r="C171" s="22" t="s">
        <v>413</v>
      </c>
      <c r="D171" s="22">
        <v>5444441</v>
      </c>
      <c r="E171" s="22">
        <v>9</v>
      </c>
      <c r="F171" s="22">
        <v>78</v>
      </c>
      <c r="G171" s="22" t="s">
        <v>86</v>
      </c>
      <c r="H171" s="22" t="s">
        <v>23</v>
      </c>
      <c r="I171" s="22">
        <v>2022</v>
      </c>
      <c r="J171" s="22" t="s">
        <v>41</v>
      </c>
      <c r="K171" s="22" t="s">
        <v>161</v>
      </c>
      <c r="L171" s="22" t="s">
        <v>91</v>
      </c>
      <c r="M171" s="22" t="s">
        <v>34</v>
      </c>
      <c r="N171" s="22" t="s">
        <v>35</v>
      </c>
      <c r="O171" s="22" t="s">
        <v>36</v>
      </c>
      <c r="P171" s="22" t="s">
        <v>28</v>
      </c>
      <c r="Q171" s="22"/>
      <c r="R171" s="171" t="s">
        <v>414</v>
      </c>
      <c r="S171" s="22" t="s">
        <v>285</v>
      </c>
      <c r="T171" s="22" t="s">
        <v>233</v>
      </c>
      <c r="U171" s="29">
        <v>45152</v>
      </c>
      <c r="V171" s="29">
        <v>45623</v>
      </c>
      <c r="W171" s="22">
        <f t="shared" ref="W171:W176" ca="1" si="14">V171-TODAY()</f>
        <v>-462</v>
      </c>
      <c r="X171" s="17" t="str">
        <f t="shared" ref="X171:X176" ca="1" si="15">IF(W171&gt;=25,"Vigente",IF(AND(W171&gt;=1,W171&lt;=25),"Por Vencer","Vencido"))</f>
        <v>Vencido</v>
      </c>
      <c r="Y171" s="18" t="s">
        <v>415</v>
      </c>
      <c r="Z171" s="18" t="s">
        <v>398</v>
      </c>
    </row>
    <row r="172" spans="1:41" ht="116.25" customHeight="1">
      <c r="A172" s="15">
        <v>49</v>
      </c>
      <c r="B172" s="16" t="s">
        <v>19</v>
      </c>
      <c r="C172" s="22" t="s">
        <v>416</v>
      </c>
      <c r="D172" s="22">
        <v>6604830</v>
      </c>
      <c r="E172" s="22">
        <v>6</v>
      </c>
      <c r="F172" s="22">
        <v>71</v>
      </c>
      <c r="G172" s="22" t="s">
        <v>22</v>
      </c>
      <c r="H172" s="22" t="s">
        <v>23</v>
      </c>
      <c r="I172" s="22">
        <v>2023</v>
      </c>
      <c r="J172" s="29">
        <v>45330</v>
      </c>
      <c r="K172" s="22" t="s">
        <v>24</v>
      </c>
      <c r="L172" s="26" t="s">
        <v>47</v>
      </c>
      <c r="M172" s="29">
        <v>45336</v>
      </c>
      <c r="N172" s="22" t="s">
        <v>176</v>
      </c>
      <c r="O172" s="22" t="s">
        <v>36</v>
      </c>
      <c r="P172" s="22" t="s">
        <v>169</v>
      </c>
      <c r="Q172" s="22"/>
      <c r="R172" s="26" t="s">
        <v>256</v>
      </c>
      <c r="S172" s="22" t="s">
        <v>370</v>
      </c>
      <c r="T172" s="22" t="s">
        <v>233</v>
      </c>
      <c r="U172" s="29">
        <v>45586</v>
      </c>
      <c r="V172" s="29">
        <v>45647</v>
      </c>
      <c r="W172" s="22">
        <f t="shared" ca="1" si="14"/>
        <v>-438</v>
      </c>
      <c r="X172" s="17" t="str">
        <f t="shared" ca="1" si="15"/>
        <v>Vencido</v>
      </c>
      <c r="Y172" s="18" t="s">
        <v>417</v>
      </c>
      <c r="Z172" s="18" t="s">
        <v>398</v>
      </c>
    </row>
    <row r="173" spans="1:41" ht="109.5" customHeight="1">
      <c r="A173" s="18"/>
      <c r="B173" s="18" t="s">
        <v>19</v>
      </c>
      <c r="C173" s="18" t="s">
        <v>418</v>
      </c>
      <c r="D173" s="18">
        <v>8577789</v>
      </c>
      <c r="E173" s="18">
        <v>0</v>
      </c>
      <c r="F173" s="18">
        <v>65</v>
      </c>
      <c r="G173" s="18" t="s">
        <v>86</v>
      </c>
      <c r="H173" s="18" t="s">
        <v>332</v>
      </c>
      <c r="I173" s="18">
        <v>2024</v>
      </c>
      <c r="J173" s="18" t="s">
        <v>41</v>
      </c>
      <c r="K173" s="18" t="s">
        <v>161</v>
      </c>
      <c r="L173" s="18" t="s">
        <v>267</v>
      </c>
      <c r="M173" s="18" t="s">
        <v>268</v>
      </c>
      <c r="N173" s="18" t="s">
        <v>35</v>
      </c>
      <c r="O173" s="18" t="s">
        <v>36</v>
      </c>
      <c r="P173" s="18" t="s">
        <v>28</v>
      </c>
      <c r="Q173" s="18"/>
      <c r="R173" s="18" t="s">
        <v>256</v>
      </c>
      <c r="S173" s="18" t="s">
        <v>245</v>
      </c>
      <c r="T173" s="18" t="s">
        <v>233</v>
      </c>
      <c r="U173" s="28">
        <v>45624</v>
      </c>
      <c r="V173" s="28">
        <v>45635</v>
      </c>
      <c r="W173" s="22">
        <f t="shared" ca="1" si="14"/>
        <v>-450</v>
      </c>
      <c r="X173" s="17" t="str">
        <f t="shared" ca="1" si="15"/>
        <v>Vencido</v>
      </c>
      <c r="Y173" s="32" t="s">
        <v>419</v>
      </c>
      <c r="Z173" s="18" t="s">
        <v>398</v>
      </c>
    </row>
    <row r="174" spans="1:41" ht="114.75" customHeight="1">
      <c r="A174" s="15">
        <v>41</v>
      </c>
      <c r="B174" s="16" t="s">
        <v>19</v>
      </c>
      <c r="C174" s="22" t="s">
        <v>420</v>
      </c>
      <c r="D174" s="22">
        <v>4645618</v>
      </c>
      <c r="E174" s="22">
        <v>1</v>
      </c>
      <c r="F174" s="98">
        <v>86</v>
      </c>
      <c r="G174" s="22" t="s">
        <v>22</v>
      </c>
      <c r="H174" s="22" t="s">
        <v>23</v>
      </c>
      <c r="I174" s="22" t="s">
        <v>40</v>
      </c>
      <c r="J174" s="22" t="s">
        <v>41</v>
      </c>
      <c r="K174" s="22" t="s">
        <v>161</v>
      </c>
      <c r="L174" s="26" t="s">
        <v>91</v>
      </c>
      <c r="M174" s="22" t="s">
        <v>34</v>
      </c>
      <c r="N174" s="22" t="s">
        <v>35</v>
      </c>
      <c r="O174" s="22" t="s">
        <v>36</v>
      </c>
      <c r="P174" s="22" t="s">
        <v>28</v>
      </c>
      <c r="Q174" s="22"/>
      <c r="R174" s="162" t="s">
        <v>421</v>
      </c>
      <c r="S174" s="22" t="s">
        <v>285</v>
      </c>
      <c r="T174" s="22" t="s">
        <v>233</v>
      </c>
      <c r="U174" s="29">
        <v>45628</v>
      </c>
      <c r="V174" s="29">
        <v>45718</v>
      </c>
      <c r="W174" s="22">
        <f t="shared" ca="1" si="14"/>
        <v>-367</v>
      </c>
      <c r="X174" s="17" t="str">
        <f t="shared" ca="1" si="15"/>
        <v>Vencido</v>
      </c>
      <c r="Y174" s="18" t="s">
        <v>422</v>
      </c>
      <c r="Z174" s="18" t="s">
        <v>423</v>
      </c>
    </row>
    <row r="175" spans="1:41" ht="111" customHeight="1">
      <c r="A175" s="15">
        <v>56</v>
      </c>
      <c r="B175" s="19" t="s">
        <v>19</v>
      </c>
      <c r="C175" s="18" t="s">
        <v>424</v>
      </c>
      <c r="D175" s="18">
        <v>6720165</v>
      </c>
      <c r="E175" s="18">
        <v>5</v>
      </c>
      <c r="F175" s="18">
        <v>72</v>
      </c>
      <c r="G175" s="18" t="s">
        <v>22</v>
      </c>
      <c r="H175" s="18" t="s">
        <v>260</v>
      </c>
      <c r="I175" s="18">
        <v>2024</v>
      </c>
      <c r="J175" s="100">
        <v>45261</v>
      </c>
      <c r="K175" s="18" t="s">
        <v>161</v>
      </c>
      <c r="L175" s="18" t="s">
        <v>51</v>
      </c>
      <c r="M175" s="18" t="s">
        <v>34</v>
      </c>
      <c r="N175" s="18" t="s">
        <v>35</v>
      </c>
      <c r="O175" s="18" t="s">
        <v>36</v>
      </c>
      <c r="P175" s="18" t="s">
        <v>28</v>
      </c>
      <c r="Q175" s="18"/>
      <c r="R175" s="32" t="s">
        <v>425</v>
      </c>
      <c r="S175" s="18" t="s">
        <v>289</v>
      </c>
      <c r="T175" s="18" t="s">
        <v>426</v>
      </c>
      <c r="U175" s="28">
        <v>45559</v>
      </c>
      <c r="V175" s="28">
        <v>45621</v>
      </c>
      <c r="W175" s="18">
        <f t="shared" ca="1" si="14"/>
        <v>-464</v>
      </c>
      <c r="X175" s="18" t="str">
        <f t="shared" ca="1" si="15"/>
        <v>Vencido</v>
      </c>
      <c r="Y175" s="18" t="s">
        <v>427</v>
      </c>
      <c r="Z175" s="18" t="s">
        <v>398</v>
      </c>
    </row>
    <row r="176" spans="1:41" s="7" customFormat="1" ht="135" customHeight="1">
      <c r="A176" s="15">
        <v>6</v>
      </c>
      <c r="B176" s="16" t="s">
        <v>19</v>
      </c>
      <c r="C176" s="22" t="s">
        <v>428</v>
      </c>
      <c r="D176" s="22">
        <v>9056798</v>
      </c>
      <c r="E176" s="22">
        <v>5</v>
      </c>
      <c r="F176" s="22">
        <v>63</v>
      </c>
      <c r="G176" s="22" t="s">
        <v>22</v>
      </c>
      <c r="H176" s="22" t="s">
        <v>198</v>
      </c>
      <c r="I176" s="22" t="s">
        <v>40</v>
      </c>
      <c r="J176" s="22" t="s">
        <v>41</v>
      </c>
      <c r="K176" s="22" t="s">
        <v>24</v>
      </c>
      <c r="L176" s="22" t="s">
        <v>25</v>
      </c>
      <c r="M176" s="29">
        <v>44357</v>
      </c>
      <c r="N176" s="22" t="s">
        <v>429</v>
      </c>
      <c r="O176" s="22" t="s">
        <v>36</v>
      </c>
      <c r="P176" s="22" t="s">
        <v>28</v>
      </c>
      <c r="Q176" s="22"/>
      <c r="R176" s="161" t="s">
        <v>430</v>
      </c>
      <c r="S176" s="22" t="s">
        <v>285</v>
      </c>
      <c r="T176" s="22" t="s">
        <v>233</v>
      </c>
      <c r="U176" s="29">
        <v>45544</v>
      </c>
      <c r="V176" s="29">
        <v>45632</v>
      </c>
      <c r="W176" s="22">
        <f t="shared" ca="1" si="14"/>
        <v>-453</v>
      </c>
      <c r="X176" s="17" t="str">
        <f t="shared" ca="1" si="15"/>
        <v>Vencido</v>
      </c>
      <c r="Y176" s="18" t="s">
        <v>431</v>
      </c>
      <c r="Z176" s="18" t="s">
        <v>423</v>
      </c>
    </row>
    <row r="177" spans="1:26" s="7" customFormat="1" ht="126" customHeight="1">
      <c r="A177" s="15">
        <v>19</v>
      </c>
      <c r="B177" s="16" t="s">
        <v>19</v>
      </c>
      <c r="C177" s="22" t="s">
        <v>432</v>
      </c>
      <c r="D177" s="22">
        <v>6562765</v>
      </c>
      <c r="E177" s="22">
        <v>5</v>
      </c>
      <c r="F177" s="22">
        <v>71</v>
      </c>
      <c r="G177" s="22" t="s">
        <v>22</v>
      </c>
      <c r="H177" s="22" t="s">
        <v>23</v>
      </c>
      <c r="I177" s="22" t="s">
        <v>40</v>
      </c>
      <c r="J177" s="22" t="s">
        <v>41</v>
      </c>
      <c r="K177" s="22" t="s">
        <v>161</v>
      </c>
      <c r="L177" s="22" t="s">
        <v>91</v>
      </c>
      <c r="M177" s="22" t="s">
        <v>34</v>
      </c>
      <c r="N177" s="22" t="s">
        <v>35</v>
      </c>
      <c r="O177" s="22" t="s">
        <v>36</v>
      </c>
      <c r="P177" s="22" t="s">
        <v>28</v>
      </c>
      <c r="Q177" s="22"/>
      <c r="R177" s="161" t="s">
        <v>433</v>
      </c>
      <c r="S177" s="22" t="s">
        <v>239</v>
      </c>
      <c r="T177" s="22" t="s">
        <v>233</v>
      </c>
      <c r="U177" s="29">
        <v>45510</v>
      </c>
      <c r="V177" s="29">
        <v>45637</v>
      </c>
      <c r="W177" s="22">
        <f t="shared" ref="W177:W182" ca="1" si="16">V177-TODAY()</f>
        <v>-448</v>
      </c>
      <c r="X177" s="17" t="str">
        <f t="shared" ref="X177:X182" ca="1" si="17">IF(W177&gt;=25,"Vigente",IF(AND(W177&gt;=1,W177&lt;=25),"Por Vencer","Vencido"))</f>
        <v>Vencido</v>
      </c>
      <c r="Y177" s="38" t="s">
        <v>434</v>
      </c>
      <c r="Z177" s="38" t="s">
        <v>423</v>
      </c>
    </row>
    <row r="178" spans="1:26" ht="116.25" customHeight="1">
      <c r="A178" s="18"/>
      <c r="B178" s="19" t="s">
        <v>19</v>
      </c>
      <c r="C178" s="18" t="s">
        <v>435</v>
      </c>
      <c r="D178" s="18">
        <v>4892988</v>
      </c>
      <c r="E178" s="18">
        <v>5</v>
      </c>
      <c r="F178" s="18">
        <v>80</v>
      </c>
      <c r="G178" s="18" t="s">
        <v>22</v>
      </c>
      <c r="H178" s="18" t="s">
        <v>436</v>
      </c>
      <c r="I178" s="18">
        <v>2024</v>
      </c>
      <c r="J178" s="18" t="s">
        <v>41</v>
      </c>
      <c r="K178" s="18" t="s">
        <v>437</v>
      </c>
      <c r="L178" s="18" t="s">
        <v>438</v>
      </c>
      <c r="M178" s="18" t="s">
        <v>268</v>
      </c>
      <c r="N178" s="18" t="s">
        <v>35</v>
      </c>
      <c r="O178" s="18" t="s">
        <v>36</v>
      </c>
      <c r="P178" s="18" t="s">
        <v>28</v>
      </c>
      <c r="Q178" s="18"/>
      <c r="R178" s="18" t="s">
        <v>30</v>
      </c>
      <c r="S178" s="18" t="s">
        <v>439</v>
      </c>
      <c r="T178" s="18" t="s">
        <v>440</v>
      </c>
      <c r="U178" s="28">
        <v>45567</v>
      </c>
      <c r="V178" s="28">
        <v>45628</v>
      </c>
      <c r="W178" s="22">
        <f t="shared" ca="1" si="16"/>
        <v>-457</v>
      </c>
      <c r="X178" s="17" t="str">
        <f t="shared" ca="1" si="17"/>
        <v>Vencido</v>
      </c>
      <c r="Y178" s="18" t="s">
        <v>441</v>
      </c>
      <c r="Z178" s="18" t="s">
        <v>398</v>
      </c>
    </row>
    <row r="179" spans="1:26" s="7" customFormat="1" ht="140.25" customHeight="1">
      <c r="A179" s="18"/>
      <c r="B179" s="18" t="s">
        <v>19</v>
      </c>
      <c r="C179" s="18" t="s">
        <v>442</v>
      </c>
      <c r="D179" s="18">
        <v>5309989</v>
      </c>
      <c r="E179" s="18">
        <v>0</v>
      </c>
      <c r="F179" s="18">
        <v>82</v>
      </c>
      <c r="G179" s="18" t="s">
        <v>22</v>
      </c>
      <c r="H179" s="18" t="s">
        <v>332</v>
      </c>
      <c r="I179" s="18">
        <v>2024</v>
      </c>
      <c r="J179" s="18" t="s">
        <v>41</v>
      </c>
      <c r="K179" s="18" t="s">
        <v>161</v>
      </c>
      <c r="L179" s="18" t="s">
        <v>51</v>
      </c>
      <c r="M179" s="18" t="s">
        <v>268</v>
      </c>
      <c r="N179" s="18" t="s">
        <v>35</v>
      </c>
      <c r="O179" s="18" t="s">
        <v>36</v>
      </c>
      <c r="P179" s="18" t="s">
        <v>28</v>
      </c>
      <c r="Q179" s="18"/>
      <c r="R179" s="18" t="s">
        <v>443</v>
      </c>
      <c r="S179" s="18" t="s">
        <v>245</v>
      </c>
      <c r="T179" s="18" t="s">
        <v>233</v>
      </c>
      <c r="U179" s="28">
        <v>45583</v>
      </c>
      <c r="V179" s="28">
        <v>45618</v>
      </c>
      <c r="W179" s="22">
        <f t="shared" ca="1" si="16"/>
        <v>-467</v>
      </c>
      <c r="X179" s="17" t="str">
        <f t="shared" ca="1" si="17"/>
        <v>Vencido</v>
      </c>
      <c r="Y179" s="18" t="s">
        <v>444</v>
      </c>
      <c r="Z179" s="18" t="s">
        <v>398</v>
      </c>
    </row>
    <row r="180" spans="1:26" s="7" customFormat="1" ht="146.25" customHeight="1">
      <c r="A180" s="10"/>
      <c r="B180" s="99" t="s">
        <v>19</v>
      </c>
      <c r="C180" s="24" t="s">
        <v>445</v>
      </c>
      <c r="D180" s="25">
        <v>10959364</v>
      </c>
      <c r="E180" s="25">
        <v>8</v>
      </c>
      <c r="F180" s="10">
        <v>56</v>
      </c>
      <c r="G180" s="24" t="s">
        <v>150</v>
      </c>
      <c r="H180" s="24" t="s">
        <v>332</v>
      </c>
      <c r="I180" s="24">
        <v>2024</v>
      </c>
      <c r="J180" s="30" t="s">
        <v>41</v>
      </c>
      <c r="K180" s="30" t="s">
        <v>446</v>
      </c>
      <c r="L180" s="30" t="s">
        <v>267</v>
      </c>
      <c r="M180" s="30" t="s">
        <v>268</v>
      </c>
      <c r="N180" s="24" t="s">
        <v>35</v>
      </c>
      <c r="O180" s="24" t="s">
        <v>36</v>
      </c>
      <c r="P180" s="24" t="s">
        <v>28</v>
      </c>
      <c r="Q180" s="24"/>
      <c r="R180" s="163" t="s">
        <v>447</v>
      </c>
      <c r="S180" s="24" t="s">
        <v>334</v>
      </c>
      <c r="T180" s="24" t="s">
        <v>233</v>
      </c>
      <c r="U180" s="34">
        <v>45614</v>
      </c>
      <c r="V180" s="34">
        <v>45639</v>
      </c>
      <c r="W180" s="22">
        <f t="shared" ca="1" si="16"/>
        <v>-446</v>
      </c>
      <c r="X180" s="17" t="str">
        <f t="shared" ca="1" si="17"/>
        <v>Vencido</v>
      </c>
      <c r="Y180" s="24" t="s">
        <v>448</v>
      </c>
      <c r="Z180" s="24" t="s">
        <v>423</v>
      </c>
    </row>
    <row r="181" spans="1:26" ht="107.25" customHeight="1">
      <c r="A181" s="15">
        <v>53</v>
      </c>
      <c r="B181" s="16" t="s">
        <v>19</v>
      </c>
      <c r="C181" s="22" t="s">
        <v>449</v>
      </c>
      <c r="D181" s="22">
        <v>14736584</v>
      </c>
      <c r="E181" s="22">
        <v>5</v>
      </c>
      <c r="F181" s="22">
        <v>48</v>
      </c>
      <c r="G181" s="22" t="s">
        <v>22</v>
      </c>
      <c r="H181" s="22" t="s">
        <v>156</v>
      </c>
      <c r="I181" s="22" t="s">
        <v>40</v>
      </c>
      <c r="J181" s="22" t="s">
        <v>41</v>
      </c>
      <c r="K181" s="22" t="s">
        <v>24</v>
      </c>
      <c r="L181" s="22" t="s">
        <v>25</v>
      </c>
      <c r="M181" s="22" t="s">
        <v>34</v>
      </c>
      <c r="N181" s="22" t="s">
        <v>35</v>
      </c>
      <c r="O181" s="22" t="s">
        <v>36</v>
      </c>
      <c r="P181" s="22" t="s">
        <v>28</v>
      </c>
      <c r="Q181" s="22"/>
      <c r="R181" s="171" t="s">
        <v>450</v>
      </c>
      <c r="S181" s="22" t="s">
        <v>285</v>
      </c>
      <c r="T181" s="22" t="s">
        <v>233</v>
      </c>
      <c r="U181" s="29">
        <v>45559</v>
      </c>
      <c r="V181" s="29">
        <v>45642</v>
      </c>
      <c r="W181" s="22">
        <f t="shared" ca="1" si="16"/>
        <v>-443</v>
      </c>
      <c r="X181" s="17" t="str">
        <f t="shared" ca="1" si="17"/>
        <v>Vencido</v>
      </c>
      <c r="Y181" s="18" t="s">
        <v>451</v>
      </c>
      <c r="Z181" s="18" t="s">
        <v>423</v>
      </c>
    </row>
    <row r="182" spans="1:26" ht="130.5" customHeight="1">
      <c r="A182" s="15">
        <v>54</v>
      </c>
      <c r="B182" s="16" t="s">
        <v>19</v>
      </c>
      <c r="C182" s="22" t="s">
        <v>452</v>
      </c>
      <c r="D182" s="22">
        <v>6392044</v>
      </c>
      <c r="E182" s="22">
        <v>4</v>
      </c>
      <c r="F182" s="22">
        <v>75</v>
      </c>
      <c r="G182" s="22" t="s">
        <v>22</v>
      </c>
      <c r="H182" s="22" t="s">
        <v>453</v>
      </c>
      <c r="I182" s="22">
        <v>2022</v>
      </c>
      <c r="J182" s="22" t="s">
        <v>41</v>
      </c>
      <c r="K182" s="22" t="s">
        <v>24</v>
      </c>
      <c r="L182" s="22" t="s">
        <v>25</v>
      </c>
      <c r="M182" s="22" t="s">
        <v>34</v>
      </c>
      <c r="N182" s="22" t="s">
        <v>35</v>
      </c>
      <c r="O182" s="22" t="s">
        <v>36</v>
      </c>
      <c r="P182" s="22" t="s">
        <v>28</v>
      </c>
      <c r="Q182" s="22"/>
      <c r="R182" s="161" t="s">
        <v>454</v>
      </c>
      <c r="S182" s="22" t="s">
        <v>245</v>
      </c>
      <c r="T182" s="22" t="s">
        <v>233</v>
      </c>
      <c r="U182" s="29">
        <v>45628</v>
      </c>
      <c r="V182" s="29">
        <v>45646</v>
      </c>
      <c r="W182" s="22">
        <f t="shared" ca="1" si="16"/>
        <v>-439</v>
      </c>
      <c r="X182" s="17" t="str">
        <f t="shared" ca="1" si="17"/>
        <v>Vencido</v>
      </c>
      <c r="Y182" s="18" t="s">
        <v>455</v>
      </c>
      <c r="Z182" s="18" t="s">
        <v>423</v>
      </c>
    </row>
    <row r="183" spans="1:26" s="7" customFormat="1" ht="142.5" customHeight="1">
      <c r="A183" s="15">
        <v>24</v>
      </c>
      <c r="B183" s="21" t="s">
        <v>19</v>
      </c>
      <c r="C183" s="22" t="s">
        <v>456</v>
      </c>
      <c r="D183" s="22">
        <v>7972173</v>
      </c>
      <c r="E183" s="22">
        <v>5</v>
      </c>
      <c r="F183" s="22">
        <v>63</v>
      </c>
      <c r="G183" s="22" t="s">
        <v>150</v>
      </c>
      <c r="H183" s="22" t="s">
        <v>457</v>
      </c>
      <c r="I183" s="22" t="s">
        <v>40</v>
      </c>
      <c r="J183" s="22" t="s">
        <v>41</v>
      </c>
      <c r="K183" s="22" t="s">
        <v>24</v>
      </c>
      <c r="L183" s="26" t="s">
        <v>91</v>
      </c>
      <c r="M183" s="22" t="s">
        <v>34</v>
      </c>
      <c r="N183" s="22" t="s">
        <v>35</v>
      </c>
      <c r="O183" s="22" t="s">
        <v>36</v>
      </c>
      <c r="P183" s="22" t="s">
        <v>28</v>
      </c>
      <c r="Q183" s="22"/>
      <c r="R183" s="123" t="s">
        <v>458</v>
      </c>
      <c r="S183" s="22" t="s">
        <v>245</v>
      </c>
      <c r="T183" s="22" t="s">
        <v>233</v>
      </c>
      <c r="U183" s="29">
        <v>45616</v>
      </c>
      <c r="V183" s="29">
        <v>45653</v>
      </c>
      <c r="W183" s="22">
        <f t="shared" ref="W183:W189" ca="1" si="18">V183-TODAY()</f>
        <v>-432</v>
      </c>
      <c r="X183" s="17" t="str">
        <f t="shared" ref="X183:X189" ca="1" si="19">IF(W183&gt;=25,"Vigente",IF(AND(W183&gt;=1,W183&lt;=25),"Por Vencer","Vencido"))</f>
        <v>Vencido</v>
      </c>
      <c r="Y183" s="38" t="s">
        <v>459</v>
      </c>
      <c r="Z183" s="38" t="s">
        <v>423</v>
      </c>
    </row>
    <row r="184" spans="1:26" s="7" customFormat="1" ht="150" customHeight="1">
      <c r="A184" s="18"/>
      <c r="B184" s="23" t="s">
        <v>19</v>
      </c>
      <c r="C184" s="18" t="s">
        <v>460</v>
      </c>
      <c r="D184" s="18">
        <v>6098245</v>
      </c>
      <c r="E184" s="18">
        <v>7</v>
      </c>
      <c r="F184" s="18">
        <v>73</v>
      </c>
      <c r="G184" s="18" t="s">
        <v>77</v>
      </c>
      <c r="H184" s="18" t="s">
        <v>461</v>
      </c>
      <c r="I184" s="18">
        <v>2024</v>
      </c>
      <c r="J184" s="18" t="s">
        <v>41</v>
      </c>
      <c r="K184" s="18" t="s">
        <v>24</v>
      </c>
      <c r="L184" s="18" t="s">
        <v>267</v>
      </c>
      <c r="M184" s="28">
        <v>45581</v>
      </c>
      <c r="N184" s="18" t="s">
        <v>462</v>
      </c>
      <c r="O184" s="18" t="s">
        <v>36</v>
      </c>
      <c r="P184" s="18" t="s">
        <v>28</v>
      </c>
      <c r="Q184" s="18"/>
      <c r="R184" s="18" t="s">
        <v>30</v>
      </c>
      <c r="S184" s="18" t="s">
        <v>439</v>
      </c>
      <c r="T184" s="18" t="s">
        <v>233</v>
      </c>
      <c r="U184" s="28">
        <v>45593</v>
      </c>
      <c r="V184" s="28">
        <v>45642</v>
      </c>
      <c r="W184" s="18">
        <f t="shared" ca="1" si="18"/>
        <v>-443</v>
      </c>
      <c r="X184" s="18" t="str">
        <f t="shared" ca="1" si="19"/>
        <v>Vencido</v>
      </c>
      <c r="Y184" s="18" t="s">
        <v>463</v>
      </c>
      <c r="Z184" s="18" t="s">
        <v>398</v>
      </c>
    </row>
    <row r="185" spans="1:26" s="7" customFormat="1" ht="141.75" customHeight="1">
      <c r="A185" s="15">
        <v>22</v>
      </c>
      <c r="B185" s="16" t="s">
        <v>19</v>
      </c>
      <c r="C185" s="22" t="s">
        <v>464</v>
      </c>
      <c r="D185" s="22">
        <v>5777828</v>
      </c>
      <c r="E185" s="22">
        <v>8</v>
      </c>
      <c r="F185" s="22">
        <v>80</v>
      </c>
      <c r="G185" s="22" t="s">
        <v>22</v>
      </c>
      <c r="H185" s="22" t="s">
        <v>465</v>
      </c>
      <c r="I185" s="22" t="s">
        <v>40</v>
      </c>
      <c r="J185" s="22" t="s">
        <v>41</v>
      </c>
      <c r="K185" s="22" t="s">
        <v>24</v>
      </c>
      <c r="L185" s="22" t="s">
        <v>25</v>
      </c>
      <c r="M185" s="22" t="s">
        <v>34</v>
      </c>
      <c r="N185" s="22" t="s">
        <v>35</v>
      </c>
      <c r="O185" s="22" t="s">
        <v>36</v>
      </c>
      <c r="P185" s="22" t="s">
        <v>28</v>
      </c>
      <c r="Q185" s="22"/>
      <c r="R185" s="164" t="s">
        <v>466</v>
      </c>
      <c r="S185" s="22" t="s">
        <v>239</v>
      </c>
      <c r="T185" s="22" t="s">
        <v>233</v>
      </c>
      <c r="U185" s="29">
        <v>45532</v>
      </c>
      <c r="V185" s="29">
        <v>45663</v>
      </c>
      <c r="W185" s="22">
        <f t="shared" ca="1" si="18"/>
        <v>-422</v>
      </c>
      <c r="X185" s="17" t="str">
        <f t="shared" ca="1" si="19"/>
        <v>Vencido</v>
      </c>
      <c r="Y185" s="38" t="s">
        <v>467</v>
      </c>
      <c r="Z185" s="38" t="s">
        <v>468</v>
      </c>
    </row>
    <row r="186" spans="1:26" ht="112.5" customHeight="1">
      <c r="A186" s="15">
        <v>43</v>
      </c>
      <c r="B186" s="16" t="s">
        <v>19</v>
      </c>
      <c r="C186" s="22" t="s">
        <v>469</v>
      </c>
      <c r="D186" s="22">
        <v>5204727</v>
      </c>
      <c r="E186" s="22">
        <v>7</v>
      </c>
      <c r="F186" s="22">
        <v>73</v>
      </c>
      <c r="G186" s="22" t="s">
        <v>22</v>
      </c>
      <c r="H186" s="22" t="s">
        <v>23</v>
      </c>
      <c r="I186" s="22" t="s">
        <v>40</v>
      </c>
      <c r="J186" s="29">
        <v>45331</v>
      </c>
      <c r="K186" s="22" t="s">
        <v>24</v>
      </c>
      <c r="L186" s="22" t="s">
        <v>25</v>
      </c>
      <c r="M186" s="29">
        <v>45406</v>
      </c>
      <c r="N186" s="22" t="s">
        <v>176</v>
      </c>
      <c r="O186" s="22" t="s">
        <v>36</v>
      </c>
      <c r="P186" s="22" t="s">
        <v>169</v>
      </c>
      <c r="Q186" s="22"/>
      <c r="R186" s="22" t="s">
        <v>30</v>
      </c>
      <c r="S186" s="22" t="s">
        <v>370</v>
      </c>
      <c r="T186" s="22" t="s">
        <v>470</v>
      </c>
      <c r="U186" s="29">
        <v>45593</v>
      </c>
      <c r="V186" s="29">
        <v>45654</v>
      </c>
      <c r="W186" s="22">
        <f t="shared" ca="1" si="18"/>
        <v>-431</v>
      </c>
      <c r="X186" s="17" t="str">
        <f t="shared" ca="1" si="19"/>
        <v>Vencido</v>
      </c>
      <c r="Y186" s="18" t="s">
        <v>471</v>
      </c>
      <c r="Z186" s="18" t="s">
        <v>398</v>
      </c>
    </row>
    <row r="187" spans="1:26" ht="128.25" customHeight="1">
      <c r="A187" s="15">
        <v>29</v>
      </c>
      <c r="B187" s="16" t="s">
        <v>19</v>
      </c>
      <c r="C187" s="22" t="s">
        <v>472</v>
      </c>
      <c r="D187" s="22">
        <v>4505239</v>
      </c>
      <c r="E187" s="22">
        <v>7</v>
      </c>
      <c r="F187" s="22">
        <v>83</v>
      </c>
      <c r="G187" s="22" t="s">
        <v>22</v>
      </c>
      <c r="H187" s="22" t="s">
        <v>198</v>
      </c>
      <c r="I187" s="22">
        <v>2022</v>
      </c>
      <c r="J187" s="29">
        <v>44805</v>
      </c>
      <c r="K187" s="22" t="s">
        <v>24</v>
      </c>
      <c r="L187" s="26" t="s">
        <v>47</v>
      </c>
      <c r="M187" s="29">
        <v>45212</v>
      </c>
      <c r="N187" s="22" t="s">
        <v>176</v>
      </c>
      <c r="O187" s="22" t="s">
        <v>36</v>
      </c>
      <c r="P187" s="22" t="s">
        <v>169</v>
      </c>
      <c r="Q187" s="22"/>
      <c r="R187" s="22" t="s">
        <v>30</v>
      </c>
      <c r="S187" s="22" t="s">
        <v>281</v>
      </c>
      <c r="T187" s="22" t="s">
        <v>233</v>
      </c>
      <c r="U187" s="29">
        <v>45635</v>
      </c>
      <c r="V187" s="29">
        <v>45666</v>
      </c>
      <c r="W187" s="22">
        <f t="shared" ca="1" si="18"/>
        <v>-419</v>
      </c>
      <c r="X187" s="17" t="str">
        <f t="shared" ca="1" si="19"/>
        <v>Vencido</v>
      </c>
      <c r="Y187" s="18" t="s">
        <v>473</v>
      </c>
      <c r="Z187" s="18" t="s">
        <v>423</v>
      </c>
    </row>
    <row r="188" spans="1:26" ht="122.25" customHeight="1">
      <c r="A188" s="15">
        <v>40</v>
      </c>
      <c r="B188" s="16" t="s">
        <v>19</v>
      </c>
      <c r="C188" s="22" t="s">
        <v>474</v>
      </c>
      <c r="D188" s="22">
        <v>16596308</v>
      </c>
      <c r="E188" s="22">
        <v>3</v>
      </c>
      <c r="F188" s="22">
        <v>37</v>
      </c>
      <c r="G188" s="22" t="s">
        <v>22</v>
      </c>
      <c r="H188" s="22" t="s">
        <v>475</v>
      </c>
      <c r="I188" s="22">
        <v>2024</v>
      </c>
      <c r="J188" s="29">
        <v>45305</v>
      </c>
      <c r="K188" s="22" t="s">
        <v>24</v>
      </c>
      <c r="L188" s="26" t="s">
        <v>25</v>
      </c>
      <c r="M188" s="29">
        <v>45196</v>
      </c>
      <c r="N188" s="22" t="s">
        <v>25</v>
      </c>
      <c r="O188" s="22" t="s">
        <v>27</v>
      </c>
      <c r="P188" s="22" t="s">
        <v>28</v>
      </c>
      <c r="Q188" s="22"/>
      <c r="R188" s="165" t="s">
        <v>476</v>
      </c>
      <c r="S188" s="22" t="s">
        <v>477</v>
      </c>
      <c r="T188" s="22" t="s">
        <v>233</v>
      </c>
      <c r="U188" s="29">
        <v>45630</v>
      </c>
      <c r="V188" s="29">
        <v>45670</v>
      </c>
      <c r="W188" s="22">
        <f t="shared" ca="1" si="18"/>
        <v>-415</v>
      </c>
      <c r="X188" s="17" t="str">
        <f t="shared" ca="1" si="19"/>
        <v>Vencido</v>
      </c>
      <c r="Y188" s="18" t="s">
        <v>478</v>
      </c>
      <c r="Z188" s="18" t="s">
        <v>468</v>
      </c>
    </row>
    <row r="189" spans="1:26" customFormat="1" ht="129" customHeight="1">
      <c r="A189" s="18"/>
      <c r="B189" s="23" t="s">
        <v>19</v>
      </c>
      <c r="C189" s="18" t="s">
        <v>479</v>
      </c>
      <c r="D189" s="18">
        <v>3889731</v>
      </c>
      <c r="E189" s="18">
        <v>4</v>
      </c>
      <c r="F189" s="18"/>
      <c r="G189" s="18" t="s">
        <v>150</v>
      </c>
      <c r="H189" s="18" t="s">
        <v>480</v>
      </c>
      <c r="I189" s="18">
        <v>2024</v>
      </c>
      <c r="J189" s="18" t="s">
        <v>41</v>
      </c>
      <c r="K189" s="18" t="s">
        <v>266</v>
      </c>
      <c r="L189" s="18" t="s">
        <v>267</v>
      </c>
      <c r="M189" s="18" t="s">
        <v>268</v>
      </c>
      <c r="N189" s="18" t="s">
        <v>35</v>
      </c>
      <c r="O189" s="18" t="s">
        <v>36</v>
      </c>
      <c r="P189" s="18" t="s">
        <v>28</v>
      </c>
      <c r="Q189" s="18"/>
      <c r="R189" s="166" t="s">
        <v>481</v>
      </c>
      <c r="S189" s="18" t="s">
        <v>245</v>
      </c>
      <c r="T189" s="18" t="s">
        <v>233</v>
      </c>
      <c r="U189" s="28">
        <v>45621</v>
      </c>
      <c r="V189" s="28">
        <v>45667</v>
      </c>
      <c r="W189" s="22">
        <f t="shared" ca="1" si="18"/>
        <v>-418</v>
      </c>
      <c r="X189" s="17" t="str">
        <f t="shared" ca="1" si="19"/>
        <v>Vencido</v>
      </c>
      <c r="Y189" s="18" t="s">
        <v>482</v>
      </c>
      <c r="Z189" s="18" t="s">
        <v>468</v>
      </c>
    </row>
    <row r="190" spans="1:26" s="7" customFormat="1" ht="138" customHeight="1">
      <c r="A190" s="18"/>
      <c r="B190" s="18" t="s">
        <v>19</v>
      </c>
      <c r="C190" s="18" t="s">
        <v>483</v>
      </c>
      <c r="D190" s="18">
        <v>6133945</v>
      </c>
      <c r="E190" s="18">
        <v>0</v>
      </c>
      <c r="F190" s="18">
        <v>89</v>
      </c>
      <c r="G190" s="18" t="s">
        <v>22</v>
      </c>
      <c r="H190" s="18" t="s">
        <v>332</v>
      </c>
      <c r="I190" s="18">
        <v>2024</v>
      </c>
      <c r="J190" s="18" t="s">
        <v>41</v>
      </c>
      <c r="K190" s="18" t="s">
        <v>161</v>
      </c>
      <c r="L190" s="18" t="s">
        <v>51</v>
      </c>
      <c r="M190" s="18" t="s">
        <v>268</v>
      </c>
      <c r="N190" s="18" t="s">
        <v>35</v>
      </c>
      <c r="O190" s="18" t="s">
        <v>36</v>
      </c>
      <c r="P190" s="18" t="s">
        <v>28</v>
      </c>
      <c r="Q190" s="18"/>
      <c r="R190" s="33" t="s">
        <v>484</v>
      </c>
      <c r="S190" s="18" t="s">
        <v>281</v>
      </c>
      <c r="T190" s="18" t="s">
        <v>233</v>
      </c>
      <c r="U190" s="28">
        <v>45642</v>
      </c>
      <c r="V190" s="28">
        <v>45673</v>
      </c>
      <c r="W190" s="22">
        <f t="shared" ref="W190:W202" ca="1" si="20">V190-TODAY()</f>
        <v>-412</v>
      </c>
      <c r="X190" s="17" t="str">
        <f t="shared" ref="X190:X202" ca="1" si="21">IF(W190&gt;=25,"Vigente",IF(AND(W190&gt;=1,W190&lt;=25),"Por Vencer","Vencido"))</f>
        <v>Vencido</v>
      </c>
      <c r="Y190" s="37" t="s">
        <v>485</v>
      </c>
      <c r="Z190" s="38" t="s">
        <v>468</v>
      </c>
    </row>
    <row r="191" spans="1:26" s="7" customFormat="1" ht="134.25" customHeight="1">
      <c r="A191" s="18"/>
      <c r="B191" s="23" t="s">
        <v>19</v>
      </c>
      <c r="C191" s="18" t="s">
        <v>486</v>
      </c>
      <c r="D191" s="18">
        <v>5301079</v>
      </c>
      <c r="E191" s="18">
        <v>2</v>
      </c>
      <c r="F191" s="18">
        <v>78</v>
      </c>
      <c r="G191" s="18" t="s">
        <v>86</v>
      </c>
      <c r="H191" s="18" t="s">
        <v>332</v>
      </c>
      <c r="I191" s="18">
        <v>2024</v>
      </c>
      <c r="J191" s="18" t="s">
        <v>41</v>
      </c>
      <c r="K191" s="18" t="s">
        <v>266</v>
      </c>
      <c r="L191" s="18" t="s">
        <v>51</v>
      </c>
      <c r="M191" s="28">
        <v>45672</v>
      </c>
      <c r="N191" s="18" t="s">
        <v>487</v>
      </c>
      <c r="O191" s="18" t="s">
        <v>36</v>
      </c>
      <c r="P191" s="18" t="s">
        <v>28</v>
      </c>
      <c r="Q191" s="18"/>
      <c r="R191" s="166" t="s">
        <v>488</v>
      </c>
      <c r="S191" s="18" t="s">
        <v>245</v>
      </c>
      <c r="T191" s="18" t="s">
        <v>233</v>
      </c>
      <c r="U191" s="28">
        <v>45644</v>
      </c>
      <c r="V191" s="28">
        <v>45677</v>
      </c>
      <c r="W191" s="22">
        <f t="shared" ca="1" si="20"/>
        <v>-408</v>
      </c>
      <c r="X191" s="17" t="str">
        <f t="shared" ca="1" si="21"/>
        <v>Vencido</v>
      </c>
      <c r="Y191" s="18" t="s">
        <v>489</v>
      </c>
      <c r="Z191" s="18" t="s">
        <v>468</v>
      </c>
    </row>
    <row r="192" spans="1:26" s="7" customFormat="1" ht="130.5" customHeight="1">
      <c r="A192" s="15">
        <v>11</v>
      </c>
      <c r="B192" s="16" t="s">
        <v>19</v>
      </c>
      <c r="C192" s="22" t="s">
        <v>490</v>
      </c>
      <c r="D192" s="22">
        <v>5901659</v>
      </c>
      <c r="E192" s="22">
        <v>8</v>
      </c>
      <c r="F192" s="22">
        <v>75</v>
      </c>
      <c r="G192" s="22" t="s">
        <v>22</v>
      </c>
      <c r="H192" s="22" t="s">
        <v>23</v>
      </c>
      <c r="I192" s="22">
        <v>2024</v>
      </c>
      <c r="J192" s="29">
        <v>45436</v>
      </c>
      <c r="K192" s="22" t="s">
        <v>24</v>
      </c>
      <c r="L192" s="26" t="s">
        <v>182</v>
      </c>
      <c r="M192" s="29">
        <v>45441</v>
      </c>
      <c r="N192" s="22" t="s">
        <v>26</v>
      </c>
      <c r="O192" s="22" t="s">
        <v>36</v>
      </c>
      <c r="P192" s="22" t="s">
        <v>37</v>
      </c>
      <c r="Q192" s="22" t="s">
        <v>491</v>
      </c>
      <c r="R192" s="165" t="s">
        <v>492</v>
      </c>
      <c r="S192" s="22" t="s">
        <v>281</v>
      </c>
      <c r="T192" s="22" t="s">
        <v>233</v>
      </c>
      <c r="U192" s="29">
        <v>45656</v>
      </c>
      <c r="V192" s="29">
        <v>45687</v>
      </c>
      <c r="W192" s="22">
        <f t="shared" ca="1" si="20"/>
        <v>-398</v>
      </c>
      <c r="X192" s="17" t="str">
        <f t="shared" ca="1" si="21"/>
        <v>Vencido</v>
      </c>
      <c r="Y192" s="18" t="s">
        <v>493</v>
      </c>
      <c r="Z192" s="18" t="s">
        <v>468</v>
      </c>
    </row>
    <row r="193" spans="1:27" s="7" customFormat="1" ht="144.75" customHeight="1">
      <c r="A193" s="15">
        <v>14</v>
      </c>
      <c r="B193" s="16" t="s">
        <v>19</v>
      </c>
      <c r="C193" s="22" t="s">
        <v>494</v>
      </c>
      <c r="D193" s="22">
        <v>6576337</v>
      </c>
      <c r="E193" s="22">
        <v>0</v>
      </c>
      <c r="F193" s="22">
        <v>69</v>
      </c>
      <c r="G193" s="22" t="s">
        <v>22</v>
      </c>
      <c r="H193" s="22" t="s">
        <v>495</v>
      </c>
      <c r="I193" s="22">
        <v>2024</v>
      </c>
      <c r="J193" s="29">
        <v>45659</v>
      </c>
      <c r="K193" s="22" t="s">
        <v>24</v>
      </c>
      <c r="L193" s="22" t="s">
        <v>182</v>
      </c>
      <c r="M193" s="29">
        <v>45679</v>
      </c>
      <c r="N193" s="22" t="s">
        <v>496</v>
      </c>
      <c r="O193" s="22" t="s">
        <v>36</v>
      </c>
      <c r="P193" s="22" t="s">
        <v>28</v>
      </c>
      <c r="Q193" s="22"/>
      <c r="R193" s="165" t="s">
        <v>497</v>
      </c>
      <c r="S193" s="22" t="s">
        <v>245</v>
      </c>
      <c r="T193" s="22" t="s">
        <v>233</v>
      </c>
      <c r="U193" s="29">
        <v>45657</v>
      </c>
      <c r="V193" s="29">
        <v>45674</v>
      </c>
      <c r="W193" s="22">
        <f t="shared" ca="1" si="20"/>
        <v>-411</v>
      </c>
      <c r="X193" s="17" t="str">
        <f t="shared" ca="1" si="21"/>
        <v>Vencido</v>
      </c>
      <c r="Y193" s="101" t="s">
        <v>498</v>
      </c>
      <c r="Z193" s="17" t="s">
        <v>468</v>
      </c>
    </row>
    <row r="194" spans="1:27" ht="93.75" customHeight="1">
      <c r="A194" s="18"/>
      <c r="B194" s="19" t="s">
        <v>19</v>
      </c>
      <c r="C194" s="18" t="s">
        <v>499</v>
      </c>
      <c r="D194" s="18">
        <v>5426367</v>
      </c>
      <c r="E194" s="18">
        <v>8</v>
      </c>
      <c r="F194" s="18">
        <v>77</v>
      </c>
      <c r="G194" s="18" t="s">
        <v>22</v>
      </c>
      <c r="H194" s="18" t="s">
        <v>260</v>
      </c>
      <c r="I194" s="18">
        <v>2024</v>
      </c>
      <c r="J194" s="18" t="s">
        <v>500</v>
      </c>
      <c r="K194" s="18" t="s">
        <v>24</v>
      </c>
      <c r="L194" s="18" t="s">
        <v>47</v>
      </c>
      <c r="M194" s="28">
        <v>45679</v>
      </c>
      <c r="N194" s="18" t="s">
        <v>501</v>
      </c>
      <c r="O194" s="18" t="s">
        <v>36</v>
      </c>
      <c r="P194" s="18" t="s">
        <v>28</v>
      </c>
      <c r="Q194" s="18"/>
      <c r="R194" s="33" t="s">
        <v>502</v>
      </c>
      <c r="S194" s="18" t="s">
        <v>245</v>
      </c>
      <c r="T194" s="18" t="s">
        <v>233</v>
      </c>
      <c r="U194" s="28">
        <v>45665</v>
      </c>
      <c r="V194" s="28">
        <v>45696</v>
      </c>
      <c r="W194" s="22">
        <f t="shared" ca="1" si="20"/>
        <v>-389</v>
      </c>
      <c r="X194" s="17" t="str">
        <f t="shared" ca="1" si="21"/>
        <v>Vencido</v>
      </c>
      <c r="Y194" s="18" t="s">
        <v>503</v>
      </c>
      <c r="Z194" s="18" t="s">
        <v>468</v>
      </c>
    </row>
    <row r="195" spans="1:27" s="7" customFormat="1" ht="134.25" customHeight="1">
      <c r="A195" s="18"/>
      <c r="B195" s="19" t="s">
        <v>19</v>
      </c>
      <c r="C195" s="18" t="s">
        <v>504</v>
      </c>
      <c r="D195" s="17">
        <v>7882209</v>
      </c>
      <c r="E195" s="18">
        <v>0</v>
      </c>
      <c r="F195" s="18">
        <v>64</v>
      </c>
      <c r="G195" s="18" t="s">
        <v>22</v>
      </c>
      <c r="H195" s="18" t="s">
        <v>260</v>
      </c>
      <c r="I195" s="18">
        <v>2024</v>
      </c>
      <c r="J195" s="28">
        <v>45558</v>
      </c>
      <c r="K195" s="18" t="s">
        <v>24</v>
      </c>
      <c r="L195" s="18" t="s">
        <v>182</v>
      </c>
      <c r="M195" s="28">
        <v>45567</v>
      </c>
      <c r="N195" s="18" t="s">
        <v>505</v>
      </c>
      <c r="O195" s="18" t="s">
        <v>36</v>
      </c>
      <c r="P195" s="18" t="s">
        <v>28</v>
      </c>
      <c r="Q195" s="18"/>
      <c r="R195" s="18" t="s">
        <v>506</v>
      </c>
      <c r="S195" s="18" t="s">
        <v>245</v>
      </c>
      <c r="T195" s="18" t="s">
        <v>233</v>
      </c>
      <c r="U195" s="28">
        <v>45663</v>
      </c>
      <c r="V195" s="28">
        <v>45708</v>
      </c>
      <c r="W195" s="22">
        <f t="shared" ca="1" si="20"/>
        <v>-377</v>
      </c>
      <c r="X195" s="17" t="str">
        <f t="shared" ca="1" si="21"/>
        <v>Vencido</v>
      </c>
      <c r="Y195" s="18" t="s">
        <v>507</v>
      </c>
      <c r="Z195" s="18" t="s">
        <v>468</v>
      </c>
    </row>
    <row r="196" spans="1:27" s="7" customFormat="1" ht="147.75" customHeight="1">
      <c r="A196" s="18"/>
      <c r="B196" s="19" t="s">
        <v>19</v>
      </c>
      <c r="C196" s="18" t="s">
        <v>508</v>
      </c>
      <c r="D196" s="18">
        <v>5837564</v>
      </c>
      <c r="E196" s="18">
        <v>0</v>
      </c>
      <c r="F196" s="18">
        <v>80</v>
      </c>
      <c r="G196" s="18" t="s">
        <v>22</v>
      </c>
      <c r="H196" s="18" t="s">
        <v>509</v>
      </c>
      <c r="I196" s="18">
        <v>2024</v>
      </c>
      <c r="J196" s="18" t="s">
        <v>41</v>
      </c>
      <c r="K196" s="18" t="s">
        <v>161</v>
      </c>
      <c r="L196" s="18" t="s">
        <v>267</v>
      </c>
      <c r="M196" s="18" t="s">
        <v>510</v>
      </c>
      <c r="N196" s="18" t="s">
        <v>511</v>
      </c>
      <c r="O196" s="18" t="s">
        <v>36</v>
      </c>
      <c r="P196" s="18" t="s">
        <v>28</v>
      </c>
      <c r="Q196" s="18"/>
      <c r="R196" s="18" t="s">
        <v>512</v>
      </c>
      <c r="S196" s="18" t="s">
        <v>245</v>
      </c>
      <c r="T196" s="18" t="s">
        <v>513</v>
      </c>
      <c r="U196" s="28">
        <v>45650</v>
      </c>
      <c r="V196" s="28">
        <v>45684</v>
      </c>
      <c r="W196" s="22">
        <f t="shared" ca="1" si="20"/>
        <v>-401</v>
      </c>
      <c r="X196" s="31" t="str">
        <f t="shared" ca="1" si="21"/>
        <v>Vencido</v>
      </c>
      <c r="Y196" s="18" t="s">
        <v>514</v>
      </c>
      <c r="Z196" s="18" t="s">
        <v>468</v>
      </c>
    </row>
    <row r="197" spans="1:27" ht="119.25" customHeight="1">
      <c r="A197" s="18"/>
      <c r="B197" s="18" t="s">
        <v>19</v>
      </c>
      <c r="C197" s="18" t="s">
        <v>515</v>
      </c>
      <c r="D197" s="18">
        <v>7167466</v>
      </c>
      <c r="E197" s="18">
        <v>5</v>
      </c>
      <c r="F197" s="18">
        <v>71</v>
      </c>
      <c r="G197" s="18" t="s">
        <v>22</v>
      </c>
      <c r="H197" s="18" t="s">
        <v>509</v>
      </c>
      <c r="I197" s="18">
        <v>2025</v>
      </c>
      <c r="J197" s="18" t="s">
        <v>41</v>
      </c>
      <c r="K197" s="18" t="s">
        <v>161</v>
      </c>
      <c r="L197" s="18" t="s">
        <v>267</v>
      </c>
      <c r="M197" s="18" t="s">
        <v>268</v>
      </c>
      <c r="N197" s="18" t="s">
        <v>35</v>
      </c>
      <c r="O197" s="18" t="s">
        <v>36</v>
      </c>
      <c r="P197" s="18" t="s">
        <v>28</v>
      </c>
      <c r="Q197" s="18"/>
      <c r="R197" s="33" t="s">
        <v>516</v>
      </c>
      <c r="S197" s="18" t="s">
        <v>245</v>
      </c>
      <c r="T197" s="18" t="s">
        <v>233</v>
      </c>
      <c r="U197" s="28">
        <v>45679</v>
      </c>
      <c r="V197" s="28">
        <v>45710</v>
      </c>
      <c r="W197" s="18">
        <f t="shared" ca="1" si="20"/>
        <v>-375</v>
      </c>
      <c r="X197" s="18" t="str">
        <f t="shared" ca="1" si="21"/>
        <v>Vencido</v>
      </c>
      <c r="Y197" s="18" t="s">
        <v>517</v>
      </c>
      <c r="Z197" s="18" t="s">
        <v>468</v>
      </c>
    </row>
    <row r="198" spans="1:27" s="7" customFormat="1" ht="139.5" customHeight="1">
      <c r="A198" s="15">
        <v>20</v>
      </c>
      <c r="B198" s="21" t="s">
        <v>19</v>
      </c>
      <c r="C198" s="22" t="s">
        <v>518</v>
      </c>
      <c r="D198" s="22">
        <v>6568550</v>
      </c>
      <c r="E198" s="22">
        <v>7</v>
      </c>
      <c r="F198" s="22">
        <v>73</v>
      </c>
      <c r="G198" s="22" t="s">
        <v>150</v>
      </c>
      <c r="H198" s="22" t="s">
        <v>23</v>
      </c>
      <c r="I198" s="22">
        <v>2023</v>
      </c>
      <c r="J198" s="29">
        <v>45470</v>
      </c>
      <c r="K198" s="22" t="s">
        <v>24</v>
      </c>
      <c r="L198" s="26" t="s">
        <v>519</v>
      </c>
      <c r="M198" s="29">
        <v>45224</v>
      </c>
      <c r="N198" s="22" t="s">
        <v>520</v>
      </c>
      <c r="O198" s="22" t="s">
        <v>36</v>
      </c>
      <c r="P198" s="22" t="s">
        <v>28</v>
      </c>
      <c r="Q198" s="22"/>
      <c r="R198" s="26" t="s">
        <v>521</v>
      </c>
      <c r="S198" s="22" t="s">
        <v>245</v>
      </c>
      <c r="T198" s="22" t="s">
        <v>233</v>
      </c>
      <c r="U198" s="29">
        <v>45679</v>
      </c>
      <c r="V198" s="29">
        <v>45710</v>
      </c>
      <c r="W198" s="22">
        <f t="shared" ca="1" si="20"/>
        <v>-375</v>
      </c>
      <c r="X198" s="17" t="str">
        <f t="shared" ca="1" si="21"/>
        <v>Vencido</v>
      </c>
      <c r="Y198" s="38" t="s">
        <v>522</v>
      </c>
      <c r="Z198" s="38" t="s">
        <v>468</v>
      </c>
    </row>
    <row r="199" spans="1:27" s="7" customFormat="1" ht="112.5" customHeight="1">
      <c r="A199" s="18"/>
      <c r="B199" s="23" t="s">
        <v>19</v>
      </c>
      <c r="C199" s="18" t="s">
        <v>523</v>
      </c>
      <c r="D199" s="18">
        <v>6468179</v>
      </c>
      <c r="E199" s="18">
        <v>6</v>
      </c>
      <c r="F199" s="18">
        <v>74</v>
      </c>
      <c r="G199" s="18" t="s">
        <v>524</v>
      </c>
      <c r="H199" s="18" t="s">
        <v>525</v>
      </c>
      <c r="I199" s="18">
        <v>2024</v>
      </c>
      <c r="J199" s="28">
        <v>45674</v>
      </c>
      <c r="K199" s="18" t="s">
        <v>266</v>
      </c>
      <c r="L199" s="18" t="s">
        <v>47</v>
      </c>
      <c r="M199" s="28">
        <v>45623</v>
      </c>
      <c r="N199" s="18" t="s">
        <v>526</v>
      </c>
      <c r="O199" s="18" t="s">
        <v>36</v>
      </c>
      <c r="P199" s="18" t="s">
        <v>28</v>
      </c>
      <c r="Q199" s="18"/>
      <c r="R199" s="18" t="s">
        <v>527</v>
      </c>
      <c r="S199" s="18" t="s">
        <v>245</v>
      </c>
      <c r="T199" s="18" t="s">
        <v>233</v>
      </c>
      <c r="U199" s="28">
        <v>45684</v>
      </c>
      <c r="V199" s="28">
        <v>45715</v>
      </c>
      <c r="W199" s="18">
        <f t="shared" ca="1" si="20"/>
        <v>-370</v>
      </c>
      <c r="X199" s="18" t="str">
        <f t="shared" ca="1" si="21"/>
        <v>Vencido</v>
      </c>
      <c r="Y199" s="18" t="s">
        <v>528</v>
      </c>
      <c r="Z199" s="18" t="s">
        <v>468</v>
      </c>
    </row>
    <row r="200" spans="1:27" ht="120" customHeight="1">
      <c r="A200" s="18"/>
      <c r="B200" s="18" t="s">
        <v>19</v>
      </c>
      <c r="C200" s="18" t="s">
        <v>529</v>
      </c>
      <c r="D200" s="18">
        <v>4500194</v>
      </c>
      <c r="E200" s="18">
        <v>6</v>
      </c>
      <c r="F200" s="18">
        <v>84</v>
      </c>
      <c r="G200" s="18" t="s">
        <v>22</v>
      </c>
      <c r="H200" s="18" t="s">
        <v>530</v>
      </c>
      <c r="I200" s="18">
        <v>2024</v>
      </c>
      <c r="J200" s="28">
        <v>45603</v>
      </c>
      <c r="K200" s="18" t="s">
        <v>24</v>
      </c>
      <c r="L200" s="18" t="s">
        <v>182</v>
      </c>
      <c r="M200" s="28">
        <v>45616</v>
      </c>
      <c r="N200" s="18" t="s">
        <v>531</v>
      </c>
      <c r="O200" s="18" t="s">
        <v>82</v>
      </c>
      <c r="P200" s="18" t="s">
        <v>28</v>
      </c>
      <c r="Q200" s="18"/>
      <c r="R200" s="18" t="s">
        <v>532</v>
      </c>
      <c r="S200" s="18" t="s">
        <v>334</v>
      </c>
      <c r="T200" s="18" t="s">
        <v>233</v>
      </c>
      <c r="U200" s="28">
        <v>45653</v>
      </c>
      <c r="V200" s="28">
        <v>45684</v>
      </c>
      <c r="W200" s="18">
        <f t="shared" ca="1" si="20"/>
        <v>-401</v>
      </c>
      <c r="X200" s="18" t="str">
        <f t="shared" ca="1" si="21"/>
        <v>Vencido</v>
      </c>
      <c r="Y200" s="18" t="s">
        <v>533</v>
      </c>
      <c r="Z200" s="18" t="s">
        <v>468</v>
      </c>
      <c r="AA200" s="11" t="s">
        <v>534</v>
      </c>
    </row>
    <row r="201" spans="1:27" s="7" customFormat="1" ht="63" customHeight="1">
      <c r="A201" s="18"/>
      <c r="B201" s="18" t="s">
        <v>19</v>
      </c>
      <c r="C201" s="18" t="s">
        <v>535</v>
      </c>
      <c r="D201" s="18">
        <v>11181875</v>
      </c>
      <c r="E201" s="18">
        <v>4</v>
      </c>
      <c r="F201" s="18">
        <v>58</v>
      </c>
      <c r="G201" s="18" t="s">
        <v>22</v>
      </c>
      <c r="H201" s="18" t="s">
        <v>509</v>
      </c>
      <c r="I201" s="18">
        <v>2025</v>
      </c>
      <c r="J201" s="18" t="s">
        <v>41</v>
      </c>
      <c r="K201" s="18" t="s">
        <v>266</v>
      </c>
      <c r="L201" s="17" t="s">
        <v>536</v>
      </c>
      <c r="M201" s="18" t="s">
        <v>268</v>
      </c>
      <c r="N201" s="18" t="s">
        <v>537</v>
      </c>
      <c r="O201" s="18" t="s">
        <v>36</v>
      </c>
      <c r="P201" s="18" t="s">
        <v>28</v>
      </c>
      <c r="Q201" s="18"/>
      <c r="R201" s="33" t="s">
        <v>538</v>
      </c>
      <c r="S201" s="18" t="s">
        <v>245</v>
      </c>
      <c r="T201" s="18" t="s">
        <v>233</v>
      </c>
      <c r="U201" s="28">
        <v>45722</v>
      </c>
      <c r="V201" s="28">
        <v>45730</v>
      </c>
      <c r="W201" s="18">
        <f t="shared" ca="1" si="20"/>
        <v>-355</v>
      </c>
      <c r="X201" s="18" t="str">
        <f t="shared" ca="1" si="21"/>
        <v>Vencido</v>
      </c>
      <c r="Y201" s="18" t="s">
        <v>539</v>
      </c>
      <c r="Z201" s="18" t="s">
        <v>540</v>
      </c>
    </row>
    <row r="202" spans="1:27" s="7" customFormat="1" ht="132" customHeight="1">
      <c r="A202" s="15">
        <v>60</v>
      </c>
      <c r="B202" s="21" t="s">
        <v>19</v>
      </c>
      <c r="C202" s="22" t="s">
        <v>541</v>
      </c>
      <c r="D202" s="22">
        <v>2384249</v>
      </c>
      <c r="E202" s="22">
        <v>1</v>
      </c>
      <c r="F202" s="22">
        <v>92</v>
      </c>
      <c r="G202" s="22" t="s">
        <v>150</v>
      </c>
      <c r="H202" s="22" t="s">
        <v>23</v>
      </c>
      <c r="I202" s="22">
        <v>2022</v>
      </c>
      <c r="J202" s="29" t="s">
        <v>41</v>
      </c>
      <c r="K202" s="22" t="s">
        <v>24</v>
      </c>
      <c r="L202" s="26" t="s">
        <v>213</v>
      </c>
      <c r="M202" s="29" t="s">
        <v>34</v>
      </c>
      <c r="N202" s="22" t="s">
        <v>35</v>
      </c>
      <c r="O202" s="22" t="s">
        <v>36</v>
      </c>
      <c r="P202" s="22" t="s">
        <v>169</v>
      </c>
      <c r="Q202" s="22"/>
      <c r="R202" s="26" t="s">
        <v>542</v>
      </c>
      <c r="S202" s="22" t="s">
        <v>281</v>
      </c>
      <c r="T202" s="22" t="s">
        <v>233</v>
      </c>
      <c r="U202" s="29">
        <v>45737</v>
      </c>
      <c r="V202" s="29">
        <v>45740</v>
      </c>
      <c r="W202" s="22">
        <f t="shared" ca="1" si="20"/>
        <v>-345</v>
      </c>
      <c r="X202" s="17" t="str">
        <f t="shared" ca="1" si="21"/>
        <v>Vencido</v>
      </c>
      <c r="Y202" s="27" t="s">
        <v>543</v>
      </c>
      <c r="Z202" s="17" t="s">
        <v>540</v>
      </c>
    </row>
    <row r="203" spans="1:27" ht="117" customHeight="1">
      <c r="A203" s="18"/>
      <c r="B203" s="16" t="s">
        <v>170</v>
      </c>
      <c r="C203" s="18" t="s">
        <v>544</v>
      </c>
      <c r="D203" s="18">
        <v>8847411</v>
      </c>
      <c r="E203" s="18">
        <v>2</v>
      </c>
      <c r="F203" s="18">
        <v>65</v>
      </c>
      <c r="G203" s="18" t="s">
        <v>22</v>
      </c>
      <c r="H203" s="18" t="s">
        <v>545</v>
      </c>
      <c r="I203" s="18">
        <v>2025</v>
      </c>
      <c r="J203" s="18"/>
      <c r="K203" s="18" t="s">
        <v>24</v>
      </c>
      <c r="L203" s="17" t="s">
        <v>51</v>
      </c>
      <c r="M203" s="18" t="s">
        <v>546</v>
      </c>
      <c r="N203" s="18" t="s">
        <v>34</v>
      </c>
      <c r="O203" s="18" t="s">
        <v>36</v>
      </c>
      <c r="P203" s="18" t="s">
        <v>28</v>
      </c>
      <c r="Q203" s="18" t="s">
        <v>547</v>
      </c>
      <c r="R203" s="18" t="s">
        <v>548</v>
      </c>
      <c r="S203" s="18" t="s">
        <v>549</v>
      </c>
      <c r="T203" s="18" t="s">
        <v>550</v>
      </c>
      <c r="U203" s="28">
        <v>45729</v>
      </c>
      <c r="V203" s="28">
        <v>45760</v>
      </c>
      <c r="W203" s="18">
        <f ca="1">V203-TODAY()</f>
        <v>-325</v>
      </c>
      <c r="X203" s="17" t="str">
        <f ca="1">IF(W203&gt;=25,"Vigente",IF(AND(W203&gt;=1,W203&lt;=25),"Por Vencer","Vencido"))</f>
        <v>Vencido</v>
      </c>
      <c r="Y203" s="18"/>
      <c r="Z203" s="18" t="s">
        <v>534</v>
      </c>
    </row>
    <row r="204" spans="1:27" ht="93.75" customHeight="1">
      <c r="A204" s="10"/>
      <c r="B204" s="19" t="s">
        <v>19</v>
      </c>
      <c r="C204" s="24" t="s">
        <v>551</v>
      </c>
      <c r="D204" s="25">
        <v>7994518</v>
      </c>
      <c r="E204" s="25">
        <v>8</v>
      </c>
      <c r="F204" s="10">
        <v>70</v>
      </c>
      <c r="G204" s="24"/>
      <c r="H204" s="24" t="s">
        <v>509</v>
      </c>
      <c r="I204" s="24"/>
      <c r="J204" s="30"/>
      <c r="K204" s="30"/>
      <c r="L204" s="30"/>
      <c r="M204" s="30"/>
      <c r="N204" s="24"/>
      <c r="O204" s="24" t="s">
        <v>36</v>
      </c>
      <c r="P204" s="24" t="s">
        <v>28</v>
      </c>
      <c r="Q204" s="24"/>
      <c r="R204" s="24" t="s">
        <v>552</v>
      </c>
      <c r="S204" s="24"/>
      <c r="T204" s="24"/>
      <c r="U204" s="34">
        <v>45758</v>
      </c>
      <c r="V204" s="34">
        <v>45788</v>
      </c>
      <c r="W204" s="24"/>
      <c r="X204" s="24"/>
      <c r="Y204" s="24" t="s">
        <v>553</v>
      </c>
      <c r="Z204" s="18" t="s">
        <v>534</v>
      </c>
    </row>
    <row r="205" spans="1:27" ht="53.25" customHeight="1">
      <c r="A205" s="106"/>
      <c r="B205" s="16" t="s">
        <v>19</v>
      </c>
      <c r="C205" s="18" t="s">
        <v>554</v>
      </c>
      <c r="D205" s="18">
        <v>6826415</v>
      </c>
      <c r="E205" s="18">
        <v>4</v>
      </c>
      <c r="F205" s="18"/>
      <c r="G205" s="18" t="s">
        <v>22</v>
      </c>
      <c r="H205" s="18" t="s">
        <v>156</v>
      </c>
      <c r="I205" s="18">
        <v>2024</v>
      </c>
      <c r="J205" s="18" t="s">
        <v>537</v>
      </c>
      <c r="K205" s="18" t="s">
        <v>161</v>
      </c>
      <c r="L205" s="17" t="s">
        <v>51</v>
      </c>
      <c r="M205" s="18" t="s">
        <v>546</v>
      </c>
      <c r="N205" s="18" t="s">
        <v>34</v>
      </c>
      <c r="O205" s="18" t="s">
        <v>36</v>
      </c>
      <c r="P205" s="18" t="s">
        <v>28</v>
      </c>
      <c r="Q205" s="18"/>
      <c r="R205" s="20" t="s">
        <v>555</v>
      </c>
      <c r="S205" s="18" t="s">
        <v>556</v>
      </c>
      <c r="T205" s="18" t="s">
        <v>550</v>
      </c>
      <c r="U205" s="28">
        <v>45742</v>
      </c>
      <c r="V205" s="28">
        <v>45718</v>
      </c>
      <c r="W205" s="18">
        <f ca="1">V205-TODAY()</f>
        <v>-367</v>
      </c>
      <c r="X205" s="17" t="str">
        <f ca="1">IF(W205&gt;=25,"Vigente",IF(AND(W205&gt;=1,W205&lt;=25),"Por Vencer","Vencido"))</f>
        <v>Vencido</v>
      </c>
      <c r="Y205" s="18" t="s">
        <v>557</v>
      </c>
      <c r="Z205" s="18" t="s">
        <v>534</v>
      </c>
    </row>
    <row r="206" spans="1:27" ht="53.25" customHeight="1">
      <c r="A206" s="106"/>
      <c r="B206" s="16" t="s">
        <v>19</v>
      </c>
      <c r="C206" s="32" t="s">
        <v>558</v>
      </c>
      <c r="D206" s="18">
        <v>8493278</v>
      </c>
      <c r="E206" s="18">
        <v>7</v>
      </c>
      <c r="F206" s="18">
        <v>66</v>
      </c>
      <c r="G206" s="18" t="s">
        <v>22</v>
      </c>
      <c r="H206" s="18" t="s">
        <v>509</v>
      </c>
      <c r="I206" s="18">
        <v>2025</v>
      </c>
      <c r="J206" s="18" t="s">
        <v>41</v>
      </c>
      <c r="K206" s="18" t="s">
        <v>161</v>
      </c>
      <c r="L206" s="17" t="s">
        <v>51</v>
      </c>
      <c r="M206" s="18" t="s">
        <v>268</v>
      </c>
      <c r="N206" s="18" t="s">
        <v>35</v>
      </c>
      <c r="O206" s="18" t="s">
        <v>36</v>
      </c>
      <c r="P206" s="18" t="s">
        <v>28</v>
      </c>
      <c r="Q206" s="18"/>
      <c r="R206" s="33" t="s">
        <v>559</v>
      </c>
      <c r="S206" s="18" t="s">
        <v>245</v>
      </c>
      <c r="T206" s="18" t="s">
        <v>233</v>
      </c>
      <c r="U206" s="28">
        <v>45763</v>
      </c>
      <c r="V206" s="28">
        <v>45778</v>
      </c>
      <c r="W206" s="22">
        <f ca="1">V206-TODAY()</f>
        <v>-307</v>
      </c>
      <c r="X206" s="103" t="str">
        <f ca="1">IF(W206&gt;=25,"Vigente",IF(AND(W206&gt;=1,W206&lt;=25),"Por Vencer","Vencido"))</f>
        <v>Vencido</v>
      </c>
      <c r="Y206" s="18" t="s">
        <v>560</v>
      </c>
      <c r="Z206" s="18" t="s">
        <v>561</v>
      </c>
      <c r="AA206" s="11" t="s">
        <v>562</v>
      </c>
    </row>
    <row r="207" spans="1:27" ht="53.25" customHeight="1">
      <c r="A207" s="11">
        <v>4</v>
      </c>
      <c r="B207" s="11" t="s">
        <v>19</v>
      </c>
      <c r="C207" s="11" t="s">
        <v>563</v>
      </c>
      <c r="D207" s="12">
        <v>11512680</v>
      </c>
      <c r="E207" s="12">
        <v>6</v>
      </c>
      <c r="F207" s="11">
        <v>55</v>
      </c>
      <c r="G207" s="11" t="s">
        <v>22</v>
      </c>
      <c r="H207" s="11" t="s">
        <v>564</v>
      </c>
      <c r="I207" s="11">
        <v>2024</v>
      </c>
      <c r="J207" s="14">
        <v>45487</v>
      </c>
      <c r="K207" s="11" t="s">
        <v>24</v>
      </c>
      <c r="L207" s="13" t="s">
        <v>182</v>
      </c>
      <c r="M207" s="14">
        <v>45476</v>
      </c>
      <c r="N207" s="11" t="s">
        <v>565</v>
      </c>
      <c r="O207" s="11" t="s">
        <v>36</v>
      </c>
      <c r="P207" s="11" t="s">
        <v>28</v>
      </c>
      <c r="R207" s="11" t="s">
        <v>566</v>
      </c>
      <c r="S207" s="11" t="s">
        <v>245</v>
      </c>
      <c r="T207" s="11" t="s">
        <v>233</v>
      </c>
      <c r="U207" s="11">
        <v>45744</v>
      </c>
      <c r="V207" s="11">
        <v>45836</v>
      </c>
      <c r="W207" s="11">
        <v>11</v>
      </c>
      <c r="X207" s="11" t="s">
        <v>567</v>
      </c>
      <c r="Y207" s="11" t="s">
        <v>568</v>
      </c>
      <c r="Z207" s="11" t="s">
        <v>569</v>
      </c>
      <c r="AA207" s="11" t="s">
        <v>570</v>
      </c>
    </row>
    <row r="208" spans="1:27" ht="93.75" customHeight="1">
      <c r="A208" s="10"/>
      <c r="B208" s="19" t="s">
        <v>19</v>
      </c>
      <c r="C208" s="172" t="s">
        <v>571</v>
      </c>
      <c r="D208" s="2">
        <v>9419904</v>
      </c>
      <c r="E208" s="107">
        <v>2</v>
      </c>
      <c r="F208" s="10">
        <v>62</v>
      </c>
      <c r="G208" s="24"/>
      <c r="H208" s="24" t="s">
        <v>156</v>
      </c>
      <c r="I208" s="24"/>
      <c r="J208" s="30"/>
      <c r="K208" s="30"/>
      <c r="L208" s="30"/>
      <c r="M208" s="30"/>
      <c r="N208" s="24"/>
      <c r="O208" s="18" t="s">
        <v>36</v>
      </c>
      <c r="P208" s="18" t="s">
        <v>28</v>
      </c>
      <c r="Q208" s="24"/>
      <c r="R208" s="105" t="s">
        <v>572</v>
      </c>
      <c r="S208" s="24"/>
      <c r="T208" s="24"/>
      <c r="U208" s="34">
        <v>45763</v>
      </c>
      <c r="V208" s="34">
        <v>45793</v>
      </c>
      <c r="W208" s="22">
        <f t="shared" ref="W208:W215" ca="1" si="22">V208-TODAY()</f>
        <v>-292</v>
      </c>
      <c r="X208" s="104" t="str">
        <f ca="1">IF(W208&gt;=25,"Vigente",IF(AND(W208&gt;=1,W208&lt;=25),"Por Vencer","Vencido"))</f>
        <v>Vencido</v>
      </c>
      <c r="Y208" s="24" t="s">
        <v>573</v>
      </c>
      <c r="Z208" s="18" t="s">
        <v>574</v>
      </c>
    </row>
    <row r="209" spans="1:28" s="7" customFormat="1" ht="144" customHeight="1">
      <c r="A209" s="15">
        <v>44</v>
      </c>
      <c r="B209" s="16" t="s">
        <v>19</v>
      </c>
      <c r="C209" s="26" t="s">
        <v>575</v>
      </c>
      <c r="D209" s="22">
        <v>6522983</v>
      </c>
      <c r="E209" s="22">
        <v>8</v>
      </c>
      <c r="F209" s="22">
        <v>73</v>
      </c>
      <c r="G209" s="22" t="s">
        <v>22</v>
      </c>
      <c r="H209" s="22" t="s">
        <v>156</v>
      </c>
      <c r="I209" s="22" t="s">
        <v>40</v>
      </c>
      <c r="J209" s="22" t="s">
        <v>41</v>
      </c>
      <c r="K209" s="22" t="s">
        <v>161</v>
      </c>
      <c r="L209" s="17" t="s">
        <v>51</v>
      </c>
      <c r="M209" s="22" t="s">
        <v>34</v>
      </c>
      <c r="N209" s="22" t="s">
        <v>35</v>
      </c>
      <c r="O209" s="22" t="s">
        <v>36</v>
      </c>
      <c r="P209" s="22" t="s">
        <v>28</v>
      </c>
      <c r="Q209" s="22"/>
      <c r="R209" s="171" t="s">
        <v>576</v>
      </c>
      <c r="S209" s="22" t="s">
        <v>577</v>
      </c>
      <c r="T209" s="22" t="s">
        <v>233</v>
      </c>
      <c r="U209" s="111">
        <v>45735</v>
      </c>
      <c r="V209" s="111">
        <v>45766</v>
      </c>
      <c r="W209" s="110">
        <f t="shared" ca="1" si="22"/>
        <v>-319</v>
      </c>
      <c r="X209" s="112" t="str">
        <f ca="1">IF(W209&gt;=25,"Vigente",IF(AND(W209&gt;=1,W209&lt;=25),"Por Vencer","Vencido"))</f>
        <v>Vencido</v>
      </c>
      <c r="Y209" s="18" t="s">
        <v>578</v>
      </c>
      <c r="Z209" s="18" t="s">
        <v>540</v>
      </c>
      <c r="AA209" s="35" t="e" cm="1">
        <f t="array" aca="1" ref="AA209" ca="1">ABS(X)</f>
        <v>#NAME?</v>
      </c>
    </row>
    <row r="210" spans="1:28" ht="93.75" customHeight="1">
      <c r="A210" s="10"/>
      <c r="B210" s="52" t="s">
        <v>19</v>
      </c>
      <c r="C210" s="115" t="s">
        <v>579</v>
      </c>
      <c r="D210" s="10">
        <v>27064008</v>
      </c>
      <c r="E210" s="10">
        <v>7</v>
      </c>
      <c r="F210" s="10">
        <v>59</v>
      </c>
      <c r="G210" s="24" t="s">
        <v>22</v>
      </c>
      <c r="H210" s="24" t="s">
        <v>580</v>
      </c>
      <c r="I210" s="24">
        <v>2025</v>
      </c>
      <c r="J210" s="30"/>
      <c r="K210" s="30" t="s">
        <v>24</v>
      </c>
      <c r="L210" s="30" t="s">
        <v>581</v>
      </c>
      <c r="M210" s="30"/>
      <c r="N210" s="24" t="s">
        <v>582</v>
      </c>
      <c r="O210" s="24" t="s">
        <v>36</v>
      </c>
      <c r="P210" s="24" t="s">
        <v>169</v>
      </c>
      <c r="R210" s="24" t="s">
        <v>583</v>
      </c>
      <c r="U210" s="108">
        <v>45853</v>
      </c>
      <c r="V210" s="108">
        <v>45863</v>
      </c>
      <c r="W210" s="10">
        <f t="shared" ca="1" si="22"/>
        <v>-222</v>
      </c>
      <c r="X210" s="122" t="str">
        <f ca="1">IF(W210&gt;=25,"Vigente",IF(AND(W210&gt;=1,W210&lt;=25),"Por Vencer","Vencido"))</f>
        <v>Vencido</v>
      </c>
      <c r="Y210" s="24" t="s">
        <v>584</v>
      </c>
      <c r="Z210" s="24" t="s">
        <v>585</v>
      </c>
      <c r="AA210" s="24" t="s">
        <v>586</v>
      </c>
    </row>
    <row r="211" spans="1:28" ht="129.75" customHeight="1">
      <c r="A211" s="10">
        <v>43</v>
      </c>
      <c r="B211" s="24" t="s">
        <v>19</v>
      </c>
      <c r="C211" s="115" t="s">
        <v>587</v>
      </c>
      <c r="D211" s="124">
        <v>5960816</v>
      </c>
      <c r="E211" s="10">
        <v>9</v>
      </c>
      <c r="F211" s="10">
        <v>77</v>
      </c>
      <c r="G211" s="24" t="s">
        <v>588</v>
      </c>
      <c r="H211" s="24" t="s">
        <v>589</v>
      </c>
      <c r="I211" s="24">
        <v>2025</v>
      </c>
      <c r="J211" s="30"/>
      <c r="K211" s="30" t="s">
        <v>24</v>
      </c>
      <c r="L211" s="30" t="s">
        <v>267</v>
      </c>
      <c r="M211" s="30"/>
      <c r="N211" s="24"/>
      <c r="O211" s="10" t="s">
        <v>36</v>
      </c>
      <c r="P211" s="10" t="s">
        <v>28</v>
      </c>
      <c r="Q211" s="24"/>
      <c r="R211" s="24" t="s">
        <v>590</v>
      </c>
      <c r="S211" s="24"/>
      <c r="T211" s="24"/>
      <c r="U211" s="108">
        <v>38865</v>
      </c>
      <c r="V211" s="108">
        <v>45866</v>
      </c>
      <c r="W211" s="10">
        <f t="shared" ca="1" si="22"/>
        <v>-219</v>
      </c>
      <c r="X211" s="10" t="str">
        <f ca="1">IF('BAJO CONTROL '!W19&gt;=25,"Vigente",IF(AND('BAJO CONTROL '!W19&gt;=1,'BAJO CONTROL '!W19&lt;=25),"Por Vencer","Vencido"))</f>
        <v>Vencido</v>
      </c>
      <c r="Y211" s="24" t="s">
        <v>591</v>
      </c>
      <c r="Z211" s="24" t="s">
        <v>592</v>
      </c>
      <c r="AA211" s="24" t="s">
        <v>534</v>
      </c>
    </row>
    <row r="212" spans="1:28" ht="116.25" customHeight="1">
      <c r="A212" s="117">
        <v>21</v>
      </c>
      <c r="B212" s="18" t="s">
        <v>19</v>
      </c>
      <c r="C212" s="115" t="s">
        <v>593</v>
      </c>
      <c r="D212" s="10">
        <v>5609444</v>
      </c>
      <c r="E212" s="10" t="s">
        <v>68</v>
      </c>
      <c r="F212" s="10">
        <v>77</v>
      </c>
      <c r="G212" s="10" t="s">
        <v>22</v>
      </c>
      <c r="H212" s="10" t="s">
        <v>332</v>
      </c>
      <c r="I212" s="10">
        <v>2024</v>
      </c>
      <c r="J212" s="10" t="s">
        <v>594</v>
      </c>
      <c r="K212" s="10" t="s">
        <v>266</v>
      </c>
      <c r="L212" s="112" t="s">
        <v>51</v>
      </c>
      <c r="M212" s="108">
        <v>45693</v>
      </c>
      <c r="N212" s="10" t="s">
        <v>595</v>
      </c>
      <c r="O212" s="10" t="s">
        <v>36</v>
      </c>
      <c r="P212" s="10" t="s">
        <v>28</v>
      </c>
      <c r="Q212" s="18"/>
      <c r="R212" s="18" t="s">
        <v>596</v>
      </c>
      <c r="S212" s="18" t="s">
        <v>245</v>
      </c>
      <c r="T212" s="18" t="s">
        <v>233</v>
      </c>
      <c r="U212" s="108">
        <v>45833</v>
      </c>
      <c r="V212" s="108">
        <v>45894</v>
      </c>
      <c r="W212" s="10">
        <f t="shared" ca="1" si="22"/>
        <v>-191</v>
      </c>
      <c r="X212" s="10" t="str">
        <f ca="1">IF(W212&gt;=25,"Vigente",IF(AND(W212&gt;=1,W212&lt;=25),"Por Vencer","Vencido"))</f>
        <v>Vencido</v>
      </c>
      <c r="Y212" s="18" t="s">
        <v>597</v>
      </c>
      <c r="Z212" s="18" t="s">
        <v>258</v>
      </c>
      <c r="AA212" s="120" t="s">
        <v>598</v>
      </c>
    </row>
    <row r="213" spans="1:28" ht="145.5" customHeight="1">
      <c r="A213" s="118">
        <v>27</v>
      </c>
      <c r="B213" s="24" t="s">
        <v>19</v>
      </c>
      <c r="C213" s="115" t="s">
        <v>599</v>
      </c>
      <c r="D213" s="113">
        <v>5593891</v>
      </c>
      <c r="E213" s="113">
        <v>1</v>
      </c>
      <c r="F213" s="10"/>
      <c r="G213" s="24"/>
      <c r="H213" s="24" t="s">
        <v>600</v>
      </c>
      <c r="I213" s="24"/>
      <c r="J213" s="30"/>
      <c r="K213" s="30"/>
      <c r="L213" s="30"/>
      <c r="M213" s="30"/>
      <c r="N213" s="24"/>
      <c r="O213" s="10" t="s">
        <v>36</v>
      </c>
      <c r="P213" s="10" t="s">
        <v>28</v>
      </c>
      <c r="Q213" s="24"/>
      <c r="R213" s="105" t="s">
        <v>601</v>
      </c>
      <c r="S213" s="24"/>
      <c r="T213" s="24"/>
      <c r="U213" s="108">
        <v>45799</v>
      </c>
      <c r="V213" s="108">
        <v>45860</v>
      </c>
      <c r="W213" s="10">
        <f t="shared" ca="1" si="22"/>
        <v>-225</v>
      </c>
      <c r="X213" s="10" t="str">
        <f ca="1">IF('BAJO CONTROL '!W22&gt;=25,"Vigente",IF(AND('BAJO CONTROL '!W22&gt;=1,'BAJO CONTROL '!W22&lt;=25),"Por Vencer","Vencido"))</f>
        <v>Vencido</v>
      </c>
      <c r="Y213" s="24" t="s">
        <v>602</v>
      </c>
      <c r="Z213" s="24" t="s">
        <v>592</v>
      </c>
      <c r="AA213" s="24" t="s">
        <v>534</v>
      </c>
    </row>
    <row r="214" spans="1:28" ht="93.75" customHeight="1">
      <c r="A214" s="117">
        <v>31</v>
      </c>
      <c r="B214" s="17" t="s">
        <v>19</v>
      </c>
      <c r="C214" s="114" t="s">
        <v>603</v>
      </c>
      <c r="D214" s="10">
        <v>6467871</v>
      </c>
      <c r="E214" s="10" t="s">
        <v>68</v>
      </c>
      <c r="F214" s="10">
        <v>74</v>
      </c>
      <c r="G214" s="10" t="s">
        <v>22</v>
      </c>
      <c r="H214" s="10" t="s">
        <v>604</v>
      </c>
      <c r="I214" s="10">
        <v>2025</v>
      </c>
      <c r="J214" s="10"/>
      <c r="K214" s="10"/>
      <c r="L214" s="10" t="s">
        <v>581</v>
      </c>
      <c r="M214" s="108">
        <v>45749</v>
      </c>
      <c r="N214" s="10" t="s">
        <v>605</v>
      </c>
      <c r="O214" s="10" t="s">
        <v>606</v>
      </c>
      <c r="P214" s="10" t="s">
        <v>607</v>
      </c>
      <c r="Q214" s="18"/>
      <c r="R214" s="20" t="s">
        <v>608</v>
      </c>
      <c r="S214" s="17" t="s">
        <v>245</v>
      </c>
      <c r="T214" s="18" t="s">
        <v>233</v>
      </c>
      <c r="U214" s="108">
        <v>45845</v>
      </c>
      <c r="V214" s="108">
        <v>45876</v>
      </c>
      <c r="W214" s="10">
        <f t="shared" ca="1" si="22"/>
        <v>-209</v>
      </c>
      <c r="X214" s="121" t="str">
        <f ca="1">IF(W214&gt;=25,"Vigente",IF(AND(W214&gt;=1,W214&lt;=25),"Por Vencer","Vencido"))</f>
        <v>Vencido</v>
      </c>
      <c r="Y214" s="18" t="s">
        <v>609</v>
      </c>
      <c r="Z214" s="18" t="s">
        <v>258</v>
      </c>
      <c r="AA214" s="24" t="s">
        <v>610</v>
      </c>
    </row>
    <row r="215" spans="1:28" ht="93.75" customHeight="1">
      <c r="A215" s="117">
        <v>34</v>
      </c>
      <c r="B215" s="18" t="s">
        <v>19</v>
      </c>
      <c r="C215" s="114" t="s">
        <v>611</v>
      </c>
      <c r="D215" s="10">
        <v>4385357</v>
      </c>
      <c r="E215" s="10">
        <v>0</v>
      </c>
      <c r="F215" s="10">
        <v>85</v>
      </c>
      <c r="G215" s="10" t="s">
        <v>22</v>
      </c>
      <c r="H215" s="10" t="s">
        <v>509</v>
      </c>
      <c r="I215" s="10">
        <v>2024</v>
      </c>
      <c r="J215" s="108">
        <v>45534</v>
      </c>
      <c r="K215" s="10" t="s">
        <v>161</v>
      </c>
      <c r="L215" s="112" t="s">
        <v>51</v>
      </c>
      <c r="M215" s="108">
        <v>45644</v>
      </c>
      <c r="N215" s="10" t="s">
        <v>612</v>
      </c>
      <c r="O215" s="10" t="s">
        <v>36</v>
      </c>
      <c r="P215" s="10" t="s">
        <v>28</v>
      </c>
      <c r="Q215" s="18"/>
      <c r="R215" s="18" t="s">
        <v>613</v>
      </c>
      <c r="S215" s="18" t="s">
        <v>245</v>
      </c>
      <c r="T215" s="18" t="s">
        <v>233</v>
      </c>
      <c r="U215" s="108">
        <v>45814</v>
      </c>
      <c r="V215" s="108">
        <v>45844</v>
      </c>
      <c r="W215" s="10">
        <f t="shared" ca="1" si="22"/>
        <v>-241</v>
      </c>
      <c r="X215" s="10" t="str">
        <f ca="1">IF(W215&gt;=25,"Vigente",IF(AND(W215&gt;=1,W215&lt;=25),"Por Vencer","Vencido"))</f>
        <v>Vencido</v>
      </c>
      <c r="Y215" s="18" t="s">
        <v>614</v>
      </c>
      <c r="Z215" s="18" t="s">
        <v>615</v>
      </c>
      <c r="AA215" s="119" t="s">
        <v>616</v>
      </c>
    </row>
    <row r="216" spans="1:28" ht="53.25" customHeight="1">
      <c r="A216" s="115">
        <v>35</v>
      </c>
      <c r="B216" s="52" t="s">
        <v>19</v>
      </c>
      <c r="C216" s="125" t="s">
        <v>617</v>
      </c>
      <c r="D216" s="10">
        <v>4562329</v>
      </c>
      <c r="E216" s="10">
        <v>7</v>
      </c>
      <c r="F216" s="10"/>
      <c r="G216" s="52" t="s">
        <v>22</v>
      </c>
      <c r="H216" s="52" t="s">
        <v>23</v>
      </c>
      <c r="I216" s="24">
        <v>2025</v>
      </c>
      <c r="J216" s="30" t="s">
        <v>41</v>
      </c>
      <c r="K216" s="30" t="s">
        <v>24</v>
      </c>
      <c r="L216" s="30" t="s">
        <v>618</v>
      </c>
      <c r="M216" s="30" t="s">
        <v>294</v>
      </c>
      <c r="N216" s="24"/>
      <c r="O216" s="24" t="s">
        <v>36</v>
      </c>
      <c r="P216" s="24" t="s">
        <v>37</v>
      </c>
      <c r="Q216" s="24" t="s">
        <v>619</v>
      </c>
      <c r="R216" s="108">
        <v>45817</v>
      </c>
      <c r="S216" s="108">
        <v>45909</v>
      </c>
      <c r="T216" s="10">
        <v>4</v>
      </c>
      <c r="U216" s="10" t="s">
        <v>567</v>
      </c>
      <c r="V216" s="24" t="s">
        <v>620</v>
      </c>
      <c r="W216" s="18" t="s">
        <v>236</v>
      </c>
      <c r="X216" s="24"/>
      <c r="Y216" s="24"/>
      <c r="Z216" s="24"/>
      <c r="AA216" s="119" t="s">
        <v>616</v>
      </c>
    </row>
    <row r="217" spans="1:28" ht="53.25" customHeight="1">
      <c r="A217" s="24"/>
      <c r="B217" s="24"/>
      <c r="C217" s="126" t="s">
        <v>621</v>
      </c>
      <c r="D217" s="126">
        <v>7613392</v>
      </c>
      <c r="E217" s="126">
        <v>1</v>
      </c>
      <c r="F217" s="126"/>
      <c r="G217" s="126" t="s">
        <v>115</v>
      </c>
      <c r="H217" s="126" t="s">
        <v>156</v>
      </c>
      <c r="I217" s="126">
        <v>2025</v>
      </c>
      <c r="J217" s="126" t="s">
        <v>41</v>
      </c>
      <c r="K217" s="126" t="s">
        <v>161</v>
      </c>
      <c r="L217" s="126" t="s">
        <v>51</v>
      </c>
      <c r="M217" s="126" t="s">
        <v>206</v>
      </c>
      <c r="N217" s="126" t="s">
        <v>547</v>
      </c>
      <c r="O217" s="126" t="s">
        <v>36</v>
      </c>
      <c r="P217" s="126" t="s">
        <v>37</v>
      </c>
      <c r="Q217" s="126"/>
      <c r="R217" s="126" t="s">
        <v>622</v>
      </c>
      <c r="S217" s="126"/>
      <c r="T217" s="126"/>
      <c r="U217" s="135">
        <v>45848</v>
      </c>
      <c r="V217" s="135">
        <v>45879</v>
      </c>
      <c r="W217" s="126">
        <f t="shared" ref="W217:W220" ca="1" si="23">V217-TODAY()</f>
        <v>-206</v>
      </c>
      <c r="X217" s="137" t="str">
        <f ca="1">IF(W217&gt;=25,"Vigente",IF(AND(W217&gt;=1,W217&lt;=25),"Por Vencer","Vencido"))</f>
        <v>Vencido</v>
      </c>
      <c r="Y217" s="126"/>
      <c r="Z217" s="126" t="s">
        <v>592</v>
      </c>
      <c r="AA217" s="126" t="s">
        <v>623</v>
      </c>
    </row>
    <row r="218" spans="1:28" ht="53.25" customHeight="1">
      <c r="A218" s="24"/>
      <c r="B218" s="127" t="s">
        <v>19</v>
      </c>
      <c r="C218" s="127" t="s">
        <v>624</v>
      </c>
      <c r="D218" s="127">
        <v>15802351</v>
      </c>
      <c r="E218" s="127">
        <v>2</v>
      </c>
      <c r="F218" s="127">
        <v>39</v>
      </c>
      <c r="G218" s="127" t="s">
        <v>86</v>
      </c>
      <c r="H218" s="127" t="s">
        <v>625</v>
      </c>
      <c r="I218" s="127">
        <v>2024</v>
      </c>
      <c r="J218" s="128">
        <v>45670</v>
      </c>
      <c r="K218" s="127" t="s">
        <v>24</v>
      </c>
      <c r="L218" s="127" t="s">
        <v>182</v>
      </c>
      <c r="M218" s="128">
        <v>45679</v>
      </c>
      <c r="N218" s="127" t="s">
        <v>626</v>
      </c>
      <c r="O218" s="127" t="s">
        <v>627</v>
      </c>
      <c r="P218" s="127" t="s">
        <v>28</v>
      </c>
      <c r="Q218" s="139"/>
      <c r="R218" s="127" t="s">
        <v>628</v>
      </c>
      <c r="S218" s="139" t="s">
        <v>245</v>
      </c>
      <c r="T218" s="139" t="s">
        <v>233</v>
      </c>
      <c r="U218" s="128">
        <v>45902</v>
      </c>
      <c r="V218" s="128">
        <v>45916</v>
      </c>
      <c r="W218" s="127">
        <f t="shared" ca="1" si="23"/>
        <v>-169</v>
      </c>
      <c r="X218" s="146" t="str">
        <f t="shared" ref="X218:X220" ca="1" si="24">IF(W218&gt;=25,"Vigente",IF(AND(W218&gt;=1,W218&lt;=25),"Por Vencer","Vencido"))</f>
        <v>Vencido</v>
      </c>
      <c r="Y218" s="127" t="s">
        <v>629</v>
      </c>
      <c r="Z218" s="127" t="s">
        <v>301</v>
      </c>
      <c r="AA218" s="136" t="s">
        <v>534</v>
      </c>
    </row>
    <row r="219" spans="1:28" ht="53.25" customHeight="1">
      <c r="A219" s="129"/>
      <c r="B219" s="127" t="s">
        <v>19</v>
      </c>
      <c r="C219" s="127" t="s">
        <v>630</v>
      </c>
      <c r="D219" s="127">
        <v>3444625</v>
      </c>
      <c r="E219" s="127">
        <v>3</v>
      </c>
      <c r="F219" s="127">
        <v>92</v>
      </c>
      <c r="G219" s="127" t="s">
        <v>22</v>
      </c>
      <c r="H219" s="127" t="s">
        <v>23</v>
      </c>
      <c r="I219" s="127" t="s">
        <v>217</v>
      </c>
      <c r="J219" s="127" t="s">
        <v>217</v>
      </c>
      <c r="K219" s="127" t="s">
        <v>24</v>
      </c>
      <c r="L219" s="127" t="s">
        <v>25</v>
      </c>
      <c r="M219" s="128">
        <v>45364</v>
      </c>
      <c r="N219" s="127" t="s">
        <v>176</v>
      </c>
      <c r="O219" s="127" t="s">
        <v>36</v>
      </c>
      <c r="P219" s="127" t="s">
        <v>28</v>
      </c>
      <c r="Q219" s="139" t="s">
        <v>29</v>
      </c>
      <c r="R219" s="127" t="s">
        <v>631</v>
      </c>
      <c r="S219" s="139" t="s">
        <v>370</v>
      </c>
      <c r="T219" s="139" t="s">
        <v>632</v>
      </c>
      <c r="U219" s="128">
        <v>45859</v>
      </c>
      <c r="V219" s="128">
        <v>45951</v>
      </c>
      <c r="W219" s="127">
        <f t="shared" ca="1" si="23"/>
        <v>-134</v>
      </c>
      <c r="X219" s="142" t="str">
        <f t="shared" ca="1" si="24"/>
        <v>Vencido</v>
      </c>
      <c r="Y219" s="127" t="s">
        <v>633</v>
      </c>
      <c r="Z219" s="127" t="s">
        <v>634</v>
      </c>
      <c r="AA219" s="136" t="s">
        <v>534</v>
      </c>
    </row>
    <row r="220" spans="1:28" ht="53.25" customHeight="1">
      <c r="A220" s="129">
        <v>41</v>
      </c>
      <c r="B220" s="24" t="s">
        <v>19</v>
      </c>
      <c r="C220" s="10" t="s">
        <v>635</v>
      </c>
      <c r="D220" s="10">
        <v>9751705</v>
      </c>
      <c r="E220" s="10">
        <v>3</v>
      </c>
      <c r="F220" s="10">
        <v>62</v>
      </c>
      <c r="G220" s="24" t="s">
        <v>86</v>
      </c>
      <c r="H220" s="24" t="s">
        <v>509</v>
      </c>
      <c r="I220" s="24">
        <v>2025</v>
      </c>
      <c r="J220" s="30" t="s">
        <v>41</v>
      </c>
      <c r="K220" s="30" t="s">
        <v>24</v>
      </c>
      <c r="L220" s="30" t="s">
        <v>51</v>
      </c>
      <c r="M220" s="30" t="s">
        <v>206</v>
      </c>
      <c r="N220" s="24" t="s">
        <v>547</v>
      </c>
      <c r="O220" s="24" t="s">
        <v>36</v>
      </c>
      <c r="P220" s="24" t="s">
        <v>28</v>
      </c>
      <c r="Q220" s="24"/>
      <c r="R220" s="24" t="s">
        <v>636</v>
      </c>
      <c r="S220" s="24"/>
      <c r="T220" s="24"/>
      <c r="U220" s="108">
        <v>45897</v>
      </c>
      <c r="V220" s="108">
        <v>45928</v>
      </c>
      <c r="W220" s="10">
        <f t="shared" ca="1" si="23"/>
        <v>-157</v>
      </c>
      <c r="X220" s="146" t="str">
        <f t="shared" ca="1" si="24"/>
        <v>Vencido</v>
      </c>
      <c r="Y220" s="24" t="s">
        <v>637</v>
      </c>
      <c r="Z220" s="24" t="s">
        <v>301</v>
      </c>
      <c r="AA220" s="119" t="s">
        <v>534</v>
      </c>
    </row>
    <row r="221" spans="1:28" ht="53.25" customHeight="1">
      <c r="A221" s="24"/>
      <c r="B221" s="24" t="s">
        <v>19</v>
      </c>
      <c r="C221" s="24" t="s">
        <v>638</v>
      </c>
      <c r="D221" s="25">
        <v>9272741</v>
      </c>
      <c r="E221" s="25">
        <v>6</v>
      </c>
      <c r="F221" s="24">
        <v>64</v>
      </c>
      <c r="G221" s="24"/>
      <c r="H221" s="24" t="s">
        <v>509</v>
      </c>
      <c r="I221" s="24">
        <v>2026</v>
      </c>
      <c r="J221" s="30" t="s">
        <v>41</v>
      </c>
      <c r="K221" s="30" t="s">
        <v>24</v>
      </c>
      <c r="L221" s="30" t="s">
        <v>51</v>
      </c>
      <c r="M221" s="30" t="s">
        <v>206</v>
      </c>
      <c r="N221" s="24" t="s">
        <v>547</v>
      </c>
      <c r="O221" s="24" t="s">
        <v>36</v>
      </c>
      <c r="P221" s="24" t="s">
        <v>28</v>
      </c>
      <c r="Q221" s="24"/>
      <c r="R221" s="24" t="s">
        <v>639</v>
      </c>
      <c r="S221" s="24"/>
      <c r="T221" s="24"/>
      <c r="U221" s="24"/>
      <c r="V221" s="24"/>
      <c r="W221" s="24"/>
      <c r="X221" s="24"/>
      <c r="Y221" s="24"/>
      <c r="Z221" s="24"/>
      <c r="AA221" s="119" t="s">
        <v>534</v>
      </c>
    </row>
    <row r="222" spans="1:28" ht="53.25" customHeight="1">
      <c r="A222" s="129">
        <v>23</v>
      </c>
      <c r="B222" s="127" t="s">
        <v>19</v>
      </c>
      <c r="C222" s="127" t="s">
        <v>640</v>
      </c>
      <c r="D222" s="127">
        <v>12427000</v>
      </c>
      <c r="E222" s="127">
        <v>6</v>
      </c>
      <c r="F222" s="127">
        <v>50</v>
      </c>
      <c r="G222" s="127" t="s">
        <v>22</v>
      </c>
      <c r="H222" s="127" t="s">
        <v>641</v>
      </c>
      <c r="I222" s="127">
        <v>2022</v>
      </c>
      <c r="J222" s="128">
        <v>44886</v>
      </c>
      <c r="K222" s="127" t="s">
        <v>24</v>
      </c>
      <c r="L222" s="127" t="s">
        <v>25</v>
      </c>
      <c r="M222" s="128">
        <f ca="1">+L221+M222:M223+M222:M226</f>
        <v>0</v>
      </c>
      <c r="N222" s="127" t="s">
        <v>642</v>
      </c>
      <c r="O222" s="127" t="s">
        <v>27</v>
      </c>
      <c r="P222" s="127" t="s">
        <v>169</v>
      </c>
      <c r="Q222" s="139"/>
      <c r="R222" s="127" t="s">
        <v>643</v>
      </c>
      <c r="S222" s="139" t="s">
        <v>285</v>
      </c>
      <c r="T222" s="139" t="s">
        <v>233</v>
      </c>
      <c r="U222" s="128">
        <v>45895</v>
      </c>
      <c r="V222" s="128">
        <v>45926</v>
      </c>
      <c r="W222" s="127">
        <f t="shared" ref="W222" ca="1" si="25">V222-TODAY()</f>
        <v>-159</v>
      </c>
      <c r="X222" s="145" t="str">
        <f t="shared" ref="X222" ca="1" si="26">IF(W222&gt;=25,"Vigente",IF(AND(W222&gt;=1,W222&lt;=25),"Por Vencer","Vencido"))</f>
        <v>Vencido</v>
      </c>
      <c r="Y222" s="127" t="s">
        <v>644</v>
      </c>
      <c r="Z222" s="127" t="s">
        <v>236</v>
      </c>
      <c r="AA222" s="136" t="s">
        <v>645</v>
      </c>
    </row>
    <row r="223" spans="1:28" s="7" customFormat="1" ht="126" customHeight="1">
      <c r="A223" s="129">
        <v>12</v>
      </c>
      <c r="B223" s="127" t="s">
        <v>19</v>
      </c>
      <c r="C223" s="127" t="s">
        <v>646</v>
      </c>
      <c r="D223" s="144">
        <v>5209315</v>
      </c>
      <c r="E223" s="144">
        <v>5</v>
      </c>
      <c r="F223" s="127"/>
      <c r="G223" s="127"/>
      <c r="H223" s="127" t="s">
        <v>600</v>
      </c>
      <c r="I223" s="127"/>
      <c r="J223" s="127"/>
      <c r="K223" s="127"/>
      <c r="L223" s="127"/>
      <c r="M223" s="127"/>
      <c r="N223" s="127"/>
      <c r="O223" s="127" t="s">
        <v>36</v>
      </c>
      <c r="P223" s="127" t="s">
        <v>28</v>
      </c>
      <c r="Q223" s="136"/>
      <c r="R223" s="127" t="s">
        <v>647</v>
      </c>
      <c r="S223" s="136"/>
      <c r="T223" s="136"/>
      <c r="U223" s="128">
        <v>45796</v>
      </c>
      <c r="V223" s="128">
        <v>45857</v>
      </c>
      <c r="W223" s="127">
        <f ca="1">V223-TODAY()</f>
        <v>-228</v>
      </c>
      <c r="X223" s="143" t="str">
        <f ca="1">IF(W223&gt;=25,"Vigente",IF(AND(W223&gt;=1,W223&lt;=25),"Por Vencer","Vencido"))</f>
        <v>Vencido</v>
      </c>
      <c r="Y223" s="127" t="s">
        <v>602</v>
      </c>
      <c r="Z223" s="127" t="s">
        <v>592</v>
      </c>
      <c r="AA223" s="127" t="s">
        <v>648</v>
      </c>
      <c r="AB223" s="18" t="s">
        <v>616</v>
      </c>
    </row>
    <row r="224" spans="1:28" ht="53.25" customHeight="1">
      <c r="C224" s="126" t="s">
        <v>649</v>
      </c>
      <c r="D224" s="167">
        <v>7426974</v>
      </c>
      <c r="E224" s="167">
        <v>5</v>
      </c>
      <c r="F224" s="126">
        <v>68</v>
      </c>
      <c r="G224" s="147" t="s">
        <v>22</v>
      </c>
      <c r="H224" s="147" t="s">
        <v>509</v>
      </c>
      <c r="I224" s="147">
        <v>2025</v>
      </c>
      <c r="J224" s="148" t="s">
        <v>41</v>
      </c>
      <c r="K224" s="148"/>
      <c r="L224" s="148" t="s">
        <v>51</v>
      </c>
      <c r="M224" s="148" t="s">
        <v>206</v>
      </c>
      <c r="N224" s="147" t="s">
        <v>547</v>
      </c>
      <c r="O224" s="147" t="s">
        <v>36</v>
      </c>
      <c r="AB224" s="11" t="s">
        <v>30</v>
      </c>
    </row>
    <row r="225" spans="1:278" ht="53.25" customHeight="1">
      <c r="A225" s="214">
        <v>3</v>
      </c>
      <c r="B225" s="204" t="s">
        <v>170</v>
      </c>
      <c r="C225" s="204" t="s">
        <v>650</v>
      </c>
      <c r="D225" s="204">
        <v>12945032</v>
      </c>
      <c r="E225" s="250">
        <v>0</v>
      </c>
      <c r="F225" s="250">
        <v>48</v>
      </c>
      <c r="G225" s="250" t="s">
        <v>150</v>
      </c>
      <c r="H225" s="255" t="s">
        <v>651</v>
      </c>
      <c r="I225" s="250">
        <v>2024</v>
      </c>
      <c r="J225" s="256" t="s">
        <v>41</v>
      </c>
      <c r="K225" s="250" t="s">
        <v>24</v>
      </c>
      <c r="L225" s="250" t="s">
        <v>51</v>
      </c>
      <c r="M225" s="250" t="s">
        <v>510</v>
      </c>
      <c r="N225" s="204" t="s">
        <v>652</v>
      </c>
      <c r="O225" s="204" t="s">
        <v>36</v>
      </c>
      <c r="P225" s="204" t="s">
        <v>28</v>
      </c>
      <c r="Q225" s="136"/>
      <c r="R225" s="204" t="s">
        <v>653</v>
      </c>
      <c r="S225" s="136" t="s">
        <v>245</v>
      </c>
      <c r="T225" s="136" t="s">
        <v>654</v>
      </c>
      <c r="U225" s="211">
        <v>45937</v>
      </c>
      <c r="V225" s="211">
        <v>45968</v>
      </c>
      <c r="W225" s="204">
        <f ca="1">V225-TODAY()</f>
        <v>-117</v>
      </c>
      <c r="X225" s="222" t="str">
        <f ca="1">IF(W225&gt;=25,"Vigente",IF(AND(W225&gt;=1,W225&lt;=25),"Por Vencer","Vencido"))</f>
        <v>Vencido</v>
      </c>
      <c r="Y225" s="204" t="s">
        <v>655</v>
      </c>
      <c r="Z225" s="204" t="s">
        <v>656</v>
      </c>
      <c r="AA225" s="204" t="s">
        <v>618</v>
      </c>
      <c r="AB225" s="206" t="s">
        <v>534</v>
      </c>
    </row>
    <row r="226" spans="1:278" ht="53.25" customHeight="1">
      <c r="A226" s="214">
        <v>8</v>
      </c>
      <c r="B226" s="204" t="s">
        <v>19</v>
      </c>
      <c r="C226" s="204" t="s">
        <v>657</v>
      </c>
      <c r="D226" s="204">
        <v>9823757</v>
      </c>
      <c r="E226" s="250">
        <v>7</v>
      </c>
      <c r="F226" s="250">
        <v>60</v>
      </c>
      <c r="G226" s="250" t="s">
        <v>22</v>
      </c>
      <c r="H226" s="255" t="s">
        <v>23</v>
      </c>
      <c r="I226" s="250">
        <v>2022</v>
      </c>
      <c r="J226" s="256">
        <v>44655</v>
      </c>
      <c r="K226" s="250" t="s">
        <v>24</v>
      </c>
      <c r="L226" s="250" t="s">
        <v>182</v>
      </c>
      <c r="M226" s="256">
        <v>44644</v>
      </c>
      <c r="N226" s="204" t="s">
        <v>658</v>
      </c>
      <c r="O226" s="204" t="s">
        <v>36</v>
      </c>
      <c r="P226" s="204" t="s">
        <v>28</v>
      </c>
      <c r="Q226" s="139"/>
      <c r="R226" s="204" t="s">
        <v>659</v>
      </c>
      <c r="S226" s="139" t="s">
        <v>370</v>
      </c>
      <c r="T226" s="139" t="s">
        <v>233</v>
      </c>
      <c r="U226" s="211">
        <v>45948</v>
      </c>
      <c r="V226" s="211">
        <v>45979</v>
      </c>
      <c r="W226" s="204">
        <f ca="1">V226-TODAY()</f>
        <v>-106</v>
      </c>
      <c r="X226" s="212" t="str">
        <f ca="1">IF(W226&gt;=25,"Vigente",IF(AND(W226&gt;=1,W226&lt;=25),"Por Vencer","Vencido"))</f>
        <v>Vencido</v>
      </c>
      <c r="Y226" s="204" t="s">
        <v>618</v>
      </c>
      <c r="Z226" s="204" t="s">
        <v>356</v>
      </c>
      <c r="AA226" s="204" t="s">
        <v>660</v>
      </c>
      <c r="AB226" s="204" t="s">
        <v>661</v>
      </c>
      <c r="AC226" s="223"/>
      <c r="AD226" s="223"/>
      <c r="AE226" s="223"/>
      <c r="AF226" s="223"/>
      <c r="AG226" s="223"/>
      <c r="AH226" s="223"/>
      <c r="AI226" s="223"/>
      <c r="AJ226" s="223"/>
      <c r="AK226" s="223"/>
      <c r="AL226" s="223"/>
      <c r="AM226" s="223"/>
      <c r="AN226" s="223"/>
      <c r="AO226" s="223"/>
      <c r="AP226" s="223"/>
      <c r="AQ226" s="223"/>
      <c r="AR226" s="223"/>
      <c r="AS226" s="223"/>
      <c r="AT226" s="223"/>
      <c r="AU226" s="223"/>
      <c r="AV226" s="223"/>
      <c r="AW226" s="223"/>
      <c r="AX226" s="223"/>
      <c r="AY226" s="223"/>
      <c r="AZ226" s="223"/>
      <c r="BA226" s="223"/>
      <c r="BB226" s="223"/>
      <c r="BC226" s="223"/>
      <c r="BD226" s="223"/>
      <c r="BE226" s="223"/>
      <c r="BF226" s="223"/>
      <c r="BG226" s="223"/>
      <c r="BH226" s="223"/>
      <c r="BI226" s="223"/>
      <c r="BJ226" s="223"/>
      <c r="BK226" s="223"/>
      <c r="BL226" s="223"/>
      <c r="BM226" s="223"/>
      <c r="BN226" s="223"/>
      <c r="BO226" s="223"/>
      <c r="BP226" s="223"/>
      <c r="BQ226" s="223"/>
      <c r="BR226" s="223"/>
      <c r="BS226" s="223"/>
      <c r="BT226" s="223"/>
      <c r="BU226" s="223"/>
      <c r="BV226" s="223"/>
      <c r="BW226" s="223"/>
      <c r="BX226" s="223"/>
      <c r="BY226" s="223"/>
      <c r="BZ226" s="223"/>
      <c r="CA226" s="223"/>
      <c r="CB226" s="223"/>
      <c r="CC226" s="223"/>
      <c r="CD226" s="223"/>
      <c r="CE226" s="223"/>
      <c r="CF226" s="223"/>
      <c r="CG226" s="223"/>
      <c r="CH226" s="223"/>
      <c r="CI226" s="223"/>
      <c r="CJ226" s="223"/>
      <c r="CK226" s="223"/>
      <c r="CL226" s="223"/>
      <c r="CM226" s="223"/>
      <c r="CN226" s="223"/>
      <c r="CO226" s="223"/>
      <c r="CP226" s="223"/>
      <c r="CQ226" s="223"/>
      <c r="CR226" s="223"/>
      <c r="CS226" s="223"/>
      <c r="CT226" s="223"/>
      <c r="CU226" s="223"/>
      <c r="CV226" s="223"/>
      <c r="CW226" s="223"/>
      <c r="CX226" s="223"/>
      <c r="CY226" s="223"/>
      <c r="CZ226" s="223"/>
      <c r="DA226" s="223"/>
      <c r="DB226" s="223"/>
      <c r="DC226" s="223"/>
      <c r="DD226" s="223"/>
      <c r="DE226" s="223"/>
      <c r="DF226" s="223"/>
      <c r="DG226" s="223"/>
      <c r="DH226" s="223"/>
      <c r="DI226" s="223"/>
      <c r="DJ226" s="223"/>
      <c r="DK226" s="223"/>
      <c r="DL226" s="223"/>
      <c r="DM226" s="223"/>
      <c r="DN226" s="223"/>
      <c r="DO226" s="223"/>
      <c r="DP226" s="223"/>
      <c r="DQ226" s="223"/>
      <c r="DR226" s="223"/>
      <c r="DS226" s="223"/>
      <c r="DT226" s="223"/>
      <c r="DU226" s="223"/>
      <c r="DV226" s="223"/>
      <c r="DW226" s="223"/>
      <c r="DX226" s="223"/>
      <c r="DY226" s="223"/>
      <c r="DZ226" s="223"/>
      <c r="EA226" s="223"/>
      <c r="EB226" s="223"/>
      <c r="EC226" s="223"/>
      <c r="ED226" s="223"/>
      <c r="EE226" s="223"/>
      <c r="EF226" s="223"/>
      <c r="EG226" s="223"/>
      <c r="EH226" s="223"/>
      <c r="EI226" s="223"/>
      <c r="EJ226" s="223"/>
      <c r="EK226" s="223"/>
      <c r="EL226" s="223"/>
      <c r="EM226" s="223"/>
      <c r="EN226" s="223"/>
      <c r="EO226" s="223"/>
      <c r="EP226" s="223"/>
      <c r="EQ226" s="223"/>
      <c r="ER226" s="223"/>
      <c r="ES226" s="223"/>
      <c r="ET226" s="223"/>
      <c r="EU226" s="223"/>
      <c r="EV226" s="223"/>
      <c r="EW226" s="223"/>
      <c r="EX226" s="223"/>
      <c r="EY226" s="223"/>
      <c r="EZ226" s="223"/>
      <c r="FA226" s="223"/>
      <c r="FB226" s="223"/>
      <c r="FC226" s="223"/>
      <c r="FD226" s="223"/>
      <c r="FE226" s="223"/>
      <c r="FF226" s="223"/>
      <c r="FG226" s="223"/>
      <c r="FH226" s="223"/>
      <c r="FI226" s="223"/>
      <c r="FJ226" s="223"/>
      <c r="FK226" s="223"/>
      <c r="FL226" s="223"/>
      <c r="FM226" s="223"/>
      <c r="FN226" s="223"/>
      <c r="FO226" s="223"/>
      <c r="FP226" s="223"/>
      <c r="FQ226" s="223"/>
      <c r="FR226" s="223"/>
      <c r="FS226" s="223"/>
      <c r="FT226" s="223"/>
      <c r="FU226" s="223"/>
      <c r="FV226" s="223"/>
      <c r="FW226" s="223"/>
      <c r="FX226" s="223"/>
      <c r="FY226" s="223"/>
      <c r="FZ226" s="223"/>
      <c r="GA226" s="223"/>
      <c r="GB226" s="223"/>
      <c r="GC226" s="223"/>
      <c r="GD226" s="223"/>
      <c r="GE226" s="223"/>
      <c r="GF226" s="223"/>
      <c r="GG226" s="223"/>
      <c r="GH226" s="223"/>
      <c r="GI226" s="223"/>
      <c r="GJ226" s="223"/>
      <c r="GK226" s="223"/>
      <c r="GL226" s="223"/>
      <c r="GM226" s="223"/>
      <c r="GN226" s="223"/>
      <c r="GO226" s="223"/>
      <c r="GP226" s="223"/>
      <c r="GQ226" s="223"/>
      <c r="GR226" s="223"/>
      <c r="GS226" s="223"/>
      <c r="GT226" s="223"/>
      <c r="GU226" s="223"/>
      <c r="GV226" s="223"/>
      <c r="GW226" s="223"/>
      <c r="GX226" s="223"/>
      <c r="GY226" s="223"/>
      <c r="GZ226" s="223"/>
      <c r="HA226" s="223"/>
      <c r="HB226" s="223"/>
      <c r="HC226" s="223"/>
      <c r="HD226" s="223"/>
      <c r="HE226" s="223"/>
      <c r="HF226" s="223"/>
      <c r="HG226" s="223"/>
      <c r="HH226" s="223"/>
      <c r="HI226" s="223"/>
      <c r="HJ226" s="223"/>
      <c r="HK226" s="223"/>
      <c r="HL226" s="223"/>
      <c r="HM226" s="223"/>
      <c r="HN226" s="223"/>
      <c r="HO226" s="223"/>
      <c r="HP226" s="223"/>
      <c r="HQ226" s="223"/>
      <c r="HR226" s="223"/>
      <c r="HS226" s="223"/>
      <c r="HT226" s="223"/>
      <c r="HU226" s="223"/>
      <c r="HV226" s="223"/>
      <c r="HW226" s="223"/>
      <c r="HX226" s="223"/>
      <c r="HY226" s="223"/>
      <c r="HZ226" s="223"/>
      <c r="IA226" s="223"/>
      <c r="IB226" s="223"/>
      <c r="IC226" s="223"/>
      <c r="ID226" s="223"/>
      <c r="IE226" s="223"/>
      <c r="IF226" s="223"/>
      <c r="IG226" s="223"/>
      <c r="IH226" s="223"/>
      <c r="II226" s="223"/>
      <c r="IJ226" s="223"/>
      <c r="IK226" s="223"/>
      <c r="IL226" s="223"/>
      <c r="IM226" s="223"/>
      <c r="IN226" s="223"/>
      <c r="IO226" s="223"/>
      <c r="IP226" s="223"/>
      <c r="IQ226" s="223"/>
      <c r="IR226" s="223"/>
      <c r="IS226" s="223"/>
      <c r="IT226" s="223"/>
      <c r="IU226" s="223"/>
      <c r="IV226" s="223"/>
      <c r="IW226" s="223"/>
      <c r="IX226" s="223"/>
      <c r="IY226" s="223"/>
      <c r="IZ226" s="223"/>
      <c r="JA226" s="223"/>
      <c r="JB226" s="223"/>
      <c r="JC226" s="223"/>
      <c r="JD226" s="223"/>
      <c r="JE226" s="223"/>
      <c r="JF226" s="223"/>
      <c r="JG226" s="223"/>
      <c r="JH226" s="223"/>
      <c r="JI226" s="223"/>
      <c r="JJ226" s="223"/>
      <c r="JK226" s="223"/>
      <c r="JL226" s="223"/>
      <c r="JM226" s="223"/>
      <c r="JN226" s="223"/>
      <c r="JO226" s="223"/>
      <c r="JP226" s="223"/>
      <c r="JQ226" s="223"/>
      <c r="JR226" s="223"/>
    </row>
    <row r="227" spans="1:278" ht="53.25" customHeight="1">
      <c r="A227" s="214">
        <v>21</v>
      </c>
      <c r="B227" s="204" t="s">
        <v>19</v>
      </c>
      <c r="C227" s="204" t="s">
        <v>662</v>
      </c>
      <c r="D227" s="204">
        <v>5427424</v>
      </c>
      <c r="E227" s="250">
        <v>6</v>
      </c>
      <c r="F227" s="250">
        <v>74</v>
      </c>
      <c r="G227" s="250" t="s">
        <v>22</v>
      </c>
      <c r="H227" s="255" t="s">
        <v>23</v>
      </c>
      <c r="I227" s="250">
        <v>2022</v>
      </c>
      <c r="J227" s="256">
        <v>45330</v>
      </c>
      <c r="K227" s="250" t="s">
        <v>24</v>
      </c>
      <c r="L227" s="250" t="s">
        <v>519</v>
      </c>
      <c r="M227" s="256" t="s">
        <v>663</v>
      </c>
      <c r="N227" s="204" t="s">
        <v>664</v>
      </c>
      <c r="O227" s="204" t="s">
        <v>36</v>
      </c>
      <c r="P227" s="204" t="s">
        <v>169</v>
      </c>
      <c r="Q227" s="136"/>
      <c r="R227" s="204" t="s">
        <v>665</v>
      </c>
      <c r="S227" s="136" t="s">
        <v>245</v>
      </c>
      <c r="T227" s="136" t="s">
        <v>666</v>
      </c>
      <c r="U227" s="211">
        <v>45616</v>
      </c>
      <c r="V227" s="211">
        <v>45677</v>
      </c>
      <c r="W227" s="204">
        <f ca="1">V227-TODAY()</f>
        <v>-408</v>
      </c>
      <c r="X227" s="224" t="str">
        <f ca="1">IF(W227&gt;=25,"Vigente",IF(AND(W227&gt;=1,W227&lt;=25),"Por Vencer","Vencido"))</f>
        <v>Vencido</v>
      </c>
      <c r="Y227" s="204" t="s">
        <v>667</v>
      </c>
      <c r="Z227" s="204" t="s">
        <v>668</v>
      </c>
      <c r="AA227" s="204" t="s">
        <v>669</v>
      </c>
      <c r="AB227" s="226" t="s">
        <v>534</v>
      </c>
      <c r="AC227" s="227"/>
      <c r="AD227" s="227"/>
      <c r="AE227" s="227"/>
      <c r="AF227" s="227"/>
      <c r="AG227" s="227"/>
      <c r="AH227" s="227"/>
      <c r="AI227" s="227"/>
      <c r="AJ227" s="227"/>
      <c r="AK227" s="227"/>
      <c r="AL227" s="227"/>
      <c r="AM227" s="227"/>
      <c r="AN227" s="227"/>
      <c r="AO227" s="227"/>
      <c r="AP227" s="227"/>
      <c r="AQ227" s="227"/>
      <c r="AR227" s="227"/>
      <c r="AS227" s="227"/>
      <c r="AT227" s="227"/>
      <c r="AU227" s="227"/>
      <c r="AV227" s="227"/>
      <c r="AW227" s="227"/>
      <c r="AX227" s="227"/>
      <c r="AY227" s="227"/>
      <c r="AZ227" s="227"/>
      <c r="BA227" s="227"/>
      <c r="BB227" s="227"/>
      <c r="BC227" s="227"/>
      <c r="BD227" s="227"/>
      <c r="BE227" s="227"/>
      <c r="BF227" s="227"/>
      <c r="BG227" s="227"/>
      <c r="BH227" s="227"/>
      <c r="BI227" s="227"/>
      <c r="BJ227" s="227"/>
      <c r="BK227" s="227"/>
      <c r="BL227" s="227"/>
      <c r="BM227" s="227"/>
      <c r="BN227" s="227"/>
      <c r="BO227" s="227"/>
      <c r="BP227" s="227"/>
      <c r="BQ227" s="227"/>
      <c r="BR227" s="227"/>
      <c r="BS227" s="227"/>
      <c r="BT227" s="227"/>
      <c r="BU227" s="227"/>
      <c r="BV227" s="227"/>
      <c r="BW227" s="227"/>
      <c r="BX227" s="227"/>
      <c r="BY227" s="227"/>
      <c r="BZ227" s="227"/>
      <c r="CA227" s="227"/>
      <c r="CB227" s="227"/>
      <c r="CC227" s="227"/>
      <c r="CD227" s="227"/>
      <c r="CE227" s="227"/>
      <c r="CF227" s="227"/>
      <c r="CG227" s="227"/>
      <c r="CH227" s="227"/>
      <c r="CI227" s="227"/>
      <c r="CJ227" s="227"/>
      <c r="CK227" s="227"/>
      <c r="CL227" s="227"/>
      <c r="CM227" s="227"/>
      <c r="CN227" s="227"/>
      <c r="CO227" s="227"/>
      <c r="CP227" s="227"/>
      <c r="CQ227" s="227"/>
      <c r="CR227" s="227"/>
      <c r="CS227" s="227"/>
      <c r="CT227" s="227"/>
      <c r="CU227" s="227"/>
      <c r="CV227" s="227"/>
      <c r="CW227" s="227"/>
      <c r="CX227" s="227"/>
      <c r="CY227" s="227"/>
      <c r="CZ227" s="227"/>
      <c r="DA227" s="227"/>
      <c r="DB227" s="227"/>
      <c r="DC227" s="227"/>
      <c r="DD227" s="227"/>
      <c r="DE227" s="227"/>
      <c r="DF227" s="227"/>
      <c r="DG227" s="227"/>
      <c r="DH227" s="227"/>
      <c r="DI227" s="227"/>
      <c r="DJ227" s="227"/>
      <c r="DK227" s="227"/>
      <c r="DL227" s="227"/>
      <c r="DM227" s="227"/>
      <c r="DN227" s="227"/>
      <c r="DO227" s="227"/>
      <c r="DP227" s="227"/>
      <c r="DQ227" s="227"/>
      <c r="DR227" s="227"/>
      <c r="DS227" s="227"/>
      <c r="DT227" s="227"/>
      <c r="DU227" s="227"/>
      <c r="DV227" s="227"/>
      <c r="DW227" s="227"/>
      <c r="DX227" s="227"/>
      <c r="DY227" s="227"/>
      <c r="DZ227" s="227"/>
      <c r="EA227" s="227"/>
      <c r="EB227" s="227"/>
      <c r="EC227" s="227"/>
      <c r="ED227" s="227"/>
      <c r="EE227" s="227"/>
      <c r="EF227" s="227"/>
      <c r="EG227" s="227"/>
      <c r="EH227" s="227"/>
      <c r="EI227" s="227"/>
      <c r="EJ227" s="227"/>
      <c r="EK227" s="227"/>
      <c r="EL227" s="227"/>
      <c r="EM227" s="227"/>
      <c r="EN227" s="227"/>
      <c r="EO227" s="227"/>
      <c r="EP227" s="227"/>
      <c r="EQ227" s="227"/>
      <c r="ER227" s="227"/>
      <c r="ES227" s="227"/>
      <c r="ET227" s="227"/>
      <c r="EU227" s="227"/>
      <c r="EV227" s="227"/>
      <c r="EW227" s="227"/>
      <c r="EX227" s="227"/>
      <c r="EY227" s="227"/>
      <c r="EZ227" s="227"/>
      <c r="FA227" s="227"/>
      <c r="FB227" s="227"/>
      <c r="FC227" s="227"/>
      <c r="FD227" s="227"/>
      <c r="FE227" s="227"/>
      <c r="FF227" s="227"/>
      <c r="FG227" s="227"/>
      <c r="FH227" s="227"/>
      <c r="FI227" s="227"/>
      <c r="FJ227" s="227"/>
      <c r="FK227" s="227"/>
      <c r="FL227" s="227"/>
      <c r="FM227" s="227"/>
      <c r="FN227" s="227"/>
      <c r="FO227" s="227"/>
      <c r="FP227" s="227"/>
      <c r="FQ227" s="227"/>
      <c r="FR227" s="227"/>
      <c r="FS227" s="227"/>
      <c r="FT227" s="227"/>
      <c r="FU227" s="227"/>
      <c r="FV227" s="227"/>
      <c r="FW227" s="227"/>
      <c r="FX227" s="227"/>
      <c r="FY227" s="227"/>
      <c r="FZ227" s="227"/>
      <c r="GA227" s="227"/>
      <c r="GB227" s="227"/>
      <c r="GC227" s="227"/>
      <c r="GD227" s="227"/>
      <c r="GE227" s="227"/>
      <c r="GF227" s="227"/>
      <c r="GG227" s="227"/>
      <c r="GH227" s="227"/>
      <c r="GI227" s="227"/>
      <c r="GJ227" s="227"/>
      <c r="GK227" s="227"/>
      <c r="GL227" s="227"/>
      <c r="GM227" s="227"/>
      <c r="GN227" s="227"/>
      <c r="GO227" s="227"/>
      <c r="GP227" s="227"/>
      <c r="GQ227" s="227"/>
      <c r="GR227" s="227"/>
      <c r="GS227" s="227"/>
      <c r="GT227" s="227"/>
      <c r="GU227" s="227"/>
      <c r="GV227" s="227"/>
      <c r="GW227" s="227"/>
      <c r="GX227" s="227"/>
      <c r="GY227" s="227"/>
      <c r="GZ227" s="227"/>
      <c r="HA227" s="227"/>
      <c r="HB227" s="227"/>
      <c r="HC227" s="227"/>
      <c r="HD227" s="227"/>
      <c r="HE227" s="227"/>
      <c r="HF227" s="227"/>
      <c r="HG227" s="227"/>
      <c r="HH227" s="227"/>
      <c r="HI227" s="227"/>
      <c r="HJ227" s="227"/>
      <c r="HK227" s="227"/>
      <c r="HL227" s="227"/>
      <c r="HM227" s="227"/>
      <c r="HN227" s="227"/>
      <c r="HO227" s="227"/>
      <c r="HP227" s="227"/>
      <c r="HQ227" s="227"/>
      <c r="HR227" s="227"/>
      <c r="HS227" s="227"/>
      <c r="HT227" s="227"/>
      <c r="HU227" s="227"/>
      <c r="HV227" s="227"/>
      <c r="HW227" s="227"/>
      <c r="HX227" s="227"/>
      <c r="HY227" s="227"/>
      <c r="HZ227" s="227"/>
      <c r="IA227" s="227"/>
      <c r="IB227" s="227"/>
      <c r="IC227" s="227"/>
      <c r="ID227" s="227"/>
      <c r="IE227" s="227"/>
      <c r="IF227" s="227"/>
      <c r="IG227" s="227"/>
      <c r="IH227" s="227"/>
      <c r="II227" s="227"/>
      <c r="IJ227" s="227"/>
      <c r="IK227" s="227"/>
      <c r="IL227" s="227"/>
      <c r="IM227" s="227"/>
      <c r="IN227" s="227"/>
      <c r="IO227" s="227"/>
      <c r="IP227" s="227"/>
      <c r="IQ227" s="227"/>
      <c r="IR227" s="227"/>
      <c r="IS227" s="227"/>
      <c r="IT227" s="227"/>
      <c r="IU227" s="227"/>
      <c r="IV227" s="227"/>
      <c r="IW227" s="227"/>
      <c r="IX227" s="227"/>
      <c r="IY227" s="227"/>
      <c r="IZ227" s="227"/>
      <c r="JA227" s="227"/>
      <c r="JB227" s="227"/>
      <c r="JC227" s="227"/>
      <c r="JD227" s="227"/>
      <c r="JE227" s="227"/>
      <c r="JF227" s="227"/>
      <c r="JG227" s="227"/>
      <c r="JH227" s="227"/>
      <c r="JI227" s="227"/>
      <c r="JJ227" s="227"/>
      <c r="JK227" s="227"/>
      <c r="JL227" s="227"/>
      <c r="JM227" s="227"/>
      <c r="JN227" s="227"/>
      <c r="JO227" s="227"/>
      <c r="JP227" s="227"/>
      <c r="JQ227" s="227"/>
      <c r="JR227" s="227"/>
    </row>
    <row r="228" spans="1:278" ht="53.25" customHeight="1">
      <c r="A228" s="214">
        <v>31</v>
      </c>
      <c r="B228" s="204" t="s">
        <v>19</v>
      </c>
      <c r="C228" s="204" t="s">
        <v>490</v>
      </c>
      <c r="D228" s="204">
        <v>5901659</v>
      </c>
      <c r="E228" s="250">
        <v>8</v>
      </c>
      <c r="F228" s="250">
        <v>75</v>
      </c>
      <c r="G228" s="250" t="s">
        <v>22</v>
      </c>
      <c r="H228" s="255" t="s">
        <v>23</v>
      </c>
      <c r="I228" s="250">
        <v>2024</v>
      </c>
      <c r="J228" s="250">
        <v>45436</v>
      </c>
      <c r="K228" s="250" t="s">
        <v>24</v>
      </c>
      <c r="L228" s="250" t="s">
        <v>182</v>
      </c>
      <c r="M228" s="250">
        <v>45441</v>
      </c>
      <c r="N228" s="204" t="s">
        <v>26</v>
      </c>
      <c r="O228" s="204" t="s">
        <v>36</v>
      </c>
      <c r="P228" s="204" t="s">
        <v>37</v>
      </c>
      <c r="Q228" s="136" t="s">
        <v>491</v>
      </c>
      <c r="R228" s="204" t="s">
        <v>670</v>
      </c>
      <c r="S228" s="136" t="s">
        <v>281</v>
      </c>
      <c r="T228" s="136" t="s">
        <v>233</v>
      </c>
      <c r="U228" s="211">
        <v>45656</v>
      </c>
      <c r="V228" s="211">
        <v>45687</v>
      </c>
      <c r="W228" s="204">
        <f ca="1">V228-TODAY()</f>
        <v>-398</v>
      </c>
      <c r="X228" s="224" t="s">
        <v>671</v>
      </c>
      <c r="Y228" s="204" t="s">
        <v>672</v>
      </c>
      <c r="Z228" s="204" t="s">
        <v>468</v>
      </c>
      <c r="AA228" s="204" t="s">
        <v>673</v>
      </c>
      <c r="AB228" s="226" t="s">
        <v>674</v>
      </c>
      <c r="AC228" s="227"/>
      <c r="AD228" s="227"/>
      <c r="AE228" s="227"/>
      <c r="AF228" s="227"/>
      <c r="AG228" s="227"/>
      <c r="AH228" s="227"/>
      <c r="AI228" s="227"/>
      <c r="AJ228" s="227"/>
      <c r="AK228" s="227"/>
      <c r="AL228" s="227"/>
      <c r="AM228" s="227"/>
      <c r="AN228" s="227"/>
      <c r="AO228" s="227"/>
      <c r="AP228" s="227"/>
      <c r="AQ228" s="227"/>
      <c r="AR228" s="227"/>
      <c r="AS228" s="227"/>
      <c r="AT228" s="227"/>
      <c r="AU228" s="227"/>
      <c r="AV228" s="227"/>
      <c r="AW228" s="227"/>
      <c r="AX228" s="227"/>
      <c r="AY228" s="227"/>
      <c r="AZ228" s="227"/>
      <c r="BA228" s="227"/>
      <c r="BB228" s="227"/>
      <c r="BC228" s="227"/>
      <c r="BD228" s="227"/>
      <c r="BE228" s="227"/>
      <c r="BF228" s="227"/>
      <c r="BG228" s="227"/>
      <c r="BH228" s="227"/>
      <c r="BI228" s="227"/>
      <c r="BJ228" s="227"/>
      <c r="BK228" s="227"/>
      <c r="BL228" s="227"/>
      <c r="BM228" s="227"/>
      <c r="BN228" s="227"/>
      <c r="BO228" s="227"/>
      <c r="BP228" s="227"/>
      <c r="BQ228" s="227"/>
      <c r="BR228" s="227"/>
      <c r="BS228" s="227"/>
      <c r="BT228" s="227"/>
      <c r="BU228" s="227"/>
      <c r="BV228" s="227"/>
      <c r="BW228" s="227"/>
      <c r="BX228" s="227"/>
      <c r="BY228" s="227"/>
      <c r="BZ228" s="227"/>
      <c r="CA228" s="227"/>
      <c r="CB228" s="227"/>
      <c r="CC228" s="227"/>
      <c r="CD228" s="227"/>
      <c r="CE228" s="227"/>
      <c r="CF228" s="227"/>
      <c r="CG228" s="227"/>
      <c r="CH228" s="227"/>
      <c r="CI228" s="227"/>
      <c r="CJ228" s="227"/>
      <c r="CK228" s="227"/>
      <c r="CL228" s="227"/>
      <c r="CM228" s="227"/>
      <c r="CN228" s="227"/>
      <c r="CO228" s="227"/>
      <c r="CP228" s="227"/>
      <c r="CQ228" s="227"/>
      <c r="CR228" s="227"/>
      <c r="CS228" s="227"/>
      <c r="CT228" s="227"/>
      <c r="CU228" s="227"/>
      <c r="CV228" s="227"/>
      <c r="CW228" s="227"/>
      <c r="CX228" s="227"/>
      <c r="CY228" s="227"/>
      <c r="CZ228" s="227"/>
      <c r="DA228" s="227"/>
      <c r="DB228" s="227"/>
      <c r="DC228" s="227"/>
      <c r="DD228" s="227"/>
      <c r="DE228" s="227"/>
      <c r="DF228" s="227"/>
      <c r="DG228" s="227"/>
      <c r="DH228" s="227"/>
      <c r="DI228" s="227"/>
      <c r="DJ228" s="227"/>
      <c r="DK228" s="227"/>
      <c r="DL228" s="227"/>
      <c r="DM228" s="227"/>
      <c r="DN228" s="227"/>
      <c r="DO228" s="227"/>
      <c r="DP228" s="227"/>
      <c r="DQ228" s="227"/>
      <c r="DR228" s="227"/>
      <c r="DS228" s="227"/>
      <c r="DT228" s="227"/>
      <c r="DU228" s="227"/>
      <c r="DV228" s="227"/>
      <c r="DW228" s="227"/>
      <c r="DX228" s="227"/>
      <c r="DY228" s="227"/>
      <c r="DZ228" s="227"/>
      <c r="EA228" s="227"/>
      <c r="EB228" s="227"/>
      <c r="EC228" s="227"/>
      <c r="ED228" s="227"/>
      <c r="EE228" s="227"/>
      <c r="EF228" s="227"/>
      <c r="EG228" s="227"/>
      <c r="EH228" s="227"/>
      <c r="EI228" s="227"/>
      <c r="EJ228" s="227"/>
      <c r="EK228" s="227"/>
      <c r="EL228" s="227"/>
      <c r="EM228" s="227"/>
      <c r="EN228" s="227"/>
      <c r="EO228" s="227"/>
      <c r="EP228" s="227"/>
      <c r="EQ228" s="227"/>
      <c r="ER228" s="227"/>
      <c r="ES228" s="227"/>
      <c r="ET228" s="227"/>
      <c r="EU228" s="227"/>
      <c r="EV228" s="227"/>
      <c r="EW228" s="227"/>
      <c r="EX228" s="227"/>
      <c r="EY228" s="227"/>
      <c r="EZ228" s="227"/>
      <c r="FA228" s="227"/>
      <c r="FB228" s="227"/>
      <c r="FC228" s="227"/>
      <c r="FD228" s="227"/>
      <c r="FE228" s="227"/>
      <c r="FF228" s="227"/>
      <c r="FG228" s="227"/>
      <c r="FH228" s="227"/>
      <c r="FI228" s="227"/>
      <c r="FJ228" s="227"/>
      <c r="FK228" s="227"/>
      <c r="FL228" s="227"/>
      <c r="FM228" s="227"/>
      <c r="FN228" s="227"/>
      <c r="FO228" s="227"/>
      <c r="FP228" s="227"/>
      <c r="FQ228" s="227"/>
      <c r="FR228" s="227"/>
      <c r="FS228" s="227"/>
      <c r="FT228" s="227"/>
      <c r="FU228" s="227"/>
      <c r="FV228" s="227"/>
      <c r="FW228" s="227"/>
      <c r="FX228" s="227"/>
      <c r="FY228" s="227"/>
      <c r="FZ228" s="227"/>
      <c r="GA228" s="227"/>
      <c r="GB228" s="227"/>
      <c r="GC228" s="227"/>
      <c r="GD228" s="227"/>
      <c r="GE228" s="227"/>
      <c r="GF228" s="227"/>
      <c r="GG228" s="227"/>
      <c r="GH228" s="227"/>
      <c r="GI228" s="227"/>
      <c r="GJ228" s="227"/>
      <c r="GK228" s="227"/>
      <c r="GL228" s="227"/>
      <c r="GM228" s="227"/>
      <c r="GN228" s="227"/>
      <c r="GO228" s="227"/>
      <c r="GP228" s="227"/>
      <c r="GQ228" s="227"/>
      <c r="GR228" s="227"/>
      <c r="GS228" s="227"/>
      <c r="GT228" s="227"/>
      <c r="GU228" s="227"/>
      <c r="GV228" s="227"/>
      <c r="GW228" s="227"/>
      <c r="GX228" s="227"/>
      <c r="GY228" s="227"/>
      <c r="GZ228" s="227"/>
      <c r="HA228" s="227"/>
      <c r="HB228" s="227"/>
      <c r="HC228" s="227"/>
      <c r="HD228" s="227"/>
      <c r="HE228" s="227"/>
      <c r="HF228" s="227"/>
      <c r="HG228" s="227"/>
      <c r="HH228" s="227"/>
      <c r="HI228" s="227"/>
      <c r="HJ228" s="227"/>
      <c r="HK228" s="227"/>
      <c r="HL228" s="227"/>
      <c r="HM228" s="227"/>
      <c r="HN228" s="227"/>
      <c r="HO228" s="227"/>
      <c r="HP228" s="227"/>
      <c r="HQ228" s="227"/>
      <c r="HR228" s="227"/>
      <c r="HS228" s="227"/>
      <c r="HT228" s="227"/>
      <c r="HU228" s="227"/>
      <c r="HV228" s="227"/>
      <c r="HW228" s="227"/>
      <c r="HX228" s="227"/>
      <c r="HY228" s="227"/>
      <c r="HZ228" s="227"/>
      <c r="IA228" s="227"/>
      <c r="IB228" s="227"/>
      <c r="IC228" s="227"/>
      <c r="ID228" s="227"/>
      <c r="IE228" s="227"/>
      <c r="IF228" s="227"/>
      <c r="IG228" s="227"/>
      <c r="IH228" s="227"/>
      <c r="II228" s="227"/>
      <c r="IJ228" s="227"/>
      <c r="IK228" s="227"/>
      <c r="IL228" s="227"/>
      <c r="IM228" s="227"/>
      <c r="IN228" s="227"/>
      <c r="IO228" s="227"/>
      <c r="IP228" s="227"/>
      <c r="IQ228" s="227"/>
      <c r="IR228" s="227"/>
      <c r="IS228" s="227"/>
      <c r="IT228" s="227"/>
      <c r="IU228" s="227"/>
      <c r="IV228" s="227"/>
      <c r="IW228" s="227"/>
      <c r="IX228" s="227"/>
      <c r="IY228" s="227"/>
      <c r="IZ228" s="227"/>
      <c r="JA228" s="227"/>
      <c r="JB228" s="227"/>
      <c r="JC228" s="227"/>
      <c r="JD228" s="227"/>
      <c r="JE228" s="227"/>
      <c r="JF228" s="227"/>
      <c r="JG228" s="227"/>
      <c r="JH228" s="227"/>
      <c r="JI228" s="227"/>
      <c r="JJ228" s="227"/>
      <c r="JK228" s="227"/>
      <c r="JL228" s="227"/>
      <c r="JM228" s="227"/>
      <c r="JN228" s="227"/>
      <c r="JO228" s="227"/>
      <c r="JP228" s="227"/>
      <c r="JQ228" s="227"/>
      <c r="JR228" s="227"/>
    </row>
    <row r="229" spans="1:278" ht="53.25" customHeight="1">
      <c r="A229" s="214">
        <v>38</v>
      </c>
      <c r="B229" s="204" t="s">
        <v>19</v>
      </c>
      <c r="C229" s="204" t="s">
        <v>675</v>
      </c>
      <c r="D229" s="204">
        <v>10362071</v>
      </c>
      <c r="E229" s="250">
        <v>6</v>
      </c>
      <c r="F229" s="250">
        <v>57</v>
      </c>
      <c r="G229" s="250" t="s">
        <v>22</v>
      </c>
      <c r="H229" s="255" t="s">
        <v>509</v>
      </c>
      <c r="I229" s="250">
        <v>2025</v>
      </c>
      <c r="J229" s="250" t="s">
        <v>41</v>
      </c>
      <c r="K229" s="250"/>
      <c r="L229" s="250" t="s">
        <v>51</v>
      </c>
      <c r="M229" s="250" t="s">
        <v>206</v>
      </c>
      <c r="N229" s="204" t="s">
        <v>547</v>
      </c>
      <c r="O229" s="204" t="s">
        <v>36</v>
      </c>
      <c r="P229" s="204" t="s">
        <v>28</v>
      </c>
      <c r="Q229" s="136"/>
      <c r="R229" s="204" t="s">
        <v>676</v>
      </c>
      <c r="S229" s="136"/>
      <c r="T229" s="136"/>
      <c r="U229" s="211">
        <v>45936</v>
      </c>
      <c r="V229" s="211">
        <v>46028</v>
      </c>
      <c r="W229" s="204">
        <f ca="1">V229-TODAY()</f>
        <v>-57</v>
      </c>
      <c r="X229" s="212" t="str">
        <f ca="1">IF(W229&gt;=25,"Vigente",IF(AND(W229&gt;=1,W229&lt;=25),"Por Vencer","Vencido"))</f>
        <v>Vencido</v>
      </c>
      <c r="Y229" s="204" t="s">
        <v>677</v>
      </c>
      <c r="Z229" s="204" t="s">
        <v>678</v>
      </c>
      <c r="AA229" s="204" t="s">
        <v>679</v>
      </c>
      <c r="AB229" s="226" t="s">
        <v>680</v>
      </c>
    </row>
    <row r="230" spans="1:278" ht="53.25" customHeight="1">
      <c r="A230" s="214">
        <v>39</v>
      </c>
      <c r="B230" s="204" t="s">
        <v>19</v>
      </c>
      <c r="C230" s="204" t="s">
        <v>681</v>
      </c>
      <c r="D230" s="204">
        <v>6626545</v>
      </c>
      <c r="E230" s="250">
        <v>5</v>
      </c>
      <c r="F230" s="250">
        <v>71</v>
      </c>
      <c r="G230" s="250" t="s">
        <v>86</v>
      </c>
      <c r="H230" s="255" t="s">
        <v>509</v>
      </c>
      <c r="I230" s="250">
        <v>2025</v>
      </c>
      <c r="J230" s="250" t="s">
        <v>41</v>
      </c>
      <c r="K230" s="250"/>
      <c r="L230" s="250" t="s">
        <v>51</v>
      </c>
      <c r="M230" s="250" t="s">
        <v>206</v>
      </c>
      <c r="N230" s="204" t="s">
        <v>547</v>
      </c>
      <c r="O230" s="204" t="s">
        <v>36</v>
      </c>
      <c r="P230" s="204" t="s">
        <v>28</v>
      </c>
      <c r="Q230" s="139"/>
      <c r="R230" s="204" t="s">
        <v>682</v>
      </c>
      <c r="S230" s="139"/>
      <c r="T230" s="139"/>
      <c r="U230" s="211">
        <v>45887</v>
      </c>
      <c r="V230" s="211">
        <v>45948</v>
      </c>
      <c r="W230" s="204">
        <f ca="1">V230-TODAY()</f>
        <v>-137</v>
      </c>
      <c r="X230" s="222" t="str">
        <f ca="1">IF(W230&gt;=25,"Vigente",IF(AND(W230&gt;=1,W230&lt;=25),"Por Vencer","Vencido"))</f>
        <v>Vencido</v>
      </c>
      <c r="Y230" s="204" t="s">
        <v>683</v>
      </c>
      <c r="Z230" s="204" t="s">
        <v>356</v>
      </c>
      <c r="AA230" s="204" t="s">
        <v>684</v>
      </c>
      <c r="AB230" s="226" t="s">
        <v>680</v>
      </c>
    </row>
    <row r="231" spans="1:278" ht="53.25" customHeight="1">
      <c r="A231" s="214">
        <v>40</v>
      </c>
      <c r="B231" s="217" t="s">
        <v>19</v>
      </c>
      <c r="C231" s="206" t="s">
        <v>685</v>
      </c>
      <c r="D231" s="218">
        <v>6644854</v>
      </c>
      <c r="E231" s="239">
        <v>1</v>
      </c>
      <c r="F231" s="239">
        <v>74</v>
      </c>
      <c r="G231" s="239" t="s">
        <v>100</v>
      </c>
      <c r="H231" s="217" t="s">
        <v>509</v>
      </c>
      <c r="I231" s="239">
        <v>2025</v>
      </c>
      <c r="J231" s="239" t="s">
        <v>41</v>
      </c>
      <c r="K231" s="239" t="s">
        <v>24</v>
      </c>
      <c r="L231" s="239" t="s">
        <v>51</v>
      </c>
      <c r="M231" s="239" t="s">
        <v>206</v>
      </c>
      <c r="N231" s="217" t="s">
        <v>547</v>
      </c>
      <c r="O231" s="217" t="s">
        <v>36</v>
      </c>
      <c r="P231" s="217" t="s">
        <v>28</v>
      </c>
      <c r="Q231" s="147"/>
      <c r="R231" s="217" t="s">
        <v>686</v>
      </c>
      <c r="S231" s="147"/>
      <c r="T231" s="147"/>
      <c r="U231" s="236">
        <v>45929</v>
      </c>
      <c r="V231" s="236">
        <v>45959</v>
      </c>
      <c r="W231" s="206">
        <f ca="1">V231-TODAY()</f>
        <v>-126</v>
      </c>
      <c r="X231" s="222" t="str">
        <f ca="1">IF(W231&gt;=25,"Vigente",IF(AND(W231&gt;=1,W231&lt;=25),"Por Vencer","Vencido"))</f>
        <v>Vencido</v>
      </c>
      <c r="Y231" s="217" t="s">
        <v>687</v>
      </c>
      <c r="Z231" s="217" t="s">
        <v>356</v>
      </c>
      <c r="AA231" s="217" t="s">
        <v>618</v>
      </c>
      <c r="AB231" s="226" t="s">
        <v>688</v>
      </c>
      <c r="AC231" s="227"/>
      <c r="AD231" s="227"/>
      <c r="AE231" s="227"/>
      <c r="AF231" s="227"/>
      <c r="AG231" s="227"/>
      <c r="AH231" s="227"/>
      <c r="AI231" s="227"/>
      <c r="AJ231" s="227"/>
      <c r="AK231" s="227"/>
      <c r="AL231" s="227"/>
      <c r="AM231" s="227"/>
      <c r="AN231" s="227"/>
      <c r="AO231" s="227"/>
      <c r="AP231" s="227"/>
      <c r="AQ231" s="227"/>
      <c r="AR231" s="227"/>
      <c r="AS231" s="227"/>
      <c r="AT231" s="227"/>
      <c r="AU231" s="227"/>
      <c r="AV231" s="227"/>
      <c r="AW231" s="227"/>
      <c r="AX231" s="227"/>
      <c r="AY231" s="227"/>
      <c r="AZ231" s="227"/>
      <c r="BA231" s="227"/>
      <c r="BB231" s="227"/>
      <c r="BC231" s="227"/>
      <c r="BD231" s="227"/>
      <c r="BE231" s="227"/>
      <c r="BF231" s="227"/>
      <c r="BG231" s="227"/>
      <c r="BH231" s="227"/>
      <c r="BI231" s="227"/>
      <c r="BJ231" s="227"/>
      <c r="BK231" s="227"/>
      <c r="BL231" s="227"/>
      <c r="BM231" s="227"/>
      <c r="BN231" s="227"/>
      <c r="BO231" s="227"/>
      <c r="BP231" s="227"/>
      <c r="BQ231" s="227"/>
      <c r="BR231" s="227"/>
      <c r="BS231" s="227"/>
      <c r="BT231" s="227"/>
      <c r="BU231" s="227"/>
      <c r="BV231" s="227"/>
      <c r="BW231" s="227"/>
      <c r="BX231" s="227"/>
      <c r="BY231" s="227"/>
      <c r="BZ231" s="227"/>
      <c r="CA231" s="227"/>
      <c r="CB231" s="227"/>
      <c r="CC231" s="227"/>
      <c r="CD231" s="227"/>
      <c r="CE231" s="227"/>
      <c r="CF231" s="227"/>
      <c r="CG231" s="227"/>
      <c r="CH231" s="227"/>
      <c r="CI231" s="227"/>
      <c r="CJ231" s="227"/>
      <c r="CK231" s="227"/>
      <c r="CL231" s="227"/>
      <c r="CM231" s="227"/>
      <c r="CN231" s="227"/>
      <c r="CO231" s="227"/>
      <c r="CP231" s="227"/>
      <c r="CQ231" s="227"/>
      <c r="CR231" s="227"/>
      <c r="CS231" s="227"/>
      <c r="CT231" s="227"/>
      <c r="CU231" s="227"/>
      <c r="CV231" s="227"/>
      <c r="CW231" s="227"/>
      <c r="CX231" s="227"/>
      <c r="CY231" s="227"/>
      <c r="CZ231" s="227"/>
      <c r="DA231" s="227"/>
      <c r="DB231" s="227"/>
      <c r="DC231" s="227"/>
      <c r="DD231" s="227"/>
      <c r="DE231" s="227"/>
      <c r="DF231" s="227"/>
      <c r="DG231" s="227"/>
      <c r="DH231" s="227"/>
      <c r="DI231" s="227"/>
      <c r="DJ231" s="227"/>
      <c r="DK231" s="227"/>
      <c r="DL231" s="227"/>
      <c r="DM231" s="227"/>
      <c r="DN231" s="227"/>
      <c r="DO231" s="227"/>
      <c r="DP231" s="227"/>
      <c r="DQ231" s="227"/>
      <c r="DR231" s="227"/>
      <c r="DS231" s="227"/>
      <c r="DT231" s="227"/>
      <c r="DU231" s="227"/>
      <c r="DV231" s="227"/>
      <c r="DW231" s="227"/>
      <c r="DX231" s="227"/>
      <c r="DY231" s="227"/>
      <c r="DZ231" s="227"/>
      <c r="EA231" s="227"/>
      <c r="EB231" s="227"/>
      <c r="EC231" s="227"/>
      <c r="ED231" s="227"/>
      <c r="EE231" s="227"/>
      <c r="EF231" s="227"/>
      <c r="EG231" s="227"/>
      <c r="EH231" s="227"/>
      <c r="EI231" s="227"/>
      <c r="EJ231" s="227"/>
      <c r="EK231" s="227"/>
      <c r="EL231" s="227"/>
      <c r="EM231" s="227"/>
      <c r="EN231" s="227"/>
      <c r="EO231" s="227"/>
      <c r="EP231" s="227"/>
      <c r="EQ231" s="227"/>
      <c r="ER231" s="227"/>
      <c r="ES231" s="227"/>
      <c r="ET231" s="227"/>
      <c r="EU231" s="227"/>
      <c r="EV231" s="227"/>
      <c r="EW231" s="227"/>
      <c r="EX231" s="227"/>
      <c r="EY231" s="227"/>
      <c r="EZ231" s="227"/>
      <c r="FA231" s="227"/>
      <c r="FB231" s="227"/>
      <c r="FC231" s="227"/>
      <c r="FD231" s="227"/>
      <c r="FE231" s="227"/>
      <c r="FF231" s="227"/>
      <c r="FG231" s="227"/>
      <c r="FH231" s="227"/>
      <c r="FI231" s="227"/>
      <c r="FJ231" s="227"/>
      <c r="FK231" s="227"/>
      <c r="FL231" s="227"/>
      <c r="FM231" s="227"/>
      <c r="FN231" s="227"/>
      <c r="FO231" s="227"/>
      <c r="FP231" s="227"/>
      <c r="FQ231" s="227"/>
      <c r="FR231" s="227"/>
      <c r="FS231" s="227"/>
      <c r="FT231" s="227"/>
      <c r="FU231" s="227"/>
      <c r="FV231" s="227"/>
      <c r="FW231" s="227"/>
      <c r="FX231" s="227"/>
      <c r="FY231" s="227"/>
      <c r="FZ231" s="227"/>
      <c r="GA231" s="227"/>
      <c r="GB231" s="227"/>
      <c r="GC231" s="227"/>
      <c r="GD231" s="227"/>
      <c r="GE231" s="227"/>
      <c r="GF231" s="227"/>
      <c r="GG231" s="227"/>
      <c r="GH231" s="227"/>
      <c r="GI231" s="227"/>
      <c r="GJ231" s="227"/>
      <c r="GK231" s="227"/>
      <c r="GL231" s="227"/>
      <c r="GM231" s="227"/>
      <c r="GN231" s="227"/>
      <c r="GO231" s="227"/>
      <c r="GP231" s="227"/>
      <c r="GQ231" s="227"/>
      <c r="GR231" s="227"/>
      <c r="GS231" s="227"/>
      <c r="GT231" s="227"/>
      <c r="GU231" s="227"/>
      <c r="GV231" s="227"/>
      <c r="GW231" s="227"/>
      <c r="GX231" s="227"/>
      <c r="GY231" s="227"/>
      <c r="GZ231" s="227"/>
      <c r="HA231" s="227"/>
      <c r="HB231" s="227"/>
      <c r="HC231" s="227"/>
      <c r="HD231" s="227"/>
      <c r="HE231" s="227"/>
      <c r="HF231" s="227"/>
      <c r="HG231" s="227"/>
      <c r="HH231" s="227"/>
      <c r="HI231" s="227"/>
      <c r="HJ231" s="227"/>
      <c r="HK231" s="227"/>
      <c r="HL231" s="227"/>
      <c r="HM231" s="227"/>
      <c r="HN231" s="227"/>
      <c r="HO231" s="227"/>
      <c r="HP231" s="227"/>
      <c r="HQ231" s="227"/>
      <c r="HR231" s="227"/>
      <c r="HS231" s="227"/>
      <c r="HT231" s="227"/>
      <c r="HU231" s="227"/>
      <c r="HV231" s="227"/>
      <c r="HW231" s="227"/>
      <c r="HX231" s="227"/>
      <c r="HY231" s="227"/>
      <c r="HZ231" s="227"/>
      <c r="IA231" s="227"/>
      <c r="IB231" s="227"/>
      <c r="IC231" s="227"/>
      <c r="ID231" s="227"/>
      <c r="IE231" s="227"/>
      <c r="IF231" s="227"/>
      <c r="IG231" s="227"/>
      <c r="IH231" s="227"/>
      <c r="II231" s="227"/>
      <c r="IJ231" s="227"/>
      <c r="IK231" s="227"/>
      <c r="IL231" s="227"/>
      <c r="IM231" s="227"/>
      <c r="IN231" s="227"/>
      <c r="IO231" s="227"/>
      <c r="IP231" s="227"/>
      <c r="IQ231" s="227"/>
      <c r="IR231" s="227"/>
      <c r="IS231" s="227"/>
      <c r="IT231" s="227"/>
      <c r="IU231" s="227"/>
      <c r="IV231" s="227"/>
      <c r="IW231" s="227"/>
      <c r="IX231" s="227"/>
      <c r="IY231" s="227"/>
      <c r="IZ231" s="227"/>
      <c r="JA231" s="227"/>
      <c r="JB231" s="227"/>
      <c r="JC231" s="227"/>
      <c r="JD231" s="227"/>
      <c r="JE231" s="227"/>
      <c r="JF231" s="227"/>
      <c r="JG231" s="227"/>
      <c r="JH231" s="227"/>
      <c r="JI231" s="227"/>
      <c r="JJ231" s="227"/>
      <c r="JK231" s="227"/>
      <c r="JL231" s="227"/>
      <c r="JM231" s="227"/>
      <c r="JN231" s="227"/>
      <c r="JO231" s="227"/>
      <c r="JP231" s="227"/>
      <c r="JQ231" s="227"/>
      <c r="JR231" s="227"/>
    </row>
    <row r="232" spans="1:278" ht="53.25" customHeight="1">
      <c r="A232" s="209"/>
      <c r="B232" s="243"/>
      <c r="C232" s="209" t="s">
        <v>689</v>
      </c>
      <c r="D232" s="209">
        <v>11422571</v>
      </c>
      <c r="E232" s="253">
        <v>1</v>
      </c>
      <c r="F232" s="253">
        <v>54</v>
      </c>
      <c r="G232" s="253" t="s">
        <v>22</v>
      </c>
      <c r="H232" s="243" t="s">
        <v>690</v>
      </c>
      <c r="I232" s="253">
        <v>2025</v>
      </c>
      <c r="J232" s="253" t="s">
        <v>41</v>
      </c>
      <c r="K232" s="253" t="s">
        <v>24</v>
      </c>
      <c r="L232" s="253" t="s">
        <v>51</v>
      </c>
      <c r="M232" s="253" t="s">
        <v>691</v>
      </c>
      <c r="N232" s="243" t="s">
        <v>692</v>
      </c>
      <c r="O232" s="243"/>
      <c r="P232" s="243" t="s">
        <v>28</v>
      </c>
      <c r="Q232" s="189"/>
      <c r="R232" s="243" t="s">
        <v>693</v>
      </c>
      <c r="S232" s="48"/>
      <c r="T232" s="84"/>
      <c r="U232" s="245">
        <v>45964</v>
      </c>
      <c r="V232" s="245">
        <v>45991</v>
      </c>
      <c r="W232" s="209">
        <f ca="1">V232-TODAY()</f>
        <v>-94</v>
      </c>
      <c r="X232" s="247" t="str">
        <f ca="1">IF(W232&gt;=25,"Vigente",IF(AND(W232&gt;=1,W232&lt;=25),"Por Vencer","Vencido"))</f>
        <v>Vencido</v>
      </c>
      <c r="Y232" s="243" t="s">
        <v>694</v>
      </c>
      <c r="Z232" s="204" t="s">
        <v>668</v>
      </c>
      <c r="AA232" s="243" t="s">
        <v>695</v>
      </c>
      <c r="AB232" s="243" t="s">
        <v>534</v>
      </c>
    </row>
  </sheetData>
  <autoFilter ref="B4:R209" xr:uid="{00000000-0009-0000-0000-000001000000}"/>
  <mergeCells count="1">
    <mergeCell ref="A1:R3"/>
  </mergeCells>
  <conditionalFormatting sqref="C20">
    <cfRule type="duplicateValues" dxfId="382" priority="3767"/>
  </conditionalFormatting>
  <conditionalFormatting sqref="C21">
    <cfRule type="duplicateValues" dxfId="381" priority="3761"/>
  </conditionalFormatting>
  <conditionalFormatting sqref="C22">
    <cfRule type="duplicateValues" dxfId="380" priority="3756"/>
  </conditionalFormatting>
  <conditionalFormatting sqref="C23">
    <cfRule type="duplicateValues" dxfId="379" priority="3751"/>
  </conditionalFormatting>
  <conditionalFormatting sqref="C24">
    <cfRule type="duplicateValues" dxfId="378" priority="3745"/>
  </conditionalFormatting>
  <conditionalFormatting sqref="C25">
    <cfRule type="duplicateValues" dxfId="377" priority="3740"/>
  </conditionalFormatting>
  <conditionalFormatting sqref="C26">
    <cfRule type="duplicateValues" dxfId="376" priority="3735"/>
  </conditionalFormatting>
  <conditionalFormatting sqref="C27">
    <cfRule type="duplicateValues" dxfId="375" priority="3730"/>
  </conditionalFormatting>
  <conditionalFormatting sqref="C28">
    <cfRule type="duplicateValues" dxfId="374" priority="3725"/>
  </conditionalFormatting>
  <conditionalFormatting sqref="C29">
    <cfRule type="duplicateValues" dxfId="373" priority="3718"/>
  </conditionalFormatting>
  <conditionalFormatting sqref="C30">
    <cfRule type="duplicateValues" dxfId="372" priority="3713"/>
  </conditionalFormatting>
  <conditionalFormatting sqref="C31">
    <cfRule type="duplicateValues" dxfId="371" priority="3704"/>
  </conditionalFormatting>
  <conditionalFormatting sqref="C32">
    <cfRule type="duplicateValues" dxfId="370" priority="3697"/>
  </conditionalFormatting>
  <conditionalFormatting sqref="C33">
    <cfRule type="duplicateValues" dxfId="369" priority="3680"/>
  </conditionalFormatting>
  <conditionalFormatting sqref="C34">
    <cfRule type="duplicateValues" dxfId="368" priority="3674"/>
  </conditionalFormatting>
  <conditionalFormatting sqref="C35">
    <cfRule type="duplicateValues" dxfId="367" priority="3637"/>
  </conditionalFormatting>
  <conditionalFormatting sqref="C36">
    <cfRule type="duplicateValues" dxfId="366" priority="3618"/>
  </conditionalFormatting>
  <conditionalFormatting sqref="C37">
    <cfRule type="duplicateValues" dxfId="365" priority="3602"/>
  </conditionalFormatting>
  <conditionalFormatting sqref="C38">
    <cfRule type="duplicateValues" dxfId="364" priority="3589"/>
  </conditionalFormatting>
  <conditionalFormatting sqref="C39">
    <cfRule type="duplicateValues" dxfId="363" priority="3580"/>
  </conditionalFormatting>
  <conditionalFormatting sqref="C40">
    <cfRule type="duplicateValues" dxfId="362" priority="3562"/>
  </conditionalFormatting>
  <conditionalFormatting sqref="C41">
    <cfRule type="duplicateValues" dxfId="361" priority="3542"/>
  </conditionalFormatting>
  <conditionalFormatting sqref="C42">
    <cfRule type="duplicateValues" dxfId="360" priority="3522"/>
  </conditionalFormatting>
  <conditionalFormatting sqref="C43">
    <cfRule type="duplicateValues" dxfId="359" priority="3516"/>
  </conditionalFormatting>
  <conditionalFormatting sqref="C44">
    <cfRule type="duplicateValues" dxfId="358" priority="3493"/>
  </conditionalFormatting>
  <conditionalFormatting sqref="C45">
    <cfRule type="duplicateValues" dxfId="357" priority="3475"/>
  </conditionalFormatting>
  <conditionalFormatting sqref="C46">
    <cfRule type="duplicateValues" dxfId="356" priority="3460"/>
  </conditionalFormatting>
  <conditionalFormatting sqref="C47">
    <cfRule type="duplicateValues" dxfId="355" priority="3448"/>
  </conditionalFormatting>
  <conditionalFormatting sqref="C48">
    <cfRule type="duplicateValues" dxfId="354" priority="3406"/>
  </conditionalFormatting>
  <conditionalFormatting sqref="C49">
    <cfRule type="duplicateValues" dxfId="353" priority="3374"/>
  </conditionalFormatting>
  <conditionalFormatting sqref="C50">
    <cfRule type="duplicateValues" dxfId="352" priority="3356"/>
  </conditionalFormatting>
  <conditionalFormatting sqref="C51">
    <cfRule type="duplicateValues" dxfId="351" priority="3342"/>
  </conditionalFormatting>
  <conditionalFormatting sqref="C52">
    <cfRule type="duplicateValues" dxfId="350" priority="3331"/>
  </conditionalFormatting>
  <conditionalFormatting sqref="C53">
    <cfRule type="duplicateValues" dxfId="349" priority="3311"/>
  </conditionalFormatting>
  <conditionalFormatting sqref="C54">
    <cfRule type="duplicateValues" dxfId="348" priority="3294"/>
  </conditionalFormatting>
  <conditionalFormatting sqref="C55">
    <cfRule type="duplicateValues" dxfId="347" priority="3279"/>
  </conditionalFormatting>
  <conditionalFormatting sqref="C56">
    <cfRule type="duplicateValues" dxfId="346" priority="3269"/>
  </conditionalFormatting>
  <conditionalFormatting sqref="C57">
    <cfRule type="duplicateValues" dxfId="345" priority="3246"/>
  </conditionalFormatting>
  <conditionalFormatting sqref="C58">
    <cfRule type="duplicateValues" dxfId="344" priority="3225"/>
  </conditionalFormatting>
  <conditionalFormatting sqref="C59">
    <cfRule type="duplicateValues" dxfId="343" priority="3205"/>
  </conditionalFormatting>
  <conditionalFormatting sqref="C60">
    <cfRule type="duplicateValues" dxfId="342" priority="3193"/>
  </conditionalFormatting>
  <conditionalFormatting sqref="C61">
    <cfRule type="duplicateValues" dxfId="341" priority="3155"/>
  </conditionalFormatting>
  <conditionalFormatting sqref="C62">
    <cfRule type="duplicateValues" dxfId="340" priority="3143"/>
  </conditionalFormatting>
  <conditionalFormatting sqref="C63">
    <cfRule type="duplicateValues" dxfId="339" priority="3118"/>
  </conditionalFormatting>
  <conditionalFormatting sqref="C64">
    <cfRule type="duplicateValues" dxfId="338" priority="3099"/>
  </conditionalFormatting>
  <conditionalFormatting sqref="C65">
    <cfRule type="duplicateValues" dxfId="337" priority="3081"/>
  </conditionalFormatting>
  <conditionalFormatting sqref="C66">
    <cfRule type="duplicateValues" dxfId="336" priority="3061"/>
  </conditionalFormatting>
  <conditionalFormatting sqref="C67">
    <cfRule type="duplicateValues" dxfId="335" priority="3041"/>
  </conditionalFormatting>
  <conditionalFormatting sqref="C68">
    <cfRule type="duplicateValues" dxfId="334" priority="3035"/>
  </conditionalFormatting>
  <conditionalFormatting sqref="C69">
    <cfRule type="duplicateValues" dxfId="333" priority="3003"/>
  </conditionalFormatting>
  <conditionalFormatting sqref="C70">
    <cfRule type="duplicateValues" dxfId="332" priority="2997"/>
  </conditionalFormatting>
  <conditionalFormatting sqref="C71">
    <cfRule type="duplicateValues" dxfId="331" priority="2963"/>
  </conditionalFormatting>
  <conditionalFormatting sqref="C72">
    <cfRule type="duplicateValues" dxfId="330" priority="2953"/>
  </conditionalFormatting>
  <conditionalFormatting sqref="C73">
    <cfRule type="duplicateValues" dxfId="329" priority="2933"/>
  </conditionalFormatting>
  <conditionalFormatting sqref="C74">
    <cfRule type="duplicateValues" dxfId="328" priority="2915"/>
  </conditionalFormatting>
  <conditionalFormatting sqref="C75">
    <cfRule type="duplicateValues" dxfId="327" priority="2881"/>
  </conditionalFormatting>
  <conditionalFormatting sqref="C76">
    <cfRule type="duplicateValues" dxfId="326" priority="2861"/>
  </conditionalFormatting>
  <conditionalFormatting sqref="C77">
    <cfRule type="duplicateValues" dxfId="325" priority="2849"/>
  </conditionalFormatting>
  <conditionalFormatting sqref="C78">
    <cfRule type="duplicateValues" dxfId="324" priority="2833"/>
  </conditionalFormatting>
  <conditionalFormatting sqref="C79">
    <cfRule type="duplicateValues" dxfId="323" priority="2815"/>
  </conditionalFormatting>
  <conditionalFormatting sqref="C80">
    <cfRule type="duplicateValues" dxfId="322" priority="2789"/>
  </conditionalFormatting>
  <conditionalFormatting sqref="C81">
    <cfRule type="duplicateValues" dxfId="321" priority="2775"/>
  </conditionalFormatting>
  <conditionalFormatting sqref="C82">
    <cfRule type="duplicateValues" dxfId="320" priority="2739"/>
  </conditionalFormatting>
  <conditionalFormatting sqref="C83">
    <cfRule type="duplicateValues" dxfId="319" priority="2719"/>
  </conditionalFormatting>
  <conditionalFormatting sqref="C84">
    <cfRule type="duplicateValues" dxfId="318" priority="2707"/>
  </conditionalFormatting>
  <conditionalFormatting sqref="C85">
    <cfRule type="duplicateValues" dxfId="317" priority="2685"/>
  </conditionalFormatting>
  <conditionalFormatting sqref="C86">
    <cfRule type="duplicateValues" dxfId="316" priority="2671"/>
  </conditionalFormatting>
  <conditionalFormatting sqref="C87">
    <cfRule type="duplicateValues" dxfId="315" priority="2653"/>
  </conditionalFormatting>
  <conditionalFormatting sqref="C88">
    <cfRule type="duplicateValues" dxfId="314" priority="2626"/>
  </conditionalFormatting>
  <conditionalFormatting sqref="C89">
    <cfRule type="duplicateValues" dxfId="313" priority="2603"/>
  </conditionalFormatting>
  <conditionalFormatting sqref="C90">
    <cfRule type="duplicateValues" dxfId="312" priority="2583"/>
  </conditionalFormatting>
  <conditionalFormatting sqref="C91">
    <cfRule type="duplicateValues" dxfId="311" priority="2561"/>
  </conditionalFormatting>
  <conditionalFormatting sqref="C92">
    <cfRule type="duplicateValues" dxfId="310" priority="2541"/>
  </conditionalFormatting>
  <conditionalFormatting sqref="C93">
    <cfRule type="duplicateValues" dxfId="309" priority="2507"/>
  </conditionalFormatting>
  <conditionalFormatting sqref="C94">
    <cfRule type="duplicateValues" dxfId="308" priority="2479"/>
  </conditionalFormatting>
  <conditionalFormatting sqref="C95">
    <cfRule type="duplicateValues" dxfId="307" priority="2465"/>
  </conditionalFormatting>
  <conditionalFormatting sqref="C96">
    <cfRule type="duplicateValues" dxfId="306" priority="2440"/>
  </conditionalFormatting>
  <conditionalFormatting sqref="C97">
    <cfRule type="duplicateValues" dxfId="305" priority="2413"/>
  </conditionalFormatting>
  <conditionalFormatting sqref="C98">
    <cfRule type="duplicateValues" dxfId="304" priority="2340"/>
  </conditionalFormatting>
  <conditionalFormatting sqref="C99">
    <cfRule type="duplicateValues" dxfId="303" priority="2273"/>
  </conditionalFormatting>
  <conditionalFormatting sqref="C100">
    <cfRule type="duplicateValues" dxfId="302" priority="2255"/>
  </conditionalFormatting>
  <conditionalFormatting sqref="C101">
    <cfRule type="duplicateValues" dxfId="301" priority="2226"/>
  </conditionalFormatting>
  <conditionalFormatting sqref="C102">
    <cfRule type="duplicateValues" dxfId="300" priority="2207"/>
  </conditionalFormatting>
  <conditionalFormatting sqref="C103">
    <cfRule type="duplicateValues" dxfId="299" priority="2175"/>
  </conditionalFormatting>
  <conditionalFormatting sqref="C104">
    <cfRule type="duplicateValues" dxfId="298" priority="2163"/>
  </conditionalFormatting>
  <conditionalFormatting sqref="C105">
    <cfRule type="duplicateValues" dxfId="297" priority="2123"/>
  </conditionalFormatting>
  <conditionalFormatting sqref="C106">
    <cfRule type="duplicateValues" dxfId="296" priority="2116"/>
  </conditionalFormatting>
  <conditionalFormatting sqref="C107">
    <cfRule type="duplicateValues" dxfId="295" priority="2084"/>
  </conditionalFormatting>
  <conditionalFormatting sqref="C108">
    <cfRule type="duplicateValues" dxfId="294" priority="2068"/>
  </conditionalFormatting>
  <conditionalFormatting sqref="C109">
    <cfRule type="duplicateValues" dxfId="293" priority="2040"/>
  </conditionalFormatting>
  <conditionalFormatting sqref="C110">
    <cfRule type="duplicateValues" dxfId="292" priority="2023"/>
  </conditionalFormatting>
  <conditionalFormatting sqref="C111">
    <cfRule type="duplicateValues" dxfId="291" priority="1986"/>
  </conditionalFormatting>
  <conditionalFormatting sqref="C112">
    <cfRule type="duplicateValues" dxfId="290" priority="1975"/>
  </conditionalFormatting>
  <conditionalFormatting sqref="C113:C114">
    <cfRule type="duplicateValues" dxfId="289" priority="1941"/>
  </conditionalFormatting>
  <conditionalFormatting sqref="C115">
    <cfRule type="duplicateValues" dxfId="288" priority="1919"/>
  </conditionalFormatting>
  <conditionalFormatting sqref="C116">
    <cfRule type="duplicateValues" dxfId="287" priority="1895"/>
  </conditionalFormatting>
  <conditionalFormatting sqref="C117">
    <cfRule type="duplicateValues" dxfId="286" priority="1868"/>
  </conditionalFormatting>
  <conditionalFormatting sqref="C118">
    <cfRule type="duplicateValues" dxfId="285" priority="1849"/>
  </conditionalFormatting>
  <conditionalFormatting sqref="C119">
    <cfRule type="duplicateValues" dxfId="284" priority="1818"/>
  </conditionalFormatting>
  <conditionalFormatting sqref="C120">
    <cfRule type="duplicateValues" dxfId="283" priority="1811"/>
  </conditionalFormatting>
  <conditionalFormatting sqref="C121">
    <cfRule type="duplicateValues" dxfId="282" priority="1781"/>
  </conditionalFormatting>
  <conditionalFormatting sqref="C123">
    <cfRule type="duplicateValues" dxfId="281" priority="1759"/>
  </conditionalFormatting>
  <conditionalFormatting sqref="C124">
    <cfRule type="duplicateValues" dxfId="280" priority="1738"/>
  </conditionalFormatting>
  <conditionalFormatting sqref="C125">
    <cfRule type="duplicateValues" dxfId="279" priority="1718"/>
  </conditionalFormatting>
  <conditionalFormatting sqref="C128">
    <cfRule type="duplicateValues" dxfId="278" priority="1684"/>
  </conditionalFormatting>
  <conditionalFormatting sqref="C129">
    <cfRule type="duplicateValues" dxfId="277" priority="1675"/>
  </conditionalFormatting>
  <conditionalFormatting sqref="C130">
    <cfRule type="duplicateValues" dxfId="276" priority="1651"/>
  </conditionalFormatting>
  <conditionalFormatting sqref="C131">
    <cfRule type="duplicateValues" dxfId="275" priority="1621"/>
  </conditionalFormatting>
  <conditionalFormatting sqref="C132">
    <cfRule type="duplicateValues" dxfId="274" priority="1605"/>
  </conditionalFormatting>
  <conditionalFormatting sqref="C133">
    <cfRule type="duplicateValues" dxfId="273" priority="1593"/>
  </conditionalFormatting>
  <conditionalFormatting sqref="C135">
    <cfRule type="duplicateValues" dxfId="272" priority="1558"/>
  </conditionalFormatting>
  <conditionalFormatting sqref="C136">
    <cfRule type="duplicateValues" dxfId="271" priority="1534"/>
  </conditionalFormatting>
  <conditionalFormatting sqref="C137">
    <cfRule type="duplicateValues" dxfId="270" priority="1510"/>
  </conditionalFormatting>
  <conditionalFormatting sqref="C138">
    <cfRule type="duplicateValues" dxfId="269" priority="1485"/>
  </conditionalFormatting>
  <conditionalFormatting sqref="C139">
    <cfRule type="duplicateValues" dxfId="268" priority="1464"/>
  </conditionalFormatting>
  <conditionalFormatting sqref="C140">
    <cfRule type="duplicateValues" dxfId="267" priority="1447"/>
  </conditionalFormatting>
  <conditionalFormatting sqref="C141">
    <cfRule type="duplicateValues" dxfId="266" priority="1408"/>
  </conditionalFormatting>
  <conditionalFormatting sqref="C142">
    <cfRule type="duplicateValues" dxfId="265" priority="1384"/>
  </conditionalFormatting>
  <conditionalFormatting sqref="C144">
    <cfRule type="duplicateValues" dxfId="264" priority="1373"/>
  </conditionalFormatting>
  <conditionalFormatting sqref="C145">
    <cfRule type="duplicateValues" dxfId="263" priority="1344"/>
  </conditionalFormatting>
  <conditionalFormatting sqref="C146">
    <cfRule type="duplicateValues" dxfId="262" priority="1315"/>
  </conditionalFormatting>
  <conditionalFormatting sqref="C147">
    <cfRule type="duplicateValues" dxfId="261" priority="1291"/>
  </conditionalFormatting>
  <conditionalFormatting sqref="C148">
    <cfRule type="duplicateValues" dxfId="260" priority="1265"/>
  </conditionalFormatting>
  <conditionalFormatting sqref="C149">
    <cfRule type="duplicateValues" dxfId="259" priority="1247"/>
  </conditionalFormatting>
  <conditionalFormatting sqref="C150">
    <cfRule type="duplicateValues" dxfId="258" priority="1231"/>
  </conditionalFormatting>
  <conditionalFormatting sqref="C151">
    <cfRule type="duplicateValues" dxfId="257" priority="1200"/>
  </conditionalFormatting>
  <conditionalFormatting sqref="C152">
    <cfRule type="duplicateValues" dxfId="256" priority="1178"/>
  </conditionalFormatting>
  <conditionalFormatting sqref="C153">
    <cfRule type="duplicateValues" dxfId="255" priority="1163"/>
  </conditionalFormatting>
  <conditionalFormatting sqref="C154">
    <cfRule type="duplicateValues" dxfId="254" priority="1123"/>
  </conditionalFormatting>
  <conditionalFormatting sqref="C155">
    <cfRule type="duplicateValues" dxfId="253" priority="1116"/>
  </conditionalFormatting>
  <conditionalFormatting sqref="C156">
    <cfRule type="duplicateValues" dxfId="252" priority="1089"/>
  </conditionalFormatting>
  <conditionalFormatting sqref="C157">
    <cfRule type="duplicateValues" dxfId="251" priority="1058"/>
  </conditionalFormatting>
  <conditionalFormatting sqref="C158">
    <cfRule type="duplicateValues" dxfId="250" priority="1033"/>
  </conditionalFormatting>
  <conditionalFormatting sqref="C159">
    <cfRule type="duplicateValues" dxfId="249" priority="1003"/>
  </conditionalFormatting>
  <conditionalFormatting sqref="C160">
    <cfRule type="duplicateValues" dxfId="248" priority="988"/>
  </conditionalFormatting>
  <conditionalFormatting sqref="C161">
    <cfRule type="duplicateValues" dxfId="247" priority="972"/>
  </conditionalFormatting>
  <conditionalFormatting sqref="C162">
    <cfRule type="duplicateValues" dxfId="246" priority="940"/>
  </conditionalFormatting>
  <conditionalFormatting sqref="C163">
    <cfRule type="duplicateValues" dxfId="245" priority="909"/>
  </conditionalFormatting>
  <conditionalFormatting sqref="C164">
    <cfRule type="duplicateValues" dxfId="244" priority="897"/>
  </conditionalFormatting>
  <conditionalFormatting sqref="C165">
    <cfRule type="duplicateValues" dxfId="243" priority="869"/>
  </conditionalFormatting>
  <conditionalFormatting sqref="C166">
    <cfRule type="duplicateValues" dxfId="242" priority="849"/>
  </conditionalFormatting>
  <conditionalFormatting sqref="C167">
    <cfRule type="duplicateValues" dxfId="241" priority="818"/>
  </conditionalFormatting>
  <conditionalFormatting sqref="C168">
    <cfRule type="duplicateValues" dxfId="240" priority="789"/>
  </conditionalFormatting>
  <conditionalFormatting sqref="C169">
    <cfRule type="duplicateValues" dxfId="239" priority="765"/>
  </conditionalFormatting>
  <conditionalFormatting sqref="C170">
    <cfRule type="duplicateValues" dxfId="238" priority="749"/>
  </conditionalFormatting>
  <conditionalFormatting sqref="C171">
    <cfRule type="duplicateValues" dxfId="237" priority="722"/>
  </conditionalFormatting>
  <conditionalFormatting sqref="C172">
    <cfRule type="duplicateValues" dxfId="236" priority="701"/>
  </conditionalFormatting>
  <conditionalFormatting sqref="C173">
    <cfRule type="duplicateValues" dxfId="235" priority="676"/>
  </conditionalFormatting>
  <conditionalFormatting sqref="C174">
    <cfRule type="duplicateValues" dxfId="234" priority="660"/>
  </conditionalFormatting>
  <conditionalFormatting sqref="C175">
    <cfRule type="duplicateValues" dxfId="233" priority="628"/>
  </conditionalFormatting>
  <conditionalFormatting sqref="C176">
    <cfRule type="duplicateValues" dxfId="232" priority="601"/>
  </conditionalFormatting>
  <conditionalFormatting sqref="C177">
    <cfRule type="duplicateValues" dxfId="231" priority="575"/>
  </conditionalFormatting>
  <conditionalFormatting sqref="C178">
    <cfRule type="duplicateValues" dxfId="230" priority="549"/>
  </conditionalFormatting>
  <conditionalFormatting sqref="C179">
    <cfRule type="duplicateValues" dxfId="229" priority="525"/>
  </conditionalFormatting>
  <conditionalFormatting sqref="C180">
    <cfRule type="duplicateValues" dxfId="228" priority="508"/>
  </conditionalFormatting>
  <conditionalFormatting sqref="C181">
    <cfRule type="duplicateValues" dxfId="227" priority="494"/>
  </conditionalFormatting>
  <conditionalFormatting sqref="C182">
    <cfRule type="duplicateValues" dxfId="226" priority="459"/>
  </conditionalFormatting>
  <conditionalFormatting sqref="C183">
    <cfRule type="duplicateValues" dxfId="225" priority="435"/>
  </conditionalFormatting>
  <conditionalFormatting sqref="C184">
    <cfRule type="duplicateValues" dxfId="224" priority="421"/>
  </conditionalFormatting>
  <conditionalFormatting sqref="C185">
    <cfRule type="duplicateValues" dxfId="223" priority="385"/>
  </conditionalFormatting>
  <conditionalFormatting sqref="C186">
    <cfRule type="duplicateValues" dxfId="222" priority="369"/>
  </conditionalFormatting>
  <conditionalFormatting sqref="C187">
    <cfRule type="duplicateValues" dxfId="221" priority="337"/>
  </conditionalFormatting>
  <conditionalFormatting sqref="C188">
    <cfRule type="duplicateValues" dxfId="220" priority="322"/>
  </conditionalFormatting>
  <conditionalFormatting sqref="C190">
    <cfRule type="duplicateValues" dxfId="219" priority="296"/>
  </conditionalFormatting>
  <conditionalFormatting sqref="C191">
    <cfRule type="duplicateValues" dxfId="218" priority="269"/>
  </conditionalFormatting>
  <conditionalFormatting sqref="C192">
    <cfRule type="duplicateValues" dxfId="217" priority="256"/>
  </conditionalFormatting>
  <conditionalFormatting sqref="C193">
    <cfRule type="duplicateValues" dxfId="216" priority="223"/>
  </conditionalFormatting>
  <conditionalFormatting sqref="C194">
    <cfRule type="duplicateValues" dxfId="215" priority="200"/>
  </conditionalFormatting>
  <conditionalFormatting sqref="C195">
    <cfRule type="duplicateValues" dxfId="214" priority="183"/>
  </conditionalFormatting>
  <conditionalFormatting sqref="C196">
    <cfRule type="duplicateValues" dxfId="213" priority="149"/>
  </conditionalFormatting>
  <conditionalFormatting sqref="C197">
    <cfRule type="duplicateValues" dxfId="212" priority="133"/>
  </conditionalFormatting>
  <conditionalFormatting sqref="C198">
    <cfRule type="duplicateValues" dxfId="211" priority="111"/>
  </conditionalFormatting>
  <conditionalFormatting sqref="C199">
    <cfRule type="duplicateValues" dxfId="210" priority="95"/>
  </conditionalFormatting>
  <conditionalFormatting sqref="C200">
    <cfRule type="duplicateValues" dxfId="209" priority="62"/>
  </conditionalFormatting>
  <conditionalFormatting sqref="C201">
    <cfRule type="duplicateValues" dxfId="208" priority="31"/>
  </conditionalFormatting>
  <conditionalFormatting sqref="C202">
    <cfRule type="duplicateValues" dxfId="207" priority="13"/>
  </conditionalFormatting>
  <conditionalFormatting sqref="D18">
    <cfRule type="duplicateValues" dxfId="206" priority="3780"/>
  </conditionalFormatting>
  <conditionalFormatting sqref="D19">
    <cfRule type="duplicateValues" dxfId="205" priority="3776"/>
  </conditionalFormatting>
  <conditionalFormatting sqref="D20">
    <cfRule type="duplicateValues" dxfId="204" priority="3766"/>
  </conditionalFormatting>
  <conditionalFormatting sqref="D21">
    <cfRule type="duplicateValues" dxfId="203" priority="3760"/>
  </conditionalFormatting>
  <conditionalFormatting sqref="D22">
    <cfRule type="duplicateValues" dxfId="202" priority="3755"/>
  </conditionalFormatting>
  <conditionalFormatting sqref="D23">
    <cfRule type="duplicateValues" dxfId="201" priority="3750"/>
  </conditionalFormatting>
  <conditionalFormatting sqref="D24">
    <cfRule type="duplicateValues" dxfId="200" priority="3744"/>
  </conditionalFormatting>
  <conditionalFormatting sqref="D25">
    <cfRule type="duplicateValues" dxfId="199" priority="3739"/>
  </conditionalFormatting>
  <conditionalFormatting sqref="D26">
    <cfRule type="duplicateValues" dxfId="198" priority="3734"/>
  </conditionalFormatting>
  <conditionalFormatting sqref="D27">
    <cfRule type="duplicateValues" dxfId="197" priority="3729"/>
  </conditionalFormatting>
  <conditionalFormatting sqref="D28">
    <cfRule type="duplicateValues" dxfId="196" priority="3724"/>
  </conditionalFormatting>
  <conditionalFormatting sqref="D29">
    <cfRule type="duplicateValues" dxfId="195" priority="3717"/>
  </conditionalFormatting>
  <conditionalFormatting sqref="D30">
    <cfRule type="duplicateValues" dxfId="194" priority="3712"/>
  </conditionalFormatting>
  <conditionalFormatting sqref="D31">
    <cfRule type="duplicateValues" dxfId="193" priority="3706"/>
  </conditionalFormatting>
  <conditionalFormatting sqref="D32">
    <cfRule type="duplicateValues" dxfId="192" priority="3703"/>
  </conditionalFormatting>
  <conditionalFormatting sqref="D33">
    <cfRule type="duplicateValues" dxfId="191" priority="3693"/>
  </conditionalFormatting>
  <conditionalFormatting sqref="D34">
    <cfRule type="duplicateValues" dxfId="190" priority="3670"/>
  </conditionalFormatting>
  <conditionalFormatting sqref="D35">
    <cfRule type="duplicateValues" dxfId="189" priority="3648"/>
  </conditionalFormatting>
  <conditionalFormatting sqref="D36">
    <cfRule type="duplicateValues" dxfId="188" priority="3625"/>
  </conditionalFormatting>
  <conditionalFormatting sqref="D37">
    <cfRule type="duplicateValues" dxfId="187" priority="3601"/>
  </conditionalFormatting>
  <conditionalFormatting sqref="D38">
    <cfRule type="duplicateValues" dxfId="186" priority="3595"/>
  </conditionalFormatting>
  <conditionalFormatting sqref="D39">
    <cfRule type="duplicateValues" dxfId="185" priority="3584"/>
  </conditionalFormatting>
  <conditionalFormatting sqref="D40">
    <cfRule type="duplicateValues" dxfId="184" priority="3560"/>
  </conditionalFormatting>
  <conditionalFormatting sqref="D41">
    <cfRule type="duplicateValues" dxfId="183" priority="3537"/>
  </conditionalFormatting>
  <conditionalFormatting sqref="D42">
    <cfRule type="duplicateValues" dxfId="182" priority="3529"/>
  </conditionalFormatting>
  <conditionalFormatting sqref="D43">
    <cfRule type="duplicateValues" dxfId="181" priority="3515"/>
  </conditionalFormatting>
  <conditionalFormatting sqref="D44">
    <cfRule type="duplicateValues" dxfId="180" priority="3497"/>
  </conditionalFormatting>
  <conditionalFormatting sqref="D45">
    <cfRule type="duplicateValues" dxfId="179" priority="3478"/>
  </conditionalFormatting>
  <conditionalFormatting sqref="D46">
    <cfRule type="duplicateValues" dxfId="178" priority="3462"/>
  </conditionalFormatting>
  <conditionalFormatting sqref="D47">
    <cfRule type="duplicateValues" dxfId="177" priority="3437"/>
  </conditionalFormatting>
  <conditionalFormatting sqref="D48">
    <cfRule type="duplicateValues" dxfId="176" priority="3420"/>
  </conditionalFormatting>
  <conditionalFormatting sqref="D49">
    <cfRule type="duplicateValues" dxfId="175" priority="3376"/>
  </conditionalFormatting>
  <conditionalFormatting sqref="D50">
    <cfRule type="duplicateValues" dxfId="174" priority="3369"/>
  </conditionalFormatting>
  <conditionalFormatting sqref="D51">
    <cfRule type="duplicateValues" dxfId="173" priority="3345"/>
  </conditionalFormatting>
  <conditionalFormatting sqref="D52">
    <cfRule type="duplicateValues" dxfId="172" priority="3337"/>
  </conditionalFormatting>
  <conditionalFormatting sqref="D53">
    <cfRule type="duplicateValues" dxfId="171" priority="3312"/>
  </conditionalFormatting>
  <conditionalFormatting sqref="D54">
    <cfRule type="duplicateValues" dxfId="170" priority="3297"/>
  </conditionalFormatting>
  <conditionalFormatting sqref="D55">
    <cfRule type="duplicateValues" dxfId="169" priority="3282"/>
  </conditionalFormatting>
  <conditionalFormatting sqref="D56">
    <cfRule type="duplicateValues" dxfId="168" priority="3264"/>
  </conditionalFormatting>
  <conditionalFormatting sqref="D57">
    <cfRule type="duplicateValues" dxfId="167" priority="3250"/>
  </conditionalFormatting>
  <conditionalFormatting sqref="D58">
    <cfRule type="duplicateValues" dxfId="166" priority="3224"/>
  </conditionalFormatting>
  <conditionalFormatting sqref="D59">
    <cfRule type="duplicateValues" dxfId="165" priority="3221"/>
  </conditionalFormatting>
  <conditionalFormatting sqref="D60">
    <cfRule type="duplicateValues" dxfId="164" priority="3186"/>
  </conditionalFormatting>
  <conditionalFormatting sqref="D61">
    <cfRule type="duplicateValues" dxfId="163" priority="3160"/>
  </conditionalFormatting>
  <conditionalFormatting sqref="D62">
    <cfRule type="duplicateValues" dxfId="162" priority="3138"/>
  </conditionalFormatting>
  <conditionalFormatting sqref="D63">
    <cfRule type="duplicateValues" dxfId="161" priority="3112"/>
  </conditionalFormatting>
  <conditionalFormatting sqref="D64">
    <cfRule type="duplicateValues" dxfId="160" priority="3102"/>
  </conditionalFormatting>
  <conditionalFormatting sqref="D65">
    <cfRule type="duplicateValues" dxfId="159" priority="3076"/>
  </conditionalFormatting>
  <conditionalFormatting sqref="D66">
    <cfRule type="duplicateValues" dxfId="158" priority="3060"/>
  </conditionalFormatting>
  <conditionalFormatting sqref="D67">
    <cfRule type="duplicateValues" dxfId="157" priority="3048"/>
  </conditionalFormatting>
  <conditionalFormatting sqref="D68">
    <cfRule type="duplicateValues" dxfId="156" priority="3030"/>
  </conditionalFormatting>
  <conditionalFormatting sqref="D69">
    <cfRule type="duplicateValues" dxfId="155" priority="3006"/>
  </conditionalFormatting>
  <conditionalFormatting sqref="D70">
    <cfRule type="duplicateValues" dxfId="154" priority="3001"/>
  </conditionalFormatting>
  <conditionalFormatting sqref="D71">
    <cfRule type="duplicateValues" dxfId="153" priority="2972"/>
  </conditionalFormatting>
  <conditionalFormatting sqref="D72">
    <cfRule type="duplicateValues" dxfId="152" priority="2940"/>
  </conditionalFormatting>
  <conditionalFormatting sqref="D73">
    <cfRule type="duplicateValues" dxfId="151" priority="2920"/>
  </conditionalFormatting>
  <conditionalFormatting sqref="D74">
    <cfRule type="duplicateValues" dxfId="150" priority="2919"/>
  </conditionalFormatting>
  <conditionalFormatting sqref="D75">
    <cfRule type="duplicateValues" dxfId="149" priority="2894"/>
  </conditionalFormatting>
  <conditionalFormatting sqref="D76">
    <cfRule type="duplicateValues" dxfId="148" priority="2871"/>
  </conditionalFormatting>
  <conditionalFormatting sqref="D77">
    <cfRule type="duplicateValues" dxfId="147" priority="2854"/>
  </conditionalFormatting>
  <conditionalFormatting sqref="D78">
    <cfRule type="duplicateValues" dxfId="146" priority="2832"/>
  </conditionalFormatting>
  <conditionalFormatting sqref="D79">
    <cfRule type="duplicateValues" dxfId="145" priority="2812"/>
  </conditionalFormatting>
  <conditionalFormatting sqref="D80">
    <cfRule type="duplicateValues" dxfId="144" priority="2799"/>
  </conditionalFormatting>
  <conditionalFormatting sqref="D81">
    <cfRule type="duplicateValues" dxfId="143" priority="2770"/>
  </conditionalFormatting>
  <conditionalFormatting sqref="D82">
    <cfRule type="duplicateValues" dxfId="142" priority="2750"/>
  </conditionalFormatting>
  <conditionalFormatting sqref="D83">
    <cfRule type="duplicateValues" dxfId="141" priority="2732"/>
  </conditionalFormatting>
  <conditionalFormatting sqref="D84">
    <cfRule type="duplicateValues" dxfId="140" priority="2712"/>
  </conditionalFormatting>
  <conditionalFormatting sqref="D85">
    <cfRule type="duplicateValues" dxfId="139" priority="2690"/>
  </conditionalFormatting>
  <conditionalFormatting sqref="D86">
    <cfRule type="duplicateValues" dxfId="138" priority="2658"/>
  </conditionalFormatting>
  <conditionalFormatting sqref="D87">
    <cfRule type="duplicateValues" dxfId="137" priority="2648"/>
  </conditionalFormatting>
  <conditionalFormatting sqref="D88">
    <cfRule type="duplicateValues" dxfId="136" priority="2622"/>
  </conditionalFormatting>
  <conditionalFormatting sqref="D89">
    <cfRule type="duplicateValues" dxfId="135" priority="2612"/>
  </conditionalFormatting>
  <conditionalFormatting sqref="D90">
    <cfRule type="duplicateValues" dxfId="134" priority="2590"/>
  </conditionalFormatting>
  <conditionalFormatting sqref="D91">
    <cfRule type="duplicateValues" dxfId="133" priority="2560"/>
  </conditionalFormatting>
  <conditionalFormatting sqref="D92">
    <cfRule type="duplicateValues" dxfId="132" priority="2549"/>
  </conditionalFormatting>
  <conditionalFormatting sqref="D93">
    <cfRule type="duplicateValues" dxfId="131" priority="2502"/>
  </conditionalFormatting>
  <conditionalFormatting sqref="D94">
    <cfRule type="duplicateValues" dxfId="130" priority="2492"/>
  </conditionalFormatting>
  <conditionalFormatting sqref="D95">
    <cfRule type="duplicateValues" dxfId="129" priority="2468"/>
  </conditionalFormatting>
  <conditionalFormatting sqref="D96">
    <cfRule type="duplicateValues" dxfId="128" priority="2446"/>
  </conditionalFormatting>
  <conditionalFormatting sqref="D97">
    <cfRule type="duplicateValues" dxfId="127" priority="2416"/>
  </conditionalFormatting>
  <conditionalFormatting sqref="D98">
    <cfRule type="duplicateValues" dxfId="126" priority="2344"/>
  </conditionalFormatting>
  <conditionalFormatting sqref="D99">
    <cfRule type="duplicateValues" dxfId="125" priority="2281"/>
  </conditionalFormatting>
  <conditionalFormatting sqref="D100">
    <cfRule type="duplicateValues" dxfId="124" priority="2263"/>
  </conditionalFormatting>
  <conditionalFormatting sqref="D101">
    <cfRule type="duplicateValues" dxfId="123" priority="2232"/>
  </conditionalFormatting>
  <conditionalFormatting sqref="D102">
    <cfRule type="duplicateValues" dxfId="122" priority="2208"/>
  </conditionalFormatting>
  <conditionalFormatting sqref="D103">
    <cfRule type="duplicateValues" dxfId="121" priority="2190"/>
  </conditionalFormatting>
  <conditionalFormatting sqref="D104">
    <cfRule type="duplicateValues" dxfId="120" priority="2158"/>
  </conditionalFormatting>
  <conditionalFormatting sqref="D105">
    <cfRule type="duplicateValues" dxfId="119" priority="2135"/>
  </conditionalFormatting>
  <conditionalFormatting sqref="D106">
    <cfRule type="duplicateValues" dxfId="118" priority="2102"/>
  </conditionalFormatting>
  <conditionalFormatting sqref="D107">
    <cfRule type="duplicateValues" dxfId="117" priority="2089"/>
  </conditionalFormatting>
  <conditionalFormatting sqref="D108">
    <cfRule type="duplicateValues" dxfId="116" priority="2057"/>
  </conditionalFormatting>
  <conditionalFormatting sqref="D109">
    <cfRule type="duplicateValues" dxfId="115" priority="2049"/>
  </conditionalFormatting>
  <conditionalFormatting sqref="D110">
    <cfRule type="duplicateValues" dxfId="114" priority="2018"/>
  </conditionalFormatting>
  <conditionalFormatting sqref="D111">
    <cfRule type="duplicateValues" dxfId="113" priority="2000"/>
  </conditionalFormatting>
  <conditionalFormatting sqref="D112">
    <cfRule type="duplicateValues" dxfId="112" priority="1977"/>
  </conditionalFormatting>
  <conditionalFormatting sqref="D113:D114">
    <cfRule type="duplicateValues" dxfId="111" priority="1939"/>
  </conditionalFormatting>
  <conditionalFormatting sqref="D115">
    <cfRule type="duplicateValues" dxfId="110" priority="1929"/>
  </conditionalFormatting>
  <conditionalFormatting sqref="D116">
    <cfRule type="duplicateValues" dxfId="109" priority="1904"/>
  </conditionalFormatting>
  <conditionalFormatting sqref="D117">
    <cfRule type="duplicateValues" dxfId="108" priority="1863"/>
  </conditionalFormatting>
  <conditionalFormatting sqref="D118">
    <cfRule type="duplicateValues" dxfId="107" priority="1841"/>
  </conditionalFormatting>
  <conditionalFormatting sqref="D119">
    <cfRule type="duplicateValues" dxfId="106" priority="1817"/>
  </conditionalFormatting>
  <conditionalFormatting sqref="D120">
    <cfRule type="duplicateValues" dxfId="105" priority="1799"/>
  </conditionalFormatting>
  <conditionalFormatting sqref="D121">
    <cfRule type="duplicateValues" dxfId="104" priority="1774"/>
  </conditionalFormatting>
  <conditionalFormatting sqref="D123">
    <cfRule type="duplicateValues" dxfId="103" priority="1757"/>
  </conditionalFormatting>
  <conditionalFormatting sqref="D124">
    <cfRule type="duplicateValues" dxfId="102" priority="1741"/>
  </conditionalFormatting>
  <conditionalFormatting sqref="D125">
    <cfRule type="duplicateValues" dxfId="101" priority="1723"/>
  </conditionalFormatting>
  <conditionalFormatting sqref="D128">
    <cfRule type="duplicateValues" dxfId="100" priority="1687"/>
  </conditionalFormatting>
  <conditionalFormatting sqref="D129">
    <cfRule type="duplicateValues" dxfId="99" priority="1674"/>
  </conditionalFormatting>
  <conditionalFormatting sqref="D130">
    <cfRule type="duplicateValues" dxfId="98" priority="1649"/>
  </conditionalFormatting>
  <conditionalFormatting sqref="D131">
    <cfRule type="duplicateValues" dxfId="97" priority="1629"/>
  </conditionalFormatting>
  <conditionalFormatting sqref="D133">
    <cfRule type="duplicateValues" dxfId="96" priority="1588"/>
  </conditionalFormatting>
  <conditionalFormatting sqref="D135">
    <cfRule type="duplicateValues" dxfId="95" priority="1551"/>
  </conditionalFormatting>
  <conditionalFormatting sqref="D136">
    <cfRule type="duplicateValues" dxfId="94" priority="1538"/>
  </conditionalFormatting>
  <conditionalFormatting sqref="D137">
    <cfRule type="duplicateValues" dxfId="93" priority="1513"/>
  </conditionalFormatting>
  <conditionalFormatting sqref="D138">
    <cfRule type="duplicateValues" dxfId="92" priority="1479"/>
  </conditionalFormatting>
  <conditionalFormatting sqref="D139">
    <cfRule type="duplicateValues" dxfId="91" priority="1453"/>
  </conditionalFormatting>
  <conditionalFormatting sqref="D140">
    <cfRule type="duplicateValues" dxfId="90" priority="1446"/>
  </conditionalFormatting>
  <conditionalFormatting sqref="D141">
    <cfRule type="duplicateValues" dxfId="89" priority="1425"/>
  </conditionalFormatting>
  <conditionalFormatting sqref="D142">
    <cfRule type="duplicateValues" dxfId="88" priority="1383"/>
  </conditionalFormatting>
  <conditionalFormatting sqref="D144">
    <cfRule type="duplicateValues" dxfId="87" priority="1376"/>
  </conditionalFormatting>
  <conditionalFormatting sqref="D145">
    <cfRule type="duplicateValues" dxfId="86" priority="1354"/>
  </conditionalFormatting>
  <conditionalFormatting sqref="D146">
    <cfRule type="duplicateValues" dxfId="85" priority="1332"/>
  </conditionalFormatting>
  <conditionalFormatting sqref="D147">
    <cfRule type="duplicateValues" dxfId="84" priority="1308"/>
  </conditionalFormatting>
  <conditionalFormatting sqref="D148">
    <cfRule type="duplicateValues" dxfId="83" priority="1281"/>
  </conditionalFormatting>
  <conditionalFormatting sqref="D149">
    <cfRule type="duplicateValues" dxfId="82" priority="1260"/>
  </conditionalFormatting>
  <conditionalFormatting sqref="D150">
    <cfRule type="duplicateValues" dxfId="81" priority="1222"/>
  </conditionalFormatting>
  <conditionalFormatting sqref="D151">
    <cfRule type="duplicateValues" dxfId="80" priority="1211"/>
  </conditionalFormatting>
  <conditionalFormatting sqref="D152">
    <cfRule type="duplicateValues" dxfId="79" priority="1168"/>
  </conditionalFormatting>
  <conditionalFormatting sqref="D153">
    <cfRule type="duplicateValues" dxfId="78" priority="1158"/>
  </conditionalFormatting>
  <conditionalFormatting sqref="D154">
    <cfRule type="duplicateValues" dxfId="77" priority="1135"/>
  </conditionalFormatting>
  <conditionalFormatting sqref="D155">
    <cfRule type="duplicateValues" dxfId="76" priority="1098"/>
  </conditionalFormatting>
  <conditionalFormatting sqref="D156">
    <cfRule type="duplicateValues" dxfId="75" priority="1076"/>
  </conditionalFormatting>
  <conditionalFormatting sqref="D157">
    <cfRule type="duplicateValues" dxfId="74" priority="1056"/>
  </conditionalFormatting>
  <conditionalFormatting sqref="D158">
    <cfRule type="duplicateValues" dxfId="73" priority="1043"/>
  </conditionalFormatting>
  <conditionalFormatting sqref="D159">
    <cfRule type="duplicateValues" dxfId="72" priority="1022"/>
  </conditionalFormatting>
  <conditionalFormatting sqref="D160">
    <cfRule type="duplicateValues" dxfId="71" priority="990"/>
  </conditionalFormatting>
  <conditionalFormatting sqref="D161">
    <cfRule type="duplicateValues" dxfId="70" priority="970"/>
  </conditionalFormatting>
  <conditionalFormatting sqref="D162">
    <cfRule type="duplicateValues" dxfId="69" priority="934"/>
  </conditionalFormatting>
  <conditionalFormatting sqref="D163">
    <cfRule type="duplicateValues" dxfId="68" priority="925"/>
  </conditionalFormatting>
  <conditionalFormatting sqref="D164">
    <cfRule type="duplicateValues" dxfId="67" priority="884"/>
  </conditionalFormatting>
  <conditionalFormatting sqref="D165">
    <cfRule type="duplicateValues" dxfId="66" priority="870"/>
  </conditionalFormatting>
  <conditionalFormatting sqref="D166">
    <cfRule type="duplicateValues" dxfId="65" priority="854"/>
  </conditionalFormatting>
  <conditionalFormatting sqref="D167">
    <cfRule type="duplicateValues" dxfId="64" priority="816"/>
  </conditionalFormatting>
  <conditionalFormatting sqref="D168">
    <cfRule type="duplicateValues" dxfId="63" priority="805"/>
  </conditionalFormatting>
  <conditionalFormatting sqref="D169">
    <cfRule type="duplicateValues" dxfId="62" priority="776"/>
  </conditionalFormatting>
  <conditionalFormatting sqref="D170">
    <cfRule type="duplicateValues" dxfId="61" priority="751"/>
  </conditionalFormatting>
  <conditionalFormatting sqref="D171">
    <cfRule type="duplicateValues" dxfId="60" priority="734"/>
  </conditionalFormatting>
  <conditionalFormatting sqref="D172">
    <cfRule type="duplicateValues" dxfId="59" priority="690"/>
  </conditionalFormatting>
  <conditionalFormatting sqref="D173">
    <cfRule type="duplicateValues" dxfId="58" priority="686"/>
  </conditionalFormatting>
  <conditionalFormatting sqref="D174">
    <cfRule type="duplicateValues" dxfId="57" priority="646"/>
  </conditionalFormatting>
  <conditionalFormatting sqref="D175">
    <cfRule type="duplicateValues" dxfId="56" priority="630"/>
  </conditionalFormatting>
  <conditionalFormatting sqref="D176">
    <cfRule type="duplicateValues" dxfId="55" priority="608"/>
  </conditionalFormatting>
  <conditionalFormatting sqref="D177">
    <cfRule type="duplicateValues" dxfId="54" priority="578"/>
  </conditionalFormatting>
  <conditionalFormatting sqref="D178">
    <cfRule type="duplicateValues" dxfId="53" priority="565"/>
  </conditionalFormatting>
  <conditionalFormatting sqref="D179">
    <cfRule type="duplicateValues" dxfId="52" priority="537"/>
  </conditionalFormatting>
  <conditionalFormatting sqref="D180">
    <cfRule type="duplicateValues" dxfId="51" priority="520"/>
  </conditionalFormatting>
  <conditionalFormatting sqref="D181">
    <cfRule type="duplicateValues" dxfId="50" priority="489"/>
  </conditionalFormatting>
  <conditionalFormatting sqref="D182">
    <cfRule type="duplicateValues" dxfId="49" priority="472"/>
  </conditionalFormatting>
  <conditionalFormatting sqref="D183">
    <cfRule type="duplicateValues" dxfId="48" priority="432"/>
  </conditionalFormatting>
  <conditionalFormatting sqref="D184">
    <cfRule type="duplicateValues" dxfId="47" priority="426"/>
  </conditionalFormatting>
  <conditionalFormatting sqref="D185">
    <cfRule type="duplicateValues" dxfId="46" priority="402"/>
  </conditionalFormatting>
  <conditionalFormatting sqref="D186">
    <cfRule type="duplicateValues" dxfId="45" priority="380"/>
  </conditionalFormatting>
  <conditionalFormatting sqref="D187">
    <cfRule type="duplicateValues" dxfId="44" priority="356"/>
  </conditionalFormatting>
  <conditionalFormatting sqref="D188">
    <cfRule type="duplicateValues" dxfId="43" priority="332"/>
  </conditionalFormatting>
  <conditionalFormatting sqref="D190">
    <cfRule type="duplicateValues" dxfId="42" priority="305"/>
  </conditionalFormatting>
  <conditionalFormatting sqref="D191">
    <cfRule type="duplicateValues" dxfId="41" priority="274"/>
  </conditionalFormatting>
  <conditionalFormatting sqref="D192">
    <cfRule type="duplicateValues" dxfId="40" priority="257"/>
  </conditionalFormatting>
  <conditionalFormatting sqref="D193">
    <cfRule type="duplicateValues" dxfId="39" priority="214"/>
  </conditionalFormatting>
  <conditionalFormatting sqref="D194">
    <cfRule type="duplicateValues" dxfId="38" priority="190"/>
  </conditionalFormatting>
  <conditionalFormatting sqref="D195">
    <cfRule type="duplicateValues" dxfId="37" priority="168"/>
  </conditionalFormatting>
  <conditionalFormatting sqref="D196">
    <cfRule type="duplicateValues" dxfId="36" priority="148"/>
  </conditionalFormatting>
  <conditionalFormatting sqref="D197">
    <cfRule type="duplicateValues" dxfId="35" priority="141"/>
  </conditionalFormatting>
  <conditionalFormatting sqref="D198">
    <cfRule type="duplicateValues" dxfId="34" priority="104"/>
  </conditionalFormatting>
  <conditionalFormatting sqref="D199">
    <cfRule type="duplicateValues" dxfId="33" priority="80"/>
  </conditionalFormatting>
  <conditionalFormatting sqref="D200">
    <cfRule type="duplicateValues" dxfId="32" priority="58"/>
  </conditionalFormatting>
  <conditionalFormatting sqref="D201">
    <cfRule type="duplicateValues" dxfId="31" priority="46"/>
  </conditionalFormatting>
  <conditionalFormatting sqref="D202">
    <cfRule type="duplicateValues" dxfId="30" priority="18"/>
  </conditionalFormatting>
  <conditionalFormatting sqref="D209">
    <cfRule type="duplicateValues" dxfId="29" priority="2"/>
  </conditionalFormatting>
  <conditionalFormatting sqref="D223">
    <cfRule type="duplicateValues" dxfId="28" priority="1"/>
  </conditionalFormatting>
  <conditionalFormatting sqref="L96">
    <cfRule type="duplicateValues" dxfId="27" priority="2454"/>
  </conditionalFormatting>
  <conditionalFormatting sqref="X123:X125">
    <cfRule type="containsText" dxfId="26" priority="1700" operator="containsText" text="VIGENTE">
      <formula>NOT(ISERROR(SEARCH("VIGENTE",X123)))</formula>
    </cfRule>
    <cfRule type="containsText" dxfId="25" priority="1701" operator="containsText" text="POR VENCER">
      <formula>NOT(ISERROR(SEARCH("POR VENCER",X123)))</formula>
    </cfRule>
    <cfRule type="containsText" dxfId="24" priority="1702" operator="containsText" text="VENCIDO">
      <formula>NOT(ISERROR(SEARCH("VENCIDO",X123)))</formula>
    </cfRule>
  </conditionalFormatting>
  <conditionalFormatting sqref="X128:X163">
    <cfRule type="containsText" dxfId="23" priority="903" operator="containsText" text="VIGENTE">
      <formula>NOT(ISERROR(SEARCH("VIGENTE",X128)))</formula>
    </cfRule>
    <cfRule type="containsText" dxfId="22" priority="904" operator="containsText" text="POR VENCER">
      <formula>NOT(ISERROR(SEARCH("POR VENCER",X128)))</formula>
    </cfRule>
    <cfRule type="containsText" dxfId="21" priority="905" operator="containsText" text="VENCIDO">
      <formula>NOT(ISERROR(SEARCH("VENCIDO",X128)))</formula>
    </cfRule>
  </conditionalFormatting>
  <conditionalFormatting sqref="X164">
    <cfRule type="containsText" dxfId="20" priority="879" operator="containsText" text="vigente">
      <formula>NOT(ISERROR(SEARCH("vigente",X164)))</formula>
    </cfRule>
    <cfRule type="containsText" dxfId="19" priority="880" operator="containsText" text="por vencer">
      <formula>NOT(ISERROR(SEARCH("por vencer",X164)))</formula>
    </cfRule>
    <cfRule type="containsText" dxfId="18" priority="881" operator="containsText" text="vencido">
      <formula>NOT(ISERROR(SEARCH("vencido",X164)))</formula>
    </cfRule>
  </conditionalFormatting>
  <conditionalFormatting sqref="X165:X188">
    <cfRule type="containsText" dxfId="17" priority="309" operator="containsText" text="VIGENTE">
      <formula>NOT(ISERROR(SEARCH("VIGENTE",X165)))</formula>
    </cfRule>
    <cfRule type="containsText" dxfId="16" priority="310" operator="containsText" text="POR VENCER">
      <formula>NOT(ISERROR(SEARCH("POR VENCER",X165)))</formula>
    </cfRule>
    <cfRule type="containsText" dxfId="15" priority="311" operator="containsText" text="VENCIDO">
      <formula>NOT(ISERROR(SEARCH("VENCIDO",X165)))</formula>
    </cfRule>
  </conditionalFormatting>
  <conditionalFormatting sqref="X189">
    <cfRule type="containsText" dxfId="14" priority="306" operator="containsText" text="vigente">
      <formula>NOT(ISERROR(SEARCH("vigente",X189)))</formula>
    </cfRule>
    <cfRule type="containsText" dxfId="13" priority="307" operator="containsText" text="por vencer">
      <formula>NOT(ISERROR(SEARCH("por vencer",X189)))</formula>
    </cfRule>
    <cfRule type="containsText" dxfId="12" priority="308" operator="containsText" text="vencido">
      <formula>NOT(ISERROR(SEARCH("vencido",X189)))</formula>
    </cfRule>
  </conditionalFormatting>
  <conditionalFormatting sqref="X190:X193">
    <cfRule type="containsText" dxfId="11" priority="211" operator="containsText" text="VIGENTE">
      <formula>NOT(ISERROR(SEARCH("VIGENTE",X190)))</formula>
    </cfRule>
    <cfRule type="containsText" dxfId="10" priority="212" operator="containsText" text="POR VENCER">
      <formula>NOT(ISERROR(SEARCH("POR VENCER",X190)))</formula>
    </cfRule>
    <cfRule type="containsText" dxfId="9" priority="213" operator="containsText" text="VENCIDO">
      <formula>NOT(ISERROR(SEARCH("VENCIDO",X190)))</formula>
    </cfRule>
  </conditionalFormatting>
  <conditionalFormatting sqref="X194">
    <cfRule type="containsText" dxfId="8" priority="187" operator="containsText" text="vigente">
      <formula>NOT(ISERROR(SEARCH("vigente",X194)))</formula>
    </cfRule>
    <cfRule type="containsText" dxfId="7" priority="188" operator="containsText" text="por vencer">
      <formula>NOT(ISERROR(SEARCH("por vencer",X194)))</formula>
    </cfRule>
    <cfRule type="containsText" dxfId="6" priority="189" operator="containsText" text="vencido">
      <formula>NOT(ISERROR(SEARCH("vencido",X194)))</formula>
    </cfRule>
  </conditionalFormatting>
  <conditionalFormatting sqref="X195:X202">
    <cfRule type="containsText" dxfId="5" priority="3" operator="containsText" text="VIGENTE">
      <formula>NOT(ISERROR(SEARCH("VIGENTE",X195)))</formula>
    </cfRule>
    <cfRule type="containsText" dxfId="4" priority="4" operator="containsText" text="POR VENCER">
      <formula>NOT(ISERROR(SEARCH("POR VENCER",X195)))</formula>
    </cfRule>
    <cfRule type="containsText" dxfId="3" priority="5" operator="containsText" text="VENCIDO">
      <formula>NOT(ISERROR(SEARCH("VENCIDO",X195)))</formula>
    </cfRule>
  </conditionalFormatting>
  <dataValidations count="1">
    <dataValidation type="date" operator="greaterThan" allowBlank="1" showInputMessage="1" showErrorMessage="1" sqref="J124" xr:uid="{00000000-0002-0000-0100-000000000000}">
      <formula1>42370</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JR58"/>
  <sheetViews>
    <sheetView zoomScale="50" zoomScaleNormal="50" workbookViewId="0">
      <pane xSplit="3" ySplit="3" topLeftCell="D44" activePane="bottomRight" state="frozen"/>
      <selection pane="bottomRight" activeCell="C57" sqref="C57"/>
      <selection pane="bottomLeft"/>
      <selection pane="topRight"/>
    </sheetView>
  </sheetViews>
  <sheetFormatPr defaultColWidth="11.375" defaultRowHeight="93.75" customHeight="1"/>
  <cols>
    <col min="1" max="1" width="5.125" style="10" customWidth="1"/>
    <col min="2" max="2" width="9.25" style="11" customWidth="1"/>
    <col min="3" max="3" width="35.75" style="210" customWidth="1"/>
    <col min="4" max="4" width="14.125" style="13" customWidth="1"/>
    <col min="5" max="5" width="6.625" style="12" customWidth="1"/>
    <col min="6" max="6" width="9.375" style="12" customWidth="1"/>
    <col min="7" max="7" width="19.25" style="12" customWidth="1"/>
    <col min="8" max="8" width="29.125" style="11" customWidth="1"/>
    <col min="9" max="9" width="12.125" style="12" customWidth="1"/>
    <col min="10" max="10" width="18.375" style="12" customWidth="1"/>
    <col min="11" max="11" width="15.75" style="12" customWidth="1"/>
    <col min="12" max="12" width="21.75" style="12" customWidth="1"/>
    <col min="13" max="13" width="18.25" style="12" customWidth="1"/>
    <col min="14" max="14" width="23.625" style="11" customWidth="1"/>
    <col min="15" max="15" width="11.125" style="11" customWidth="1"/>
    <col min="16" max="16" width="13" style="11" customWidth="1"/>
    <col min="17" max="17" width="13.875" style="11" hidden="1" customWidth="1"/>
    <col min="18" max="18" width="81.375" style="11" customWidth="1"/>
    <col min="19" max="19" width="15.375" style="11" hidden="1" customWidth="1"/>
    <col min="20" max="20" width="18.25" style="11" hidden="1" customWidth="1"/>
    <col min="21" max="21" width="17.625" style="13" customWidth="1"/>
    <col min="22" max="22" width="16.375" style="109" customWidth="1"/>
    <col min="23" max="23" width="15.625" style="13" customWidth="1"/>
    <col min="24" max="24" width="15.875" style="116" customWidth="1"/>
    <col min="25" max="25" width="23" style="11" customWidth="1"/>
    <col min="26" max="26" width="18.25" style="11" customWidth="1"/>
    <col min="27" max="27" width="35" style="11" customWidth="1"/>
    <col min="28" max="28" width="16.25" style="11" customWidth="1"/>
    <col min="29" max="16384" width="11.375" style="11"/>
  </cols>
  <sheetData>
    <row r="1" spans="1:28" s="6" customFormat="1" ht="15.75" customHeight="1">
      <c r="A1" s="325" t="s">
        <v>0</v>
      </c>
      <c r="B1" s="325"/>
      <c r="C1" s="326"/>
      <c r="D1" s="325"/>
      <c r="E1" s="327"/>
      <c r="F1" s="327"/>
      <c r="G1" s="327"/>
      <c r="H1" s="328"/>
      <c r="I1" s="327"/>
      <c r="J1" s="327"/>
      <c r="K1" s="327"/>
      <c r="L1" s="327"/>
      <c r="M1" s="327"/>
      <c r="N1" s="325"/>
      <c r="O1" s="325"/>
      <c r="P1" s="325"/>
      <c r="Q1" s="325"/>
      <c r="R1" s="325"/>
      <c r="S1" s="325"/>
      <c r="T1" s="325"/>
      <c r="U1" s="325"/>
      <c r="V1" s="325"/>
      <c r="W1" s="325"/>
      <c r="X1" s="325"/>
      <c r="Y1" s="325"/>
      <c r="Z1" s="325"/>
      <c r="AA1" s="325"/>
      <c r="AB1" s="262"/>
    </row>
    <row r="2" spans="1:28" s="6" customFormat="1" ht="15.75" customHeight="1">
      <c r="A2" s="325"/>
      <c r="B2" s="325"/>
      <c r="C2" s="326"/>
      <c r="D2" s="325"/>
      <c r="E2" s="327"/>
      <c r="F2" s="327"/>
      <c r="G2" s="327"/>
      <c r="H2" s="328"/>
      <c r="I2" s="327"/>
      <c r="J2" s="327"/>
      <c r="K2" s="327"/>
      <c r="L2" s="327"/>
      <c r="M2" s="327"/>
      <c r="N2" s="325"/>
      <c r="O2" s="325"/>
      <c r="P2" s="325"/>
      <c r="Q2" s="325"/>
      <c r="R2" s="325"/>
      <c r="S2" s="325"/>
      <c r="T2" s="325"/>
      <c r="U2" s="325"/>
      <c r="V2" s="325"/>
      <c r="W2" s="325"/>
      <c r="X2" s="325"/>
      <c r="Y2" s="325"/>
      <c r="Z2" s="325"/>
      <c r="AA2" s="325"/>
      <c r="AB2" s="263"/>
    </row>
    <row r="3" spans="1:28" ht="58.5" customHeight="1">
      <c r="A3" s="130" t="s">
        <v>1</v>
      </c>
      <c r="B3" s="130" t="s">
        <v>2</v>
      </c>
      <c r="C3" s="205" t="s">
        <v>3</v>
      </c>
      <c r="D3" s="131" t="s">
        <v>4</v>
      </c>
      <c r="E3" s="249" t="s">
        <v>5</v>
      </c>
      <c r="F3" s="249" t="s">
        <v>6</v>
      </c>
      <c r="G3" s="249" t="s">
        <v>7</v>
      </c>
      <c r="H3" s="254" t="s">
        <v>581</v>
      </c>
      <c r="I3" s="249" t="s">
        <v>9</v>
      </c>
      <c r="J3" s="249" t="s">
        <v>10</v>
      </c>
      <c r="K3" s="249" t="s">
        <v>11</v>
      </c>
      <c r="L3" s="249" t="s">
        <v>12</v>
      </c>
      <c r="M3" s="249" t="s">
        <v>13</v>
      </c>
      <c r="N3" s="131" t="s">
        <v>14</v>
      </c>
      <c r="O3" s="131" t="s">
        <v>15</v>
      </c>
      <c r="P3" s="131" t="s">
        <v>16</v>
      </c>
      <c r="Q3" s="130" t="s">
        <v>17</v>
      </c>
      <c r="R3" s="132" t="s">
        <v>18</v>
      </c>
      <c r="S3" s="130" t="s">
        <v>696</v>
      </c>
      <c r="T3" s="130" t="s">
        <v>697</v>
      </c>
      <c r="U3" s="131" t="s">
        <v>698</v>
      </c>
      <c r="V3" s="133" t="s">
        <v>699</v>
      </c>
      <c r="W3" s="131" t="s">
        <v>700</v>
      </c>
      <c r="X3" s="131" t="s">
        <v>701</v>
      </c>
      <c r="Y3" s="130" t="s">
        <v>404</v>
      </c>
      <c r="Z3" s="130" t="s">
        <v>702</v>
      </c>
      <c r="AA3" s="134" t="s">
        <v>703</v>
      </c>
      <c r="AB3" s="261" t="s">
        <v>704</v>
      </c>
    </row>
    <row r="4" spans="1:28" s="221" customFormat="1" ht="106.5" hidden="1" customHeight="1">
      <c r="A4" s="214">
        <v>1</v>
      </c>
      <c r="B4" s="204" t="s">
        <v>170</v>
      </c>
      <c r="C4" s="204" t="s">
        <v>705</v>
      </c>
      <c r="D4" s="204">
        <v>9223652</v>
      </c>
      <c r="E4" s="250">
        <v>8</v>
      </c>
      <c r="F4" s="250">
        <v>61</v>
      </c>
      <c r="G4" s="250" t="s">
        <v>706</v>
      </c>
      <c r="H4" s="255" t="s">
        <v>707</v>
      </c>
      <c r="I4" s="250">
        <v>2023</v>
      </c>
      <c r="J4" s="250">
        <v>2023</v>
      </c>
      <c r="K4" s="250" t="s">
        <v>24</v>
      </c>
      <c r="L4" s="250" t="s">
        <v>25</v>
      </c>
      <c r="M4" s="256">
        <v>45644</v>
      </c>
      <c r="N4" s="204" t="s">
        <v>708</v>
      </c>
      <c r="O4" s="204" t="s">
        <v>36</v>
      </c>
      <c r="P4" s="204" t="s">
        <v>28</v>
      </c>
      <c r="Q4" s="141"/>
      <c r="R4" s="204" t="s">
        <v>709</v>
      </c>
      <c r="S4" s="141" t="s">
        <v>710</v>
      </c>
      <c r="T4" s="141" t="s">
        <v>711</v>
      </c>
      <c r="U4" s="211">
        <v>46029</v>
      </c>
      <c r="V4" s="211">
        <v>46149</v>
      </c>
      <c r="W4" s="204">
        <f ca="1">V4-TODAY()</f>
        <v>64</v>
      </c>
      <c r="X4" s="212" t="str">
        <f ca="1">IF(W4&gt;=25,"Vigente",IF(AND(W4&gt;=1,W4&lt;=25),"Por Vencer","Vencido"))</f>
        <v>Vigente</v>
      </c>
      <c r="Y4" s="204" t="s">
        <v>712</v>
      </c>
      <c r="Z4" s="204" t="s">
        <v>668</v>
      </c>
      <c r="AA4" s="204" t="s">
        <v>713</v>
      </c>
      <c r="AB4" s="206" t="s">
        <v>714</v>
      </c>
    </row>
    <row r="5" spans="1:28" s="221" customFormat="1" ht="126.75" hidden="1" customHeight="1">
      <c r="A5" s="214">
        <v>2</v>
      </c>
      <c r="B5" s="204" t="s">
        <v>19</v>
      </c>
      <c r="C5" s="204" t="s">
        <v>715</v>
      </c>
      <c r="D5" s="204">
        <v>28583766</v>
      </c>
      <c r="E5" s="250">
        <v>9</v>
      </c>
      <c r="F5" s="250">
        <v>63</v>
      </c>
      <c r="G5" s="250" t="s">
        <v>22</v>
      </c>
      <c r="H5" s="255" t="s">
        <v>716</v>
      </c>
      <c r="I5" s="250">
        <v>2024</v>
      </c>
      <c r="J5" s="256">
        <v>45523</v>
      </c>
      <c r="K5" s="250" t="s">
        <v>24</v>
      </c>
      <c r="L5" s="250" t="s">
        <v>519</v>
      </c>
      <c r="M5" s="256">
        <v>45602</v>
      </c>
      <c r="N5" s="204" t="s">
        <v>717</v>
      </c>
      <c r="O5" s="204" t="s">
        <v>27</v>
      </c>
      <c r="P5" s="204" t="s">
        <v>28</v>
      </c>
      <c r="Q5" s="136"/>
      <c r="R5" s="204" t="s">
        <v>718</v>
      </c>
      <c r="S5" s="136" t="s">
        <v>245</v>
      </c>
      <c r="T5" s="136" t="s">
        <v>233</v>
      </c>
      <c r="U5" s="211">
        <v>45818</v>
      </c>
      <c r="V5" s="211">
        <v>45848</v>
      </c>
      <c r="W5" s="204">
        <f ca="1">V5-TODAY()</f>
        <v>-237</v>
      </c>
      <c r="X5" s="222" t="str">
        <f ca="1">IF(W5&gt;=25,"Vigente",IF(AND(W5&gt;=1,W5&lt;=25),"Por Vencer","Vencido"))</f>
        <v>Vencido</v>
      </c>
      <c r="Y5" s="204" t="s">
        <v>719</v>
      </c>
      <c r="Z5" s="204" t="s">
        <v>656</v>
      </c>
      <c r="AA5" s="204" t="s">
        <v>720</v>
      </c>
      <c r="AB5" s="206"/>
    </row>
    <row r="6" spans="1:28" s="223" customFormat="1" ht="144" customHeight="1">
      <c r="A6" s="214">
        <v>3</v>
      </c>
      <c r="B6" s="204" t="s">
        <v>2</v>
      </c>
      <c r="C6" s="204" t="s">
        <v>721</v>
      </c>
      <c r="D6" s="204">
        <v>7650427</v>
      </c>
      <c r="E6" s="250" t="s">
        <v>68</v>
      </c>
      <c r="F6" s="250">
        <v>66</v>
      </c>
      <c r="G6" s="250" t="s">
        <v>22</v>
      </c>
      <c r="H6" s="255" t="s">
        <v>156</v>
      </c>
      <c r="I6" s="250">
        <v>2023</v>
      </c>
      <c r="J6" s="250" t="s">
        <v>722</v>
      </c>
      <c r="K6" s="250" t="s">
        <v>24</v>
      </c>
      <c r="L6" s="250" t="s">
        <v>51</v>
      </c>
      <c r="M6" s="250" t="s">
        <v>546</v>
      </c>
      <c r="N6" s="204" t="s">
        <v>34</v>
      </c>
      <c r="O6" s="204" t="s">
        <v>36</v>
      </c>
      <c r="P6" s="204" t="s">
        <v>28</v>
      </c>
      <c r="Q6" s="136"/>
      <c r="R6" s="204" t="s">
        <v>723</v>
      </c>
      <c r="S6" s="136" t="s">
        <v>556</v>
      </c>
      <c r="T6" s="136" t="s">
        <v>296</v>
      </c>
      <c r="U6" s="211">
        <v>45943</v>
      </c>
      <c r="V6" s="211">
        <v>45974</v>
      </c>
      <c r="W6" s="204">
        <f ca="1">V6-TODAY()</f>
        <v>-111</v>
      </c>
      <c r="X6" s="222" t="str">
        <f ca="1">IF(W6&gt;=25,"Vigente",IF(AND(W6&gt;=1,W6&lt;=25),"Por Vencer","Vencido"))</f>
        <v>Vencido</v>
      </c>
      <c r="Y6" s="204" t="s">
        <v>724</v>
      </c>
      <c r="Z6" s="204" t="s">
        <v>668</v>
      </c>
      <c r="AA6" s="204" t="s">
        <v>725</v>
      </c>
      <c r="AB6" s="204" t="s">
        <v>704</v>
      </c>
    </row>
    <row r="7" spans="1:28" s="223" customFormat="1" ht="128.25" customHeight="1">
      <c r="A7" s="214">
        <v>4</v>
      </c>
      <c r="B7" s="204" t="s">
        <v>19</v>
      </c>
      <c r="C7" s="204" t="s">
        <v>726</v>
      </c>
      <c r="D7" s="204">
        <v>17711333</v>
      </c>
      <c r="E7" s="250">
        <v>6</v>
      </c>
      <c r="F7" s="250">
        <v>33</v>
      </c>
      <c r="G7" s="250" t="s">
        <v>22</v>
      </c>
      <c r="H7" s="255" t="s">
        <v>23</v>
      </c>
      <c r="I7" s="250">
        <v>2023</v>
      </c>
      <c r="J7" s="257">
        <v>45075</v>
      </c>
      <c r="K7" s="250" t="s">
        <v>24</v>
      </c>
      <c r="L7" s="250" t="s">
        <v>25</v>
      </c>
      <c r="M7" s="256">
        <v>45001</v>
      </c>
      <c r="N7" s="204" t="s">
        <v>199</v>
      </c>
      <c r="O7" s="204" t="s">
        <v>36</v>
      </c>
      <c r="P7" s="204" t="s">
        <v>169</v>
      </c>
      <c r="Q7" s="136"/>
      <c r="R7" s="211" t="s">
        <v>727</v>
      </c>
      <c r="S7" s="136" t="s">
        <v>370</v>
      </c>
      <c r="T7" s="136" t="s">
        <v>233</v>
      </c>
      <c r="U7" s="211">
        <v>45937</v>
      </c>
      <c r="V7" s="211">
        <v>46029</v>
      </c>
      <c r="W7" s="204">
        <f ca="1">V7-TODAY()</f>
        <v>-56</v>
      </c>
      <c r="X7" s="212" t="str">
        <f ca="1">IF(W7&gt;=25,"Vigente",IF(AND(W7&gt;=1,W7&lt;=25),"Por Vencer","Vencido"))</f>
        <v>Vencido</v>
      </c>
      <c r="Y7" s="204" t="s">
        <v>728</v>
      </c>
      <c r="Z7" s="204" t="s">
        <v>668</v>
      </c>
      <c r="AA7" s="204" t="s">
        <v>729</v>
      </c>
      <c r="AB7" s="204" t="s">
        <v>704</v>
      </c>
    </row>
    <row r="8" spans="1:28" s="223" customFormat="1" ht="127.5" hidden="1" customHeight="1">
      <c r="A8" s="214">
        <v>1</v>
      </c>
      <c r="B8" s="204" t="s">
        <v>19</v>
      </c>
      <c r="C8" s="204" t="s">
        <v>730</v>
      </c>
      <c r="D8" s="204">
        <v>5721156</v>
      </c>
      <c r="E8" s="250">
        <v>3</v>
      </c>
      <c r="F8" s="250">
        <v>79</v>
      </c>
      <c r="G8" s="250" t="s">
        <v>22</v>
      </c>
      <c r="H8" s="255" t="s">
        <v>453</v>
      </c>
      <c r="I8" s="250">
        <v>2024</v>
      </c>
      <c r="J8" s="250" t="s">
        <v>41</v>
      </c>
      <c r="K8" s="250" t="s">
        <v>161</v>
      </c>
      <c r="L8" s="250" t="s">
        <v>51</v>
      </c>
      <c r="M8" s="256">
        <v>45945</v>
      </c>
      <c r="N8" s="204" t="s">
        <v>199</v>
      </c>
      <c r="O8" s="204" t="s">
        <v>36</v>
      </c>
      <c r="P8" s="204" t="s">
        <v>28</v>
      </c>
      <c r="Q8" s="139"/>
      <c r="R8" s="204" t="s">
        <v>731</v>
      </c>
      <c r="S8" s="139" t="s">
        <v>245</v>
      </c>
      <c r="T8" s="139" t="s">
        <v>233</v>
      </c>
      <c r="U8" s="211">
        <v>45945</v>
      </c>
      <c r="V8" s="211">
        <v>45976</v>
      </c>
      <c r="W8" s="204">
        <f ca="1">V8-TODAY()</f>
        <v>-109</v>
      </c>
      <c r="X8" s="212" t="str">
        <f ca="1">IF(W8&gt;=25,"Vigente",IF(AND(W8&gt;=1,W8&lt;=25),"Por Vencer","Vencido"))</f>
        <v>Vencido</v>
      </c>
      <c r="Y8" s="204" t="s">
        <v>732</v>
      </c>
      <c r="Z8" s="204" t="s">
        <v>668</v>
      </c>
      <c r="AA8" s="204"/>
      <c r="AB8" s="204" t="s">
        <v>25</v>
      </c>
    </row>
    <row r="9" spans="1:28" s="223" customFormat="1" ht="125.25" hidden="1" customHeight="1">
      <c r="A9" s="214">
        <v>1</v>
      </c>
      <c r="B9" s="204" t="s">
        <v>19</v>
      </c>
      <c r="C9" s="204" t="s">
        <v>733</v>
      </c>
      <c r="D9" s="204">
        <v>4566422</v>
      </c>
      <c r="E9" s="250">
        <v>8</v>
      </c>
      <c r="F9" s="250">
        <v>81</v>
      </c>
      <c r="G9" s="250" t="s">
        <v>22</v>
      </c>
      <c r="H9" s="255" t="s">
        <v>734</v>
      </c>
      <c r="I9" s="250">
        <v>2024</v>
      </c>
      <c r="J9" s="250" t="s">
        <v>41</v>
      </c>
      <c r="K9" s="250" t="s">
        <v>161</v>
      </c>
      <c r="L9" s="250" t="s">
        <v>182</v>
      </c>
      <c r="M9" s="256">
        <v>45679</v>
      </c>
      <c r="N9" s="204" t="s">
        <v>735</v>
      </c>
      <c r="O9" s="204" t="s">
        <v>36</v>
      </c>
      <c r="P9" s="204" t="s">
        <v>28</v>
      </c>
      <c r="Q9" s="136"/>
      <c r="R9" s="204" t="s">
        <v>736</v>
      </c>
      <c r="S9" s="136" t="s">
        <v>245</v>
      </c>
      <c r="T9" s="136" t="s">
        <v>513</v>
      </c>
      <c r="U9" s="211">
        <v>45812</v>
      </c>
      <c r="V9" s="211">
        <v>45848</v>
      </c>
      <c r="W9" s="204">
        <f ca="1">V9-TODAY()</f>
        <v>-237</v>
      </c>
      <c r="X9" s="213" t="str">
        <f ca="1">IF(W9&gt;=25,"Vigente",IF(AND(W9&gt;=1,W9&lt;=25),"Por Vencer","Vencido"))</f>
        <v>Vencido</v>
      </c>
      <c r="Y9" s="204" t="s">
        <v>737</v>
      </c>
      <c r="Z9" s="204" t="s">
        <v>668</v>
      </c>
      <c r="AA9" s="204" t="s">
        <v>738</v>
      </c>
      <c r="AB9" s="204" t="s">
        <v>25</v>
      </c>
    </row>
    <row r="10" spans="1:28" s="221" customFormat="1" ht="164.25" customHeight="1">
      <c r="A10" s="214">
        <v>1</v>
      </c>
      <c r="B10" s="204" t="s">
        <v>19</v>
      </c>
      <c r="C10" s="204" t="s">
        <v>739</v>
      </c>
      <c r="D10" s="204">
        <v>9852921</v>
      </c>
      <c r="E10" s="250">
        <v>7</v>
      </c>
      <c r="F10" s="250">
        <v>61</v>
      </c>
      <c r="G10" s="250" t="s">
        <v>22</v>
      </c>
      <c r="H10" s="255" t="s">
        <v>740</v>
      </c>
      <c r="I10" s="250" t="s">
        <v>217</v>
      </c>
      <c r="J10" s="250" t="s">
        <v>217</v>
      </c>
      <c r="K10" s="250" t="s">
        <v>24</v>
      </c>
      <c r="L10" s="250" t="s">
        <v>182</v>
      </c>
      <c r="M10" s="256">
        <v>45602</v>
      </c>
      <c r="N10" s="204" t="s">
        <v>741</v>
      </c>
      <c r="O10" s="204" t="s">
        <v>36</v>
      </c>
      <c r="P10" s="204" t="s">
        <v>28</v>
      </c>
      <c r="Q10" s="136"/>
      <c r="R10" s="204" t="s">
        <v>742</v>
      </c>
      <c r="S10" s="136" t="s">
        <v>245</v>
      </c>
      <c r="T10" s="136" t="s">
        <v>233</v>
      </c>
      <c r="U10" s="211">
        <v>45720</v>
      </c>
      <c r="V10" s="211">
        <v>45747</v>
      </c>
      <c r="W10" s="204">
        <f ca="1">V10-TODAY()</f>
        <v>-338</v>
      </c>
      <c r="X10" s="224" t="str">
        <f ca="1">IF(W10&gt;=25,"Vigente",IF(AND(W10&gt;=1,W10&lt;=25),"Por Vencer","Vencido"))</f>
        <v>Vencido</v>
      </c>
      <c r="Y10" s="204" t="s">
        <v>743</v>
      </c>
      <c r="Z10" s="204" t="s">
        <v>668</v>
      </c>
      <c r="AA10" s="204" t="s">
        <v>744</v>
      </c>
      <c r="AB10" s="206" t="s">
        <v>704</v>
      </c>
    </row>
    <row r="11" spans="1:28" s="221" customFormat="1" ht="147.75" hidden="1" customHeight="1">
      <c r="A11" s="214">
        <v>1</v>
      </c>
      <c r="B11" s="204" t="s">
        <v>19</v>
      </c>
      <c r="C11" s="204" t="s">
        <v>745</v>
      </c>
      <c r="D11" s="204">
        <v>7292180</v>
      </c>
      <c r="E11" s="250">
        <v>1</v>
      </c>
      <c r="F11" s="250">
        <v>69</v>
      </c>
      <c r="G11" s="250" t="s">
        <v>22</v>
      </c>
      <c r="H11" s="255" t="s">
        <v>23</v>
      </c>
      <c r="I11" s="250">
        <v>2023</v>
      </c>
      <c r="J11" s="256">
        <v>45166</v>
      </c>
      <c r="K11" s="250" t="s">
        <v>24</v>
      </c>
      <c r="L11" s="250" t="s">
        <v>25</v>
      </c>
      <c r="M11" s="256">
        <v>45203</v>
      </c>
      <c r="N11" s="204" t="s">
        <v>746</v>
      </c>
      <c r="O11" s="204" t="s">
        <v>36</v>
      </c>
      <c r="P11" s="204" t="s">
        <v>28</v>
      </c>
      <c r="Q11" s="139"/>
      <c r="R11" s="204" t="s">
        <v>747</v>
      </c>
      <c r="S11" s="139" t="s">
        <v>370</v>
      </c>
      <c r="T11" s="139" t="s">
        <v>233</v>
      </c>
      <c r="U11" s="211">
        <v>46038</v>
      </c>
      <c r="V11" s="211">
        <v>46128</v>
      </c>
      <c r="W11" s="204">
        <f ca="1">V11-TODAY()</f>
        <v>43</v>
      </c>
      <c r="X11" s="212" t="str">
        <f ca="1">IF(W11&gt;=25,"Vigente",IF(AND(W11&gt;=1,W11&lt;=25),"Por Vencer","Vencido"))</f>
        <v>Vigente</v>
      </c>
      <c r="Y11" s="204" t="s">
        <v>748</v>
      </c>
      <c r="Z11" s="204" t="s">
        <v>668</v>
      </c>
      <c r="AA11" s="204"/>
      <c r="AB11" s="206" t="s">
        <v>749</v>
      </c>
    </row>
    <row r="12" spans="1:28" s="221" customFormat="1" ht="128.25" hidden="1" customHeight="1">
      <c r="A12" s="214">
        <v>1</v>
      </c>
      <c r="B12" s="204" t="s">
        <v>19</v>
      </c>
      <c r="C12" s="204" t="s">
        <v>750</v>
      </c>
      <c r="D12" s="215">
        <v>5119510</v>
      </c>
      <c r="E12" s="250">
        <v>8</v>
      </c>
      <c r="F12" s="250"/>
      <c r="G12" s="250" t="s">
        <v>22</v>
      </c>
      <c r="H12" s="255" t="s">
        <v>600</v>
      </c>
      <c r="I12" s="250">
        <v>2025</v>
      </c>
      <c r="J12" s="250"/>
      <c r="K12" s="250" t="s">
        <v>24</v>
      </c>
      <c r="L12" s="250" t="s">
        <v>213</v>
      </c>
      <c r="M12" s="250"/>
      <c r="N12" s="204" t="s">
        <v>751</v>
      </c>
      <c r="O12" s="204" t="s">
        <v>36</v>
      </c>
      <c r="P12" s="204" t="s">
        <v>28</v>
      </c>
      <c r="Q12" s="136"/>
      <c r="R12" s="204" t="s">
        <v>752</v>
      </c>
      <c r="S12" s="136"/>
      <c r="T12" s="136"/>
      <c r="U12" s="211">
        <v>45786</v>
      </c>
      <c r="V12" s="211">
        <v>45847</v>
      </c>
      <c r="W12" s="204">
        <f ca="1">V12-TODAY()</f>
        <v>-238</v>
      </c>
      <c r="X12" s="213" t="str">
        <f ca="1">IF(W12&gt;=25,"Vigente",IF(AND(W12&gt;=1,W12&lt;=25),"Por Vencer","Vencido"))</f>
        <v>Vencido</v>
      </c>
      <c r="Y12" s="204" t="s">
        <v>753</v>
      </c>
      <c r="Z12" s="204" t="s">
        <v>592</v>
      </c>
      <c r="AA12" s="204" t="s">
        <v>754</v>
      </c>
      <c r="AB12" s="206" t="s">
        <v>755</v>
      </c>
    </row>
    <row r="13" spans="1:28" s="221" customFormat="1" ht="142.5" hidden="1" customHeight="1">
      <c r="A13" s="214">
        <v>1</v>
      </c>
      <c r="B13" s="204" t="s">
        <v>19</v>
      </c>
      <c r="C13" s="204" t="s">
        <v>756</v>
      </c>
      <c r="D13" s="204">
        <v>5764862</v>
      </c>
      <c r="E13" s="250">
        <v>7</v>
      </c>
      <c r="F13" s="250">
        <v>76</v>
      </c>
      <c r="G13" s="250" t="s">
        <v>77</v>
      </c>
      <c r="H13" s="255" t="s">
        <v>757</v>
      </c>
      <c r="I13" s="250" t="s">
        <v>40</v>
      </c>
      <c r="J13" s="250" t="s">
        <v>41</v>
      </c>
      <c r="K13" s="250" t="s">
        <v>24</v>
      </c>
      <c r="L13" s="250" t="s">
        <v>25</v>
      </c>
      <c r="M13" s="250" t="s">
        <v>34</v>
      </c>
      <c r="N13" s="204" t="s">
        <v>35</v>
      </c>
      <c r="O13" s="204" t="s">
        <v>36</v>
      </c>
      <c r="P13" s="204" t="s">
        <v>169</v>
      </c>
      <c r="Q13" s="138"/>
      <c r="R13" s="204" t="s">
        <v>758</v>
      </c>
      <c r="S13" s="138" t="s">
        <v>759</v>
      </c>
      <c r="T13" s="138" t="s">
        <v>233</v>
      </c>
      <c r="U13" s="211">
        <v>46034</v>
      </c>
      <c r="V13" s="211">
        <v>46124</v>
      </c>
      <c r="W13" s="204">
        <f ca="1">V13-TODAY()</f>
        <v>39</v>
      </c>
      <c r="X13" s="225" t="str">
        <f ca="1">IF(W13&gt;=25,"Vigente",IF(AND(W13&gt;=1,W13&lt;=25),"Por Vencer","Vencido"))</f>
        <v>Vigente</v>
      </c>
      <c r="Y13" s="204" t="s">
        <v>760</v>
      </c>
      <c r="Z13" s="204" t="s">
        <v>668</v>
      </c>
      <c r="AA13" s="204"/>
      <c r="AB13" s="206" t="s">
        <v>749</v>
      </c>
    </row>
    <row r="14" spans="1:28" s="221" customFormat="1" ht="132" hidden="1" customHeight="1">
      <c r="A14" s="214">
        <v>1</v>
      </c>
      <c r="B14" s="204" t="s">
        <v>19</v>
      </c>
      <c r="C14" s="204" t="s">
        <v>195</v>
      </c>
      <c r="D14" s="204">
        <v>9042828</v>
      </c>
      <c r="E14" s="250">
        <v>4</v>
      </c>
      <c r="F14" s="250">
        <v>60</v>
      </c>
      <c r="G14" s="250" t="s">
        <v>22</v>
      </c>
      <c r="H14" s="255" t="s">
        <v>23</v>
      </c>
      <c r="I14" s="250">
        <v>2022</v>
      </c>
      <c r="J14" s="250"/>
      <c r="K14" s="250" t="s">
        <v>24</v>
      </c>
      <c r="L14" s="250" t="s">
        <v>182</v>
      </c>
      <c r="M14" s="250"/>
      <c r="N14" s="204" t="s">
        <v>196</v>
      </c>
      <c r="O14" s="204" t="s">
        <v>27</v>
      </c>
      <c r="P14" s="204" t="s">
        <v>169</v>
      </c>
      <c r="Q14" s="136" t="s">
        <v>191</v>
      </c>
      <c r="R14" s="204" t="s">
        <v>761</v>
      </c>
      <c r="S14" s="136" t="s">
        <v>762</v>
      </c>
      <c r="T14" s="136" t="s">
        <v>763</v>
      </c>
      <c r="U14" s="211">
        <v>45852</v>
      </c>
      <c r="V14" s="211">
        <v>45883</v>
      </c>
      <c r="W14" s="204">
        <f ca="1">V14-TODAY()</f>
        <v>-202</v>
      </c>
      <c r="X14" s="213" t="str">
        <f ca="1">IF(W14&gt;=25,"Vigente",IF(AND(W14&gt;=1,W14&lt;=25),"Por Vencer","Vencido"))</f>
        <v>Vencido</v>
      </c>
      <c r="Y14" s="204" t="s">
        <v>764</v>
      </c>
      <c r="Z14" s="204" t="s">
        <v>668</v>
      </c>
      <c r="AA14" s="204" t="s">
        <v>765</v>
      </c>
      <c r="AB14" s="206" t="s">
        <v>25</v>
      </c>
    </row>
    <row r="15" spans="1:28" s="227" customFormat="1" ht="127.5" customHeight="1">
      <c r="A15" s="214">
        <v>1</v>
      </c>
      <c r="B15" s="204" t="s">
        <v>19</v>
      </c>
      <c r="C15" s="204" t="s">
        <v>766</v>
      </c>
      <c r="D15" s="204">
        <v>4589158</v>
      </c>
      <c r="E15" s="250">
        <v>5</v>
      </c>
      <c r="F15" s="250">
        <v>84</v>
      </c>
      <c r="G15" s="250"/>
      <c r="H15" s="255" t="s">
        <v>767</v>
      </c>
      <c r="I15" s="250">
        <v>2025</v>
      </c>
      <c r="J15" s="250" t="s">
        <v>537</v>
      </c>
      <c r="K15" s="250" t="s">
        <v>266</v>
      </c>
      <c r="L15" s="250" t="s">
        <v>25</v>
      </c>
      <c r="M15" s="250" t="s">
        <v>537</v>
      </c>
      <c r="N15" s="204" t="s">
        <v>768</v>
      </c>
      <c r="O15" s="204" t="s">
        <v>606</v>
      </c>
      <c r="P15" s="204" t="s">
        <v>607</v>
      </c>
      <c r="Q15" s="136"/>
      <c r="R15" s="204" t="s">
        <v>769</v>
      </c>
      <c r="S15" s="136"/>
      <c r="T15" s="136"/>
      <c r="U15" s="211">
        <v>46048</v>
      </c>
      <c r="V15" s="211">
        <v>46079</v>
      </c>
      <c r="W15" s="204">
        <f ca="1">V15-TODAY()</f>
        <v>-6</v>
      </c>
      <c r="X15" s="224" t="str">
        <f ca="1">IF(W15&gt;=25,"Vigente",IF(AND(W15&gt;=1,W15&lt;=25),"Por Vencer","Vencido"))</f>
        <v>Vencido</v>
      </c>
      <c r="Y15" s="204" t="s">
        <v>770</v>
      </c>
      <c r="Z15" s="204" t="s">
        <v>668</v>
      </c>
      <c r="AA15" s="204" t="s">
        <v>771</v>
      </c>
      <c r="AB15" s="226" t="s">
        <v>772</v>
      </c>
    </row>
    <row r="16" spans="1:28" s="227" customFormat="1" ht="128.25" customHeight="1">
      <c r="A16" s="214">
        <v>1</v>
      </c>
      <c r="B16" s="204" t="s">
        <v>19</v>
      </c>
      <c r="C16" s="204" t="s">
        <v>773</v>
      </c>
      <c r="D16" s="204">
        <v>9710830</v>
      </c>
      <c r="E16" s="250">
        <v>7</v>
      </c>
      <c r="F16" s="250">
        <v>63</v>
      </c>
      <c r="G16" s="250" t="s">
        <v>86</v>
      </c>
      <c r="H16" s="255" t="s">
        <v>198</v>
      </c>
      <c r="I16" s="250">
        <v>2024</v>
      </c>
      <c r="J16" s="250" t="s">
        <v>41</v>
      </c>
      <c r="K16" s="250" t="s">
        <v>24</v>
      </c>
      <c r="L16" s="250" t="s">
        <v>774</v>
      </c>
      <c r="M16" s="256">
        <v>45406</v>
      </c>
      <c r="N16" s="204" t="s">
        <v>775</v>
      </c>
      <c r="O16" s="204" t="s">
        <v>36</v>
      </c>
      <c r="P16" s="204" t="s">
        <v>169</v>
      </c>
      <c r="Q16" s="139"/>
      <c r="R16" s="204" t="s">
        <v>776</v>
      </c>
      <c r="S16" s="139" t="s">
        <v>245</v>
      </c>
      <c r="T16" s="139" t="s">
        <v>233</v>
      </c>
      <c r="U16" s="211">
        <v>45902</v>
      </c>
      <c r="V16" s="211">
        <v>45947</v>
      </c>
      <c r="W16" s="204">
        <f ca="1">V16-TODAY()</f>
        <v>-138</v>
      </c>
      <c r="X16" s="228" t="str">
        <f ca="1">IF(W16&gt;=25,"Vigente",IF(AND(W16&gt;=1,W16&lt;=25),"Por Vencer","Vencido"))</f>
        <v>Vencido</v>
      </c>
      <c r="Y16" s="204" t="s">
        <v>777</v>
      </c>
      <c r="Z16" s="204" t="s">
        <v>668</v>
      </c>
      <c r="AA16" s="204" t="s">
        <v>778</v>
      </c>
      <c r="AB16" s="226" t="s">
        <v>704</v>
      </c>
    </row>
    <row r="17" spans="1:278" s="227" customFormat="1" ht="147.75" customHeight="1">
      <c r="A17" s="214">
        <v>1</v>
      </c>
      <c r="B17" s="204" t="s">
        <v>19</v>
      </c>
      <c r="C17" s="204" t="s">
        <v>779</v>
      </c>
      <c r="D17" s="204">
        <v>5036737</v>
      </c>
      <c r="E17" s="250">
        <v>1</v>
      </c>
      <c r="F17" s="250">
        <v>80</v>
      </c>
      <c r="G17" s="250" t="s">
        <v>22</v>
      </c>
      <c r="H17" s="255" t="s">
        <v>23</v>
      </c>
      <c r="I17" s="250">
        <v>2021</v>
      </c>
      <c r="J17" s="250" t="s">
        <v>41</v>
      </c>
      <c r="K17" s="250" t="s">
        <v>24</v>
      </c>
      <c r="L17" s="250" t="s">
        <v>25</v>
      </c>
      <c r="M17" s="256">
        <v>44259</v>
      </c>
      <c r="N17" s="204" t="s">
        <v>780</v>
      </c>
      <c r="O17" s="204" t="s">
        <v>36</v>
      </c>
      <c r="P17" s="204" t="s">
        <v>169</v>
      </c>
      <c r="Q17" s="127"/>
      <c r="R17" s="211" t="s">
        <v>781</v>
      </c>
      <c r="S17" s="127" t="s">
        <v>245</v>
      </c>
      <c r="T17" s="127" t="s">
        <v>782</v>
      </c>
      <c r="U17" s="211">
        <v>45915</v>
      </c>
      <c r="V17" s="211">
        <v>46006</v>
      </c>
      <c r="W17" s="204">
        <f ca="1">V17-TODAY()</f>
        <v>-79</v>
      </c>
      <c r="X17" s="212" t="str">
        <f ca="1">IF(W17&gt;=25,"Vigente",IF(AND(W17&gt;=1,W17&lt;=25),"Por Vencer","Vencido"))</f>
        <v>Vencido</v>
      </c>
      <c r="Y17" s="204" t="s">
        <v>783</v>
      </c>
      <c r="Z17" s="204" t="s">
        <v>668</v>
      </c>
      <c r="AA17" s="204" t="s">
        <v>784</v>
      </c>
      <c r="AB17" s="226" t="s">
        <v>772</v>
      </c>
    </row>
    <row r="18" spans="1:278" s="230" customFormat="1" ht="127.5" hidden="1" customHeight="1">
      <c r="A18" s="214">
        <v>1</v>
      </c>
      <c r="B18" s="204" t="s">
        <v>19</v>
      </c>
      <c r="C18" s="204" t="s">
        <v>785</v>
      </c>
      <c r="D18" s="204">
        <v>5219482</v>
      </c>
      <c r="E18" s="250">
        <v>2</v>
      </c>
      <c r="F18" s="250">
        <v>79</v>
      </c>
      <c r="G18" s="250" t="s">
        <v>22</v>
      </c>
      <c r="H18" s="255" t="s">
        <v>23</v>
      </c>
      <c r="I18" s="250">
        <v>2023</v>
      </c>
      <c r="J18" s="250" t="s">
        <v>41</v>
      </c>
      <c r="K18" s="250" t="s">
        <v>24</v>
      </c>
      <c r="L18" s="250" t="s">
        <v>213</v>
      </c>
      <c r="M18" s="256">
        <v>45588</v>
      </c>
      <c r="N18" s="204" t="s">
        <v>786</v>
      </c>
      <c r="O18" s="204" t="s">
        <v>36</v>
      </c>
      <c r="P18" s="204" t="s">
        <v>169</v>
      </c>
      <c r="Q18" s="136"/>
      <c r="R18" s="204" t="s">
        <v>787</v>
      </c>
      <c r="S18" s="136" t="s">
        <v>245</v>
      </c>
      <c r="T18" s="136" t="s">
        <v>233</v>
      </c>
      <c r="U18" s="211">
        <v>45852</v>
      </c>
      <c r="V18" s="211">
        <v>45883</v>
      </c>
      <c r="W18" s="204">
        <f ca="1">V18-TODAY()</f>
        <v>-202</v>
      </c>
      <c r="X18" s="224" t="str">
        <f ca="1">IF(W18&gt;=25,"Vigente",IF(AND(W18&gt;=1,W18&lt;=25),"Por Vencer","Vencido"))</f>
        <v>Vencido</v>
      </c>
      <c r="Y18" s="204" t="s">
        <v>788</v>
      </c>
      <c r="Z18" s="204" t="s">
        <v>236</v>
      </c>
      <c r="AA18" s="204" t="s">
        <v>789</v>
      </c>
      <c r="AB18" s="229"/>
    </row>
    <row r="19" spans="1:278" s="227" customFormat="1" ht="135" hidden="1" customHeight="1">
      <c r="A19" s="214">
        <v>1</v>
      </c>
      <c r="B19" s="204"/>
      <c r="C19" s="204" t="s">
        <v>790</v>
      </c>
      <c r="D19" s="204">
        <v>6546529</v>
      </c>
      <c r="E19" s="250">
        <v>9</v>
      </c>
      <c r="F19" s="250"/>
      <c r="G19" s="250" t="s">
        <v>791</v>
      </c>
      <c r="H19" s="255" t="s">
        <v>156</v>
      </c>
      <c r="I19" s="250">
        <v>2024</v>
      </c>
      <c r="J19" s="250" t="s">
        <v>722</v>
      </c>
      <c r="K19" s="250"/>
      <c r="L19" s="250" t="s">
        <v>51</v>
      </c>
      <c r="M19" s="250" t="s">
        <v>546</v>
      </c>
      <c r="N19" s="204" t="s">
        <v>34</v>
      </c>
      <c r="O19" s="204" t="s">
        <v>36</v>
      </c>
      <c r="P19" s="204" t="s">
        <v>28</v>
      </c>
      <c r="Q19" s="136"/>
      <c r="R19" s="204" t="s">
        <v>792</v>
      </c>
      <c r="S19" s="136" t="s">
        <v>245</v>
      </c>
      <c r="T19" s="136" t="s">
        <v>233</v>
      </c>
      <c r="U19" s="211">
        <v>45847</v>
      </c>
      <c r="V19" s="211">
        <v>45878</v>
      </c>
      <c r="W19" s="204">
        <f ca="1">V19-TODAY()</f>
        <v>-207</v>
      </c>
      <c r="X19" s="224" t="str">
        <f ca="1">IF(W19&gt;=25,"Vigente",IF(AND(W19&gt;=1,W19&lt;=25),"Por Vencer","Vencido"))</f>
        <v>Vencido</v>
      </c>
      <c r="Y19" s="204" t="s">
        <v>793</v>
      </c>
      <c r="Z19" s="204" t="s">
        <v>668</v>
      </c>
      <c r="AA19" s="204"/>
      <c r="AB19" s="226"/>
    </row>
    <row r="20" spans="1:278" s="227" customFormat="1" ht="116.25" hidden="1" customHeight="1">
      <c r="A20" s="214">
        <v>1</v>
      </c>
      <c r="B20" s="204" t="s">
        <v>19</v>
      </c>
      <c r="C20" s="204" t="s">
        <v>794</v>
      </c>
      <c r="D20" s="204">
        <v>6419733</v>
      </c>
      <c r="E20" s="250">
        <v>9</v>
      </c>
      <c r="F20" s="250">
        <v>69</v>
      </c>
      <c r="G20" s="250" t="s">
        <v>86</v>
      </c>
      <c r="H20" s="255" t="s">
        <v>457</v>
      </c>
      <c r="I20" s="250">
        <v>2023</v>
      </c>
      <c r="J20" s="250" t="s">
        <v>795</v>
      </c>
      <c r="K20" s="250" t="s">
        <v>24</v>
      </c>
      <c r="L20" s="250" t="s">
        <v>182</v>
      </c>
      <c r="M20" s="256">
        <v>45273</v>
      </c>
      <c r="N20" s="204" t="s">
        <v>199</v>
      </c>
      <c r="O20" s="204" t="s">
        <v>796</v>
      </c>
      <c r="P20" s="204" t="s">
        <v>28</v>
      </c>
      <c r="Q20" s="136"/>
      <c r="R20" s="204" t="s">
        <v>797</v>
      </c>
      <c r="S20" s="136" t="s">
        <v>245</v>
      </c>
      <c r="T20" s="136" t="s">
        <v>233</v>
      </c>
      <c r="U20" s="211">
        <v>45848</v>
      </c>
      <c r="V20" s="211">
        <v>45910</v>
      </c>
      <c r="W20" s="204">
        <f ca="1">V20-TODAY()</f>
        <v>-175</v>
      </c>
      <c r="X20" s="224" t="str">
        <f ca="1">IF(W20&gt;=25,"Vigente",IF(AND(W20&gt;=1,W20&lt;=25),"Por Vencer","Vencido"))</f>
        <v>Vencido</v>
      </c>
      <c r="Y20" s="204" t="s">
        <v>798</v>
      </c>
      <c r="Z20" s="204" t="s">
        <v>799</v>
      </c>
      <c r="AA20" s="204" t="s">
        <v>800</v>
      </c>
      <c r="AB20" s="226" t="s">
        <v>25</v>
      </c>
    </row>
    <row r="21" spans="1:278" s="227" customFormat="1" ht="139.5" customHeight="1">
      <c r="A21" s="214">
        <v>1</v>
      </c>
      <c r="B21" s="204" t="s">
        <v>19</v>
      </c>
      <c r="C21" s="204" t="s">
        <v>801</v>
      </c>
      <c r="D21" s="204">
        <v>4543167</v>
      </c>
      <c r="E21" s="250">
        <v>3</v>
      </c>
      <c r="F21" s="250">
        <v>83</v>
      </c>
      <c r="G21" s="250" t="s">
        <v>86</v>
      </c>
      <c r="H21" s="255" t="s">
        <v>802</v>
      </c>
      <c r="I21" s="250">
        <v>2024</v>
      </c>
      <c r="J21" s="250" t="s">
        <v>41</v>
      </c>
      <c r="K21" s="250" t="s">
        <v>161</v>
      </c>
      <c r="L21" s="250" t="s">
        <v>182</v>
      </c>
      <c r="M21" s="256">
        <v>45602</v>
      </c>
      <c r="N21" s="204" t="s">
        <v>803</v>
      </c>
      <c r="O21" s="204" t="s">
        <v>36</v>
      </c>
      <c r="P21" s="204" t="s">
        <v>28</v>
      </c>
      <c r="Q21" s="136"/>
      <c r="R21" s="204" t="s">
        <v>804</v>
      </c>
      <c r="S21" s="136" t="s">
        <v>334</v>
      </c>
      <c r="T21" s="136" t="s">
        <v>233</v>
      </c>
      <c r="U21" s="211">
        <v>45729</v>
      </c>
      <c r="V21" s="211">
        <v>45744</v>
      </c>
      <c r="W21" s="204">
        <f ca="1">V21-TODAY()</f>
        <v>-341</v>
      </c>
      <c r="X21" s="224" t="str">
        <f ca="1">IF(W21&gt;=25,"Vigente",IF(AND(W21&gt;=1,W21&lt;=25),"Por Vencer","Vencido"))</f>
        <v>Vencido</v>
      </c>
      <c r="Y21" s="204" t="s">
        <v>805</v>
      </c>
      <c r="Z21" s="204" t="s">
        <v>236</v>
      </c>
      <c r="AA21" s="204" t="s">
        <v>806</v>
      </c>
      <c r="AB21" s="226" t="s">
        <v>772</v>
      </c>
    </row>
    <row r="22" spans="1:278" s="227" customFormat="1" ht="138" customHeight="1">
      <c r="A22" s="214">
        <v>1</v>
      </c>
      <c r="B22" s="204" t="s">
        <v>19</v>
      </c>
      <c r="C22" s="204" t="s">
        <v>807</v>
      </c>
      <c r="D22" s="204">
        <v>6605382</v>
      </c>
      <c r="E22" s="250">
        <v>2</v>
      </c>
      <c r="F22" s="250">
        <v>68</v>
      </c>
      <c r="G22" s="250" t="s">
        <v>22</v>
      </c>
      <c r="H22" s="255" t="s">
        <v>198</v>
      </c>
      <c r="I22" s="250" t="s">
        <v>40</v>
      </c>
      <c r="J22" s="256">
        <v>45317</v>
      </c>
      <c r="K22" s="250" t="s">
        <v>161</v>
      </c>
      <c r="L22" s="250" t="s">
        <v>25</v>
      </c>
      <c r="M22" s="250" t="s">
        <v>34</v>
      </c>
      <c r="N22" s="204" t="s">
        <v>35</v>
      </c>
      <c r="O22" s="204" t="s">
        <v>36</v>
      </c>
      <c r="P22" s="204" t="s">
        <v>169</v>
      </c>
      <c r="Q22" s="136"/>
      <c r="R22" s="204" t="s">
        <v>808</v>
      </c>
      <c r="S22" s="136" t="s">
        <v>281</v>
      </c>
      <c r="T22" s="136" t="s">
        <v>809</v>
      </c>
      <c r="U22" s="211">
        <v>45786</v>
      </c>
      <c r="V22" s="211">
        <v>45878</v>
      </c>
      <c r="W22" s="204">
        <f ca="1">V22-TODAY()</f>
        <v>-207</v>
      </c>
      <c r="X22" s="224" t="str">
        <f ca="1">IF(W22&gt;=25,"Vigente",IF(AND(W22&gt;=1,W22&lt;=25),"Por Vencer","Vencido"))</f>
        <v>Vencido</v>
      </c>
      <c r="Y22" s="204" t="s">
        <v>810</v>
      </c>
      <c r="Z22" s="204" t="s">
        <v>668</v>
      </c>
      <c r="AA22" s="204" t="s">
        <v>811</v>
      </c>
      <c r="AB22" s="226" t="s">
        <v>812</v>
      </c>
    </row>
    <row r="23" spans="1:278" s="227" customFormat="1" ht="93.75" customHeight="1">
      <c r="A23" s="214">
        <v>1</v>
      </c>
      <c r="B23" s="204" t="s">
        <v>19</v>
      </c>
      <c r="C23" s="204" t="s">
        <v>813</v>
      </c>
      <c r="D23" s="204">
        <v>6569939</v>
      </c>
      <c r="E23" s="250">
        <v>7</v>
      </c>
      <c r="F23" s="250">
        <v>72</v>
      </c>
      <c r="G23" s="250" t="s">
        <v>22</v>
      </c>
      <c r="H23" s="255" t="s">
        <v>814</v>
      </c>
      <c r="I23" s="250">
        <v>2024</v>
      </c>
      <c r="J23" s="256">
        <v>45405</v>
      </c>
      <c r="K23" s="250" t="s">
        <v>24</v>
      </c>
      <c r="L23" s="250" t="s">
        <v>25</v>
      </c>
      <c r="M23" s="256">
        <v>45476</v>
      </c>
      <c r="N23" s="204" t="s">
        <v>618</v>
      </c>
      <c r="O23" s="204" t="s">
        <v>82</v>
      </c>
      <c r="P23" s="204" t="s">
        <v>28</v>
      </c>
      <c r="Q23" s="136"/>
      <c r="R23" s="204" t="s">
        <v>815</v>
      </c>
      <c r="S23" s="136" t="s">
        <v>285</v>
      </c>
      <c r="T23" s="136" t="s">
        <v>233</v>
      </c>
      <c r="U23" s="211">
        <v>45831</v>
      </c>
      <c r="V23" s="211">
        <v>45861</v>
      </c>
      <c r="W23" s="204">
        <f ca="1">V23-TODAY()</f>
        <v>-224</v>
      </c>
      <c r="X23" s="224" t="str">
        <f ca="1">IF(W23&gt;=25,"Vigente",IF(AND(W23&gt;=1,W23&lt;=25),"Por Vencer","Vencido"))</f>
        <v>Vencido</v>
      </c>
      <c r="Y23" s="204" t="s">
        <v>816</v>
      </c>
      <c r="Z23" s="204" t="s">
        <v>668</v>
      </c>
      <c r="AA23" s="204" t="s">
        <v>817</v>
      </c>
      <c r="AB23" s="226" t="s">
        <v>704</v>
      </c>
    </row>
    <row r="24" spans="1:278" s="227" customFormat="1" ht="93.75" customHeight="1">
      <c r="A24" s="214">
        <v>1</v>
      </c>
      <c r="B24" s="204" t="s">
        <v>19</v>
      </c>
      <c r="C24" s="204" t="s">
        <v>818</v>
      </c>
      <c r="D24" s="216">
        <v>8957902</v>
      </c>
      <c r="E24" s="250">
        <v>3</v>
      </c>
      <c r="F24" s="250">
        <v>60</v>
      </c>
      <c r="G24" s="250" t="s">
        <v>22</v>
      </c>
      <c r="H24" s="255" t="s">
        <v>23</v>
      </c>
      <c r="I24" s="250">
        <v>2010</v>
      </c>
      <c r="J24" s="250" t="s">
        <v>819</v>
      </c>
      <c r="K24" s="250" t="s">
        <v>24</v>
      </c>
      <c r="L24" s="250" t="s">
        <v>182</v>
      </c>
      <c r="M24" s="256">
        <v>45280</v>
      </c>
      <c r="N24" s="204" t="s">
        <v>820</v>
      </c>
      <c r="O24" s="204" t="s">
        <v>27</v>
      </c>
      <c r="P24" s="204" t="s">
        <v>169</v>
      </c>
      <c r="Q24" s="139"/>
      <c r="R24" s="204" t="s">
        <v>821</v>
      </c>
      <c r="S24" s="139" t="s">
        <v>245</v>
      </c>
      <c r="T24" s="139" t="s">
        <v>233</v>
      </c>
      <c r="U24" s="211">
        <v>45950</v>
      </c>
      <c r="V24" s="211">
        <v>46011</v>
      </c>
      <c r="W24" s="204">
        <f ca="1">V24-TODAY()</f>
        <v>-74</v>
      </c>
      <c r="X24" s="224" t="str">
        <f ca="1">IF(W24&gt;=25,"Vigente",IF(AND(W24&gt;=1,W24&lt;=25),"Por Vencer","Vencido"))</f>
        <v>Vencido</v>
      </c>
      <c r="Y24" s="204" t="s">
        <v>822</v>
      </c>
      <c r="Z24" s="204" t="s">
        <v>668</v>
      </c>
      <c r="AA24" s="204" t="s">
        <v>823</v>
      </c>
      <c r="AB24" s="226" t="s">
        <v>704</v>
      </c>
    </row>
    <row r="25" spans="1:278" s="234" customFormat="1" ht="93.75" customHeight="1">
      <c r="A25" s="214">
        <v>1</v>
      </c>
      <c r="B25" s="204" t="s">
        <v>19</v>
      </c>
      <c r="C25" s="204" t="s">
        <v>824</v>
      </c>
      <c r="D25" s="204">
        <v>8425563</v>
      </c>
      <c r="E25" s="250">
        <v>7</v>
      </c>
      <c r="F25" s="250">
        <v>65</v>
      </c>
      <c r="G25" s="250" t="s">
        <v>77</v>
      </c>
      <c r="H25" s="255" t="s">
        <v>260</v>
      </c>
      <c r="I25" s="250">
        <v>2024</v>
      </c>
      <c r="J25" s="256">
        <v>45586</v>
      </c>
      <c r="K25" s="250" t="s">
        <v>161</v>
      </c>
      <c r="L25" s="250" t="s">
        <v>182</v>
      </c>
      <c r="M25" s="258">
        <v>45609</v>
      </c>
      <c r="N25" s="204" t="s">
        <v>825</v>
      </c>
      <c r="O25" s="204" t="s">
        <v>36</v>
      </c>
      <c r="P25" s="204" t="s">
        <v>28</v>
      </c>
      <c r="Q25" s="139"/>
      <c r="R25" s="204" t="s">
        <v>826</v>
      </c>
      <c r="S25" s="139" t="s">
        <v>245</v>
      </c>
      <c r="T25" s="139" t="s">
        <v>233</v>
      </c>
      <c r="U25" s="211">
        <v>45840</v>
      </c>
      <c r="V25" s="211">
        <v>45932</v>
      </c>
      <c r="W25" s="204">
        <f ca="1">V25-TODAY()</f>
        <v>-153</v>
      </c>
      <c r="X25" s="231" t="str">
        <f ca="1">IF(W25&gt;=25,"Vigente",IF(AND(W25&gt;=1,W25&lt;=25),"Por Vencer","Vencido"))</f>
        <v>Vencido</v>
      </c>
      <c r="Y25" s="204" t="s">
        <v>827</v>
      </c>
      <c r="Z25" s="204" t="s">
        <v>668</v>
      </c>
      <c r="AA25" s="204" t="s">
        <v>765</v>
      </c>
      <c r="AB25" s="232" t="s">
        <v>704</v>
      </c>
      <c r="AC25" s="233"/>
      <c r="AD25" s="233"/>
      <c r="AE25" s="233"/>
      <c r="AF25" s="233"/>
      <c r="AG25" s="233"/>
      <c r="AH25" s="233"/>
      <c r="AI25" s="233"/>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c r="BF25" s="233"/>
      <c r="BG25" s="233"/>
      <c r="BH25" s="233"/>
      <c r="BI25" s="233"/>
      <c r="BJ25" s="233"/>
      <c r="BK25" s="233"/>
      <c r="BL25" s="233"/>
      <c r="BM25" s="233"/>
      <c r="BN25" s="233"/>
      <c r="BO25" s="233"/>
      <c r="BP25" s="233"/>
      <c r="BQ25" s="233"/>
      <c r="BR25" s="233"/>
      <c r="BS25" s="233"/>
      <c r="BT25" s="233"/>
      <c r="BU25" s="233"/>
      <c r="BV25" s="233"/>
      <c r="BW25" s="233"/>
      <c r="BX25" s="233"/>
      <c r="BY25" s="233"/>
      <c r="BZ25" s="233"/>
      <c r="CA25" s="233"/>
      <c r="CB25" s="233"/>
      <c r="CC25" s="233"/>
      <c r="CD25" s="233"/>
      <c r="CE25" s="233"/>
      <c r="CF25" s="233"/>
      <c r="CG25" s="233"/>
      <c r="CH25" s="233"/>
      <c r="CI25" s="233"/>
      <c r="CJ25" s="233"/>
      <c r="CK25" s="233"/>
      <c r="CL25" s="233"/>
      <c r="CM25" s="233"/>
      <c r="CN25" s="233"/>
      <c r="CO25" s="233"/>
      <c r="CP25" s="233"/>
      <c r="CQ25" s="233"/>
      <c r="CR25" s="233"/>
      <c r="CS25" s="233"/>
      <c r="CT25" s="233"/>
      <c r="CU25" s="233"/>
      <c r="CV25" s="233"/>
      <c r="CW25" s="233"/>
      <c r="CX25" s="233"/>
      <c r="CY25" s="233"/>
      <c r="CZ25" s="233"/>
      <c r="DA25" s="233"/>
      <c r="DB25" s="233"/>
      <c r="DC25" s="233"/>
      <c r="DD25" s="233"/>
      <c r="DE25" s="233"/>
      <c r="DF25" s="233"/>
      <c r="DG25" s="233"/>
      <c r="DH25" s="233"/>
      <c r="DI25" s="233"/>
      <c r="DJ25" s="233"/>
      <c r="DK25" s="233"/>
      <c r="DL25" s="233"/>
      <c r="DM25" s="233"/>
      <c r="DN25" s="233"/>
      <c r="DO25" s="233"/>
      <c r="DP25" s="233"/>
      <c r="DQ25" s="233"/>
      <c r="DR25" s="233"/>
      <c r="DS25" s="233"/>
      <c r="DT25" s="233"/>
      <c r="DU25" s="233"/>
      <c r="DV25" s="233"/>
      <c r="DW25" s="233"/>
      <c r="DX25" s="233"/>
      <c r="DY25" s="233"/>
      <c r="DZ25" s="233"/>
      <c r="EA25" s="233"/>
      <c r="EB25" s="233"/>
      <c r="EC25" s="233"/>
      <c r="ED25" s="233"/>
      <c r="EE25" s="233"/>
      <c r="EF25" s="233"/>
      <c r="EG25" s="233"/>
      <c r="EH25" s="233"/>
      <c r="EI25" s="233"/>
      <c r="EJ25" s="233"/>
      <c r="EK25" s="233"/>
      <c r="EL25" s="233"/>
      <c r="EM25" s="233"/>
      <c r="EN25" s="233"/>
      <c r="EO25" s="233"/>
      <c r="EP25" s="233"/>
      <c r="EQ25" s="233"/>
      <c r="ER25" s="233"/>
      <c r="ES25" s="233"/>
      <c r="ET25" s="233"/>
      <c r="EU25" s="233"/>
      <c r="EV25" s="233"/>
      <c r="EW25" s="233"/>
      <c r="EX25" s="233"/>
      <c r="EY25" s="233"/>
      <c r="EZ25" s="233"/>
      <c r="FA25" s="233"/>
      <c r="FB25" s="233"/>
      <c r="FC25" s="233"/>
      <c r="FD25" s="233"/>
      <c r="FE25" s="233"/>
      <c r="FF25" s="233"/>
      <c r="FG25" s="233"/>
      <c r="FH25" s="233"/>
      <c r="FI25" s="233"/>
      <c r="FJ25" s="233"/>
      <c r="FK25" s="233"/>
      <c r="FL25" s="233"/>
      <c r="FM25" s="233"/>
      <c r="FN25" s="233"/>
      <c r="FO25" s="233"/>
      <c r="FP25" s="233"/>
      <c r="FQ25" s="233"/>
      <c r="FR25" s="233"/>
      <c r="FS25" s="233"/>
      <c r="FT25" s="233"/>
      <c r="FU25" s="233"/>
      <c r="FV25" s="233"/>
      <c r="FW25" s="233"/>
      <c r="FX25" s="233"/>
      <c r="FY25" s="233"/>
      <c r="FZ25" s="233"/>
      <c r="GA25" s="233"/>
      <c r="GB25" s="233"/>
      <c r="GC25" s="233"/>
      <c r="GD25" s="233"/>
      <c r="GE25" s="233"/>
      <c r="GF25" s="233"/>
      <c r="GG25" s="233"/>
      <c r="GH25" s="233"/>
      <c r="GI25" s="233"/>
      <c r="GJ25" s="233"/>
      <c r="GK25" s="233"/>
      <c r="GL25" s="233"/>
      <c r="GM25" s="233"/>
      <c r="GN25" s="233"/>
      <c r="GO25" s="233"/>
      <c r="GP25" s="233"/>
      <c r="GQ25" s="233"/>
      <c r="GR25" s="233"/>
      <c r="GS25" s="233"/>
      <c r="GT25" s="233"/>
      <c r="GU25" s="233"/>
      <c r="GV25" s="233"/>
      <c r="GW25" s="233"/>
      <c r="GX25" s="233"/>
      <c r="GY25" s="233"/>
      <c r="GZ25" s="233"/>
      <c r="HA25" s="233"/>
      <c r="HB25" s="233"/>
      <c r="HC25" s="233"/>
      <c r="HD25" s="233"/>
      <c r="HE25" s="233"/>
      <c r="HF25" s="233"/>
      <c r="HG25" s="233"/>
      <c r="HH25" s="233"/>
      <c r="HI25" s="233"/>
      <c r="HJ25" s="233"/>
      <c r="HK25" s="233"/>
      <c r="HL25" s="233"/>
      <c r="HM25" s="233"/>
      <c r="HN25" s="233"/>
      <c r="HO25" s="233"/>
      <c r="HP25" s="233"/>
      <c r="HQ25" s="233"/>
      <c r="HR25" s="233"/>
      <c r="HS25" s="233"/>
      <c r="HT25" s="233"/>
      <c r="HU25" s="233"/>
      <c r="HV25" s="233"/>
      <c r="HW25" s="233"/>
      <c r="HX25" s="233"/>
      <c r="HY25" s="233"/>
      <c r="HZ25" s="233"/>
      <c r="IA25" s="233"/>
      <c r="IB25" s="233"/>
      <c r="IC25" s="233"/>
      <c r="ID25" s="233"/>
      <c r="IE25" s="233"/>
      <c r="IF25" s="233"/>
      <c r="IG25" s="233"/>
      <c r="IH25" s="233"/>
      <c r="II25" s="233"/>
      <c r="IJ25" s="233"/>
      <c r="IK25" s="233"/>
      <c r="IL25" s="233"/>
      <c r="IM25" s="233"/>
      <c r="IN25" s="233"/>
      <c r="IO25" s="233"/>
      <c r="IP25" s="233"/>
      <c r="IQ25" s="233"/>
      <c r="IR25" s="233"/>
      <c r="IS25" s="233"/>
      <c r="IT25" s="233"/>
      <c r="IU25" s="233"/>
      <c r="IV25" s="233"/>
      <c r="IW25" s="233"/>
      <c r="IX25" s="233"/>
      <c r="IY25" s="233"/>
      <c r="IZ25" s="233"/>
      <c r="JA25" s="233"/>
      <c r="JB25" s="233"/>
      <c r="JC25" s="233"/>
      <c r="JD25" s="233"/>
      <c r="JE25" s="233"/>
      <c r="JF25" s="233"/>
      <c r="JG25" s="233"/>
      <c r="JH25" s="233"/>
      <c r="JI25" s="233"/>
      <c r="JJ25" s="233"/>
      <c r="JK25" s="233"/>
      <c r="JL25" s="233"/>
      <c r="JM25" s="233"/>
      <c r="JN25" s="233"/>
      <c r="JO25" s="233"/>
      <c r="JP25" s="233"/>
      <c r="JQ25" s="233"/>
      <c r="JR25" s="233"/>
    </row>
    <row r="26" spans="1:278" s="227" customFormat="1" ht="93.75" customHeight="1">
      <c r="A26" s="214">
        <v>1</v>
      </c>
      <c r="B26" s="204" t="s">
        <v>19</v>
      </c>
      <c r="C26" s="204" t="s">
        <v>828</v>
      </c>
      <c r="D26" s="204">
        <v>11722336</v>
      </c>
      <c r="E26" s="250">
        <v>1</v>
      </c>
      <c r="F26" s="250">
        <v>53</v>
      </c>
      <c r="G26" s="250" t="s">
        <v>22</v>
      </c>
      <c r="H26" s="255" t="s">
        <v>23</v>
      </c>
      <c r="I26" s="250">
        <v>2024</v>
      </c>
      <c r="J26" s="256">
        <v>45440</v>
      </c>
      <c r="K26" s="250" t="s">
        <v>24</v>
      </c>
      <c r="L26" s="250" t="s">
        <v>182</v>
      </c>
      <c r="M26" s="256">
        <v>45420</v>
      </c>
      <c r="N26" s="204" t="s">
        <v>829</v>
      </c>
      <c r="O26" s="204" t="s">
        <v>27</v>
      </c>
      <c r="P26" s="204" t="s">
        <v>28</v>
      </c>
      <c r="Q26" s="139"/>
      <c r="R26" s="204" t="s">
        <v>830</v>
      </c>
      <c r="S26" s="140" t="s">
        <v>370</v>
      </c>
      <c r="T26" s="139" t="s">
        <v>233</v>
      </c>
      <c r="U26" s="211">
        <v>45895</v>
      </c>
      <c r="V26" s="211">
        <v>45987</v>
      </c>
      <c r="W26" s="204">
        <f ca="1">V26-TODAY()</f>
        <v>-98</v>
      </c>
      <c r="X26" s="212" t="str">
        <f ca="1">IF(W26&gt;=25,"Vigente",IF(AND(W26&gt;=1,W26&lt;=25),"Por Vencer","Vencido"))</f>
        <v>Vencido</v>
      </c>
      <c r="Y26" s="204" t="s">
        <v>831</v>
      </c>
      <c r="Z26" s="204" t="s">
        <v>668</v>
      </c>
      <c r="AA26" s="204" t="s">
        <v>832</v>
      </c>
      <c r="AB26" s="226" t="s">
        <v>833</v>
      </c>
    </row>
    <row r="27" spans="1:278" s="227" customFormat="1" ht="93.75" hidden="1" customHeight="1">
      <c r="A27" s="214">
        <v>1</v>
      </c>
      <c r="B27" s="204" t="s">
        <v>19</v>
      </c>
      <c r="C27" s="204" t="s">
        <v>834</v>
      </c>
      <c r="D27" s="204">
        <v>9718054</v>
      </c>
      <c r="E27" s="250">
        <v>7</v>
      </c>
      <c r="F27" s="250">
        <v>61</v>
      </c>
      <c r="G27" s="250" t="s">
        <v>835</v>
      </c>
      <c r="H27" s="255" t="s">
        <v>509</v>
      </c>
      <c r="I27" s="250">
        <v>2024</v>
      </c>
      <c r="J27" s="250" t="s">
        <v>41</v>
      </c>
      <c r="K27" s="250" t="s">
        <v>266</v>
      </c>
      <c r="L27" s="250" t="s">
        <v>51</v>
      </c>
      <c r="M27" s="250" t="s">
        <v>510</v>
      </c>
      <c r="N27" s="204" t="s">
        <v>511</v>
      </c>
      <c r="O27" s="204" t="s">
        <v>36</v>
      </c>
      <c r="P27" s="204" t="s">
        <v>28</v>
      </c>
      <c r="Q27" s="136"/>
      <c r="R27" s="204" t="s">
        <v>836</v>
      </c>
      <c r="S27" s="136" t="s">
        <v>245</v>
      </c>
      <c r="T27" s="136" t="s">
        <v>233</v>
      </c>
      <c r="U27" s="211">
        <v>46079</v>
      </c>
      <c r="V27" s="211">
        <v>46107</v>
      </c>
      <c r="W27" s="204">
        <f ca="1">V27-TODAY()</f>
        <v>22</v>
      </c>
      <c r="X27" s="213" t="str">
        <f ca="1">IF(W27&gt;=25,"Vigente",IF(AND(W27&gt;=1,W27&lt;=25),"Por Vencer","Vencido"))</f>
        <v>Por Vencer</v>
      </c>
      <c r="Y27" s="204" t="s">
        <v>793</v>
      </c>
      <c r="Z27" s="204" t="s">
        <v>668</v>
      </c>
      <c r="AA27" s="204"/>
      <c r="AB27" s="226"/>
    </row>
    <row r="28" spans="1:278" s="227" customFormat="1" ht="93.75" hidden="1" customHeight="1">
      <c r="A28" s="214">
        <v>1</v>
      </c>
      <c r="B28" s="204" t="s">
        <v>19</v>
      </c>
      <c r="C28" s="204" t="s">
        <v>837</v>
      </c>
      <c r="D28" s="204">
        <v>4264977</v>
      </c>
      <c r="E28" s="250">
        <v>5</v>
      </c>
      <c r="F28" s="250">
        <v>85</v>
      </c>
      <c r="G28" s="250" t="s">
        <v>22</v>
      </c>
      <c r="H28" s="255" t="s">
        <v>23</v>
      </c>
      <c r="I28" s="250">
        <v>2021</v>
      </c>
      <c r="J28" s="256">
        <v>44468</v>
      </c>
      <c r="K28" s="250" t="s">
        <v>24</v>
      </c>
      <c r="L28" s="250" t="s">
        <v>25</v>
      </c>
      <c r="M28" s="256">
        <v>44504</v>
      </c>
      <c r="N28" s="204" t="s">
        <v>838</v>
      </c>
      <c r="O28" s="204" t="s">
        <v>36</v>
      </c>
      <c r="P28" s="204" t="s">
        <v>169</v>
      </c>
      <c r="Q28" s="139"/>
      <c r="R28" s="204" t="s">
        <v>839</v>
      </c>
      <c r="S28" s="139" t="s">
        <v>281</v>
      </c>
      <c r="T28" s="139" t="s">
        <v>233</v>
      </c>
      <c r="U28" s="211">
        <v>45910</v>
      </c>
      <c r="V28" s="211">
        <v>45940</v>
      </c>
      <c r="W28" s="204">
        <f ca="1">V28-TODAY()</f>
        <v>-145</v>
      </c>
      <c r="X28" s="225" t="str">
        <f ca="1">IF(W28&gt;=25,"Vigente",IF(AND(W28&gt;=1,W28&lt;=25),"Por Vencer","Vencido"))</f>
        <v>Vencido</v>
      </c>
      <c r="Y28" s="204" t="s">
        <v>840</v>
      </c>
      <c r="Z28" s="204" t="s">
        <v>668</v>
      </c>
      <c r="AA28" s="204" t="s">
        <v>841</v>
      </c>
      <c r="AB28" s="226" t="s">
        <v>25</v>
      </c>
    </row>
    <row r="29" spans="1:278" s="227" customFormat="1" ht="93.75" hidden="1" customHeight="1">
      <c r="A29" s="214">
        <v>1</v>
      </c>
      <c r="B29" s="204" t="s">
        <v>19</v>
      </c>
      <c r="C29" s="204" t="s">
        <v>842</v>
      </c>
      <c r="D29" s="204">
        <v>6584296</v>
      </c>
      <c r="E29" s="250">
        <v>3</v>
      </c>
      <c r="F29" s="250">
        <v>72</v>
      </c>
      <c r="G29" s="250" t="s">
        <v>22</v>
      </c>
      <c r="H29" s="255" t="s">
        <v>843</v>
      </c>
      <c r="I29" s="250">
        <v>2024</v>
      </c>
      <c r="J29" s="250" t="s">
        <v>41</v>
      </c>
      <c r="K29" s="250" t="s">
        <v>161</v>
      </c>
      <c r="L29" s="250" t="s">
        <v>51</v>
      </c>
      <c r="M29" s="250" t="s">
        <v>294</v>
      </c>
      <c r="N29" s="204" t="s">
        <v>225</v>
      </c>
      <c r="O29" s="204" t="s">
        <v>36</v>
      </c>
      <c r="P29" s="204" t="s">
        <v>28</v>
      </c>
      <c r="Q29" s="136"/>
      <c r="R29" s="204" t="s">
        <v>844</v>
      </c>
      <c r="S29" s="136" t="s">
        <v>245</v>
      </c>
      <c r="T29" s="136" t="s">
        <v>845</v>
      </c>
      <c r="U29" s="211">
        <v>45813</v>
      </c>
      <c r="V29" s="211">
        <v>45828</v>
      </c>
      <c r="W29" s="204">
        <f ca="1">V29-TODAY()</f>
        <v>-257</v>
      </c>
      <c r="X29" s="224" t="str">
        <f ca="1">IF(W29&gt;=25,"Vigente",IF(AND(W29&gt;=1,W29&lt;=25),"Por Vencer","Vencido"))</f>
        <v>Vencido</v>
      </c>
      <c r="Y29" s="204" t="s">
        <v>846</v>
      </c>
      <c r="Z29" s="204" t="s">
        <v>668</v>
      </c>
      <c r="AA29" s="204" t="s">
        <v>765</v>
      </c>
      <c r="AB29" s="226" t="s">
        <v>25</v>
      </c>
    </row>
    <row r="30" spans="1:278" s="227" customFormat="1" ht="93.75" customHeight="1">
      <c r="A30" s="214">
        <v>1</v>
      </c>
      <c r="B30" s="204" t="s">
        <v>19</v>
      </c>
      <c r="C30" s="204" t="s">
        <v>847</v>
      </c>
      <c r="D30" s="204">
        <v>9086557</v>
      </c>
      <c r="E30" s="250">
        <v>9</v>
      </c>
      <c r="F30" s="250">
        <v>79</v>
      </c>
      <c r="G30" s="250" t="s">
        <v>86</v>
      </c>
      <c r="H30" s="255" t="s">
        <v>457</v>
      </c>
      <c r="I30" s="250">
        <v>2024</v>
      </c>
      <c r="J30" s="250" t="s">
        <v>41</v>
      </c>
      <c r="K30" s="250" t="s">
        <v>24</v>
      </c>
      <c r="L30" s="250" t="s">
        <v>182</v>
      </c>
      <c r="M30" s="256">
        <v>45406</v>
      </c>
      <c r="N30" s="204" t="s">
        <v>848</v>
      </c>
      <c r="O30" s="204" t="s">
        <v>27</v>
      </c>
      <c r="P30" s="204" t="s">
        <v>169</v>
      </c>
      <c r="Q30" s="136"/>
      <c r="R30" s="204" t="s">
        <v>849</v>
      </c>
      <c r="S30" s="136" t="s">
        <v>245</v>
      </c>
      <c r="T30" s="136" t="s">
        <v>850</v>
      </c>
      <c r="U30" s="211">
        <v>45915</v>
      </c>
      <c r="V30" s="211">
        <v>46006</v>
      </c>
      <c r="W30" s="204">
        <f ca="1">V30-TODAY()</f>
        <v>-79</v>
      </c>
      <c r="X30" s="212" t="str">
        <f ca="1">IF(W30&gt;=25,"Vigente",IF(AND(W30&gt;=1,W30&lt;=25),"Por Vencer","Vencido"))</f>
        <v>Vencido</v>
      </c>
      <c r="Y30" s="204" t="s">
        <v>851</v>
      </c>
      <c r="Z30" s="204" t="s">
        <v>423</v>
      </c>
      <c r="AA30" s="204" t="s">
        <v>852</v>
      </c>
      <c r="AB30" s="226" t="s">
        <v>853</v>
      </c>
    </row>
    <row r="31" spans="1:278" s="227" customFormat="1" ht="62.25" hidden="1" customHeight="1">
      <c r="A31" s="214">
        <v>1</v>
      </c>
      <c r="B31" s="204" t="s">
        <v>19</v>
      </c>
      <c r="C31" s="204" t="s">
        <v>854</v>
      </c>
      <c r="D31" s="204">
        <v>5569218</v>
      </c>
      <c r="E31" s="250">
        <v>1</v>
      </c>
      <c r="F31" s="250">
        <v>79</v>
      </c>
      <c r="G31" s="250" t="s">
        <v>77</v>
      </c>
      <c r="H31" s="255" t="s">
        <v>23</v>
      </c>
      <c r="I31" s="250">
        <v>2022</v>
      </c>
      <c r="J31" s="256">
        <v>44550</v>
      </c>
      <c r="K31" s="250" t="s">
        <v>24</v>
      </c>
      <c r="L31" s="250" t="s">
        <v>25</v>
      </c>
      <c r="M31" s="256">
        <v>44560</v>
      </c>
      <c r="N31" s="204" t="s">
        <v>855</v>
      </c>
      <c r="O31" s="204" t="s">
        <v>36</v>
      </c>
      <c r="P31" s="204" t="s">
        <v>169</v>
      </c>
      <c r="Q31" s="136"/>
      <c r="R31" s="204" t="s">
        <v>856</v>
      </c>
      <c r="S31" s="136" t="s">
        <v>285</v>
      </c>
      <c r="T31" s="136" t="s">
        <v>233</v>
      </c>
      <c r="U31" s="211">
        <v>45825</v>
      </c>
      <c r="V31" s="211">
        <v>45833</v>
      </c>
      <c r="W31" s="204">
        <f ca="1">V31-TODAY()</f>
        <v>-252</v>
      </c>
      <c r="X31" s="224" t="str">
        <f ca="1">IF(W31&gt;=25,"Vigente",IF(AND(W31&gt;=1,W31&lt;=25),"Por Vencer","Vencido"))</f>
        <v>Vencido</v>
      </c>
      <c r="Y31" s="204" t="s">
        <v>857</v>
      </c>
      <c r="Z31" s="204" t="s">
        <v>668</v>
      </c>
      <c r="AA31" s="204"/>
      <c r="AB31" s="226" t="s">
        <v>25</v>
      </c>
    </row>
    <row r="32" spans="1:278" s="227" customFormat="1" ht="93.75" hidden="1" customHeight="1">
      <c r="A32" s="214">
        <v>1</v>
      </c>
      <c r="B32" s="204" t="s">
        <v>19</v>
      </c>
      <c r="C32" s="204" t="s">
        <v>858</v>
      </c>
      <c r="D32" s="215">
        <v>19388279</v>
      </c>
      <c r="E32" s="251" t="s">
        <v>21</v>
      </c>
      <c r="F32" s="250">
        <v>27</v>
      </c>
      <c r="G32" s="250" t="s">
        <v>588</v>
      </c>
      <c r="H32" s="255" t="s">
        <v>600</v>
      </c>
      <c r="I32" s="250">
        <v>2025</v>
      </c>
      <c r="J32" s="250"/>
      <c r="K32" s="250" t="s">
        <v>266</v>
      </c>
      <c r="L32" s="250" t="s">
        <v>182</v>
      </c>
      <c r="M32" s="256">
        <v>45826</v>
      </c>
      <c r="N32" s="204" t="s">
        <v>859</v>
      </c>
      <c r="O32" s="204" t="s">
        <v>36</v>
      </c>
      <c r="P32" s="204" t="s">
        <v>28</v>
      </c>
      <c r="Q32" s="139"/>
      <c r="R32" s="204" t="s">
        <v>860</v>
      </c>
      <c r="S32" s="139"/>
      <c r="T32" s="139"/>
      <c r="U32" s="211">
        <v>45883</v>
      </c>
      <c r="V32" s="211">
        <v>45914</v>
      </c>
      <c r="W32" s="204">
        <f ca="1">V32-TODAY()</f>
        <v>-171</v>
      </c>
      <c r="X32" s="235" t="str">
        <f ca="1">IF(W32&gt;=25,"Vigente",IF(AND(W32&gt;=1,W32&lt;=25),"Por Vencer","Vencido"))</f>
        <v>Vencido</v>
      </c>
      <c r="Y32" s="204" t="s">
        <v>861</v>
      </c>
      <c r="Z32" s="204" t="s">
        <v>668</v>
      </c>
      <c r="AA32" s="204"/>
      <c r="AB32" s="226" t="s">
        <v>25</v>
      </c>
    </row>
    <row r="33" spans="1:28" s="227" customFormat="1" ht="93.75" hidden="1" customHeight="1">
      <c r="A33" s="214">
        <v>1</v>
      </c>
      <c r="B33" s="204" t="s">
        <v>19</v>
      </c>
      <c r="C33" s="204" t="s">
        <v>862</v>
      </c>
      <c r="D33" s="215">
        <v>5340265</v>
      </c>
      <c r="E33" s="251">
        <v>8</v>
      </c>
      <c r="F33" s="250">
        <v>79</v>
      </c>
      <c r="G33" s="250" t="s">
        <v>588</v>
      </c>
      <c r="H33" s="255" t="s">
        <v>863</v>
      </c>
      <c r="I33" s="250">
        <v>2025</v>
      </c>
      <c r="J33" s="250"/>
      <c r="K33" s="250" t="s">
        <v>864</v>
      </c>
      <c r="L33" s="250" t="s">
        <v>267</v>
      </c>
      <c r="M33" s="256">
        <v>45812</v>
      </c>
      <c r="N33" s="204" t="s">
        <v>865</v>
      </c>
      <c r="O33" s="204" t="s">
        <v>36</v>
      </c>
      <c r="P33" s="204" t="s">
        <v>28</v>
      </c>
      <c r="Q33" s="139"/>
      <c r="R33" s="204" t="s">
        <v>866</v>
      </c>
      <c r="S33" s="139"/>
      <c r="T33" s="139"/>
      <c r="U33" s="211">
        <v>45890</v>
      </c>
      <c r="V33" s="211">
        <v>45921</v>
      </c>
      <c r="W33" s="204">
        <f ca="1">V33-TODAY()</f>
        <v>-164</v>
      </c>
      <c r="X33" s="235" t="str">
        <f ca="1">IF(W33&gt;=25,"Vigente",IF(AND(W33&gt;=1,W33&lt;=25),"Por Vencer","Vencido"))</f>
        <v>Vencido</v>
      </c>
      <c r="Y33" s="204" t="s">
        <v>867</v>
      </c>
      <c r="Z33" s="204" t="s">
        <v>668</v>
      </c>
      <c r="AA33" s="204" t="s">
        <v>868</v>
      </c>
      <c r="AB33" s="226"/>
    </row>
    <row r="34" spans="1:28" s="227" customFormat="1" ht="93.75" customHeight="1">
      <c r="A34" s="214">
        <v>1</v>
      </c>
      <c r="B34" s="206" t="s">
        <v>19</v>
      </c>
      <c r="C34" s="206" t="s">
        <v>185</v>
      </c>
      <c r="D34" s="206">
        <v>10389616</v>
      </c>
      <c r="E34" s="239">
        <v>9</v>
      </c>
      <c r="F34" s="239">
        <v>57</v>
      </c>
      <c r="G34" s="239" t="s">
        <v>22</v>
      </c>
      <c r="H34" s="217" t="s">
        <v>23</v>
      </c>
      <c r="I34" s="239">
        <v>2022</v>
      </c>
      <c r="J34" s="259">
        <v>44879</v>
      </c>
      <c r="K34" s="239" t="s">
        <v>24</v>
      </c>
      <c r="L34" s="239" t="s">
        <v>25</v>
      </c>
      <c r="M34" s="259">
        <v>44833</v>
      </c>
      <c r="N34" s="206" t="s">
        <v>186</v>
      </c>
      <c r="O34" s="206" t="s">
        <v>27</v>
      </c>
      <c r="P34" s="206" t="s">
        <v>169</v>
      </c>
      <c r="Q34" s="136" t="s">
        <v>177</v>
      </c>
      <c r="R34" s="206" t="s">
        <v>869</v>
      </c>
      <c r="S34" s="136"/>
      <c r="T34" s="136"/>
      <c r="U34" s="236">
        <v>45943</v>
      </c>
      <c r="V34" s="236">
        <v>46004</v>
      </c>
      <c r="W34" s="206">
        <f ca="1">V34-TODAY()</f>
        <v>-81</v>
      </c>
      <c r="X34" s="206" t="str">
        <f ca="1">IF(W34&gt;=25,"Vigente",IF(AND(W34&gt;=1,W34&lt;=25),"Por Vencer","Vencido"))</f>
        <v>Vencido</v>
      </c>
      <c r="Y34" s="206" t="s">
        <v>870</v>
      </c>
      <c r="Z34" s="204" t="s">
        <v>668</v>
      </c>
      <c r="AA34" s="206" t="s">
        <v>871</v>
      </c>
      <c r="AB34" s="226" t="s">
        <v>772</v>
      </c>
    </row>
    <row r="35" spans="1:28" s="237" customFormat="1" ht="93.75" customHeight="1">
      <c r="A35" s="214">
        <v>1</v>
      </c>
      <c r="B35" s="217" t="s">
        <v>19</v>
      </c>
      <c r="C35" s="206" t="s">
        <v>872</v>
      </c>
      <c r="D35" s="219">
        <v>7113047</v>
      </c>
      <c r="E35" s="239">
        <v>9</v>
      </c>
      <c r="F35" s="239">
        <v>70</v>
      </c>
      <c r="G35" s="239" t="s">
        <v>22</v>
      </c>
      <c r="H35" s="217" t="s">
        <v>873</v>
      </c>
      <c r="I35" s="239">
        <v>2025</v>
      </c>
      <c r="J35" s="239" t="s">
        <v>41</v>
      </c>
      <c r="K35" s="239"/>
      <c r="L35" s="239" t="s">
        <v>51</v>
      </c>
      <c r="M35" s="239" t="s">
        <v>206</v>
      </c>
      <c r="N35" s="217" t="s">
        <v>547</v>
      </c>
      <c r="O35" s="217" t="s">
        <v>36</v>
      </c>
      <c r="P35" s="217" t="s">
        <v>28</v>
      </c>
      <c r="Q35" s="149"/>
      <c r="R35" s="217" t="s">
        <v>874</v>
      </c>
      <c r="S35" s="149"/>
      <c r="T35" s="149"/>
      <c r="U35" s="236">
        <v>45925</v>
      </c>
      <c r="V35" s="236">
        <v>45955</v>
      </c>
      <c r="W35" s="206">
        <f t="shared" ref="W35:W43" ca="1" si="0">V35-TODAY()</f>
        <v>-130</v>
      </c>
      <c r="X35" s="222" t="str">
        <f ca="1">IF(W35&gt;=25,"Vigente",IF(AND(W35&gt;=1,W35&lt;=25),"Por Vencer","Vencido"))</f>
        <v>Vencido</v>
      </c>
      <c r="Y35" s="217" t="s">
        <v>875</v>
      </c>
      <c r="Z35" s="204" t="s">
        <v>668</v>
      </c>
      <c r="AA35" s="217" t="s">
        <v>637</v>
      </c>
      <c r="AB35" s="226" t="s">
        <v>772</v>
      </c>
    </row>
    <row r="36" spans="1:28" s="227" customFormat="1" ht="93.75" hidden="1" customHeight="1">
      <c r="A36" s="214">
        <v>1</v>
      </c>
      <c r="B36" s="220" t="s">
        <v>19</v>
      </c>
      <c r="C36" s="207" t="s">
        <v>876</v>
      </c>
      <c r="D36" s="207">
        <v>14371447</v>
      </c>
      <c r="E36" s="252">
        <v>0</v>
      </c>
      <c r="F36" s="252">
        <v>54</v>
      </c>
      <c r="G36" s="239" t="s">
        <v>22</v>
      </c>
      <c r="H36" s="217" t="s">
        <v>877</v>
      </c>
      <c r="I36" s="239">
        <v>2025</v>
      </c>
      <c r="J36" s="239" t="s">
        <v>41</v>
      </c>
      <c r="K36" s="239"/>
      <c r="L36" s="239" t="s">
        <v>51</v>
      </c>
      <c r="M36" s="239" t="s">
        <v>206</v>
      </c>
      <c r="N36" s="217" t="s">
        <v>547</v>
      </c>
      <c r="O36" s="217" t="s">
        <v>36</v>
      </c>
      <c r="P36" s="217" t="s">
        <v>28</v>
      </c>
      <c r="Q36" s="147"/>
      <c r="R36" s="217" t="s">
        <v>878</v>
      </c>
      <c r="S36" s="147"/>
      <c r="T36" s="147"/>
      <c r="U36" s="236">
        <v>46076</v>
      </c>
      <c r="V36" s="236">
        <v>46135</v>
      </c>
      <c r="W36" s="206">
        <f t="shared" ca="1" si="0"/>
        <v>50</v>
      </c>
      <c r="X36" s="228" t="str">
        <f ca="1">IF(W36&gt;=25,"Vigente",IF(AND(W36&gt;=1,W36&lt;=25),"Por Vencer","Vencido"))</f>
        <v>Vigente</v>
      </c>
      <c r="Y36" s="217" t="s">
        <v>879</v>
      </c>
      <c r="Z36" s="204" t="s">
        <v>668</v>
      </c>
      <c r="AA36" s="217" t="s">
        <v>637</v>
      </c>
      <c r="AB36" s="226"/>
    </row>
    <row r="37" spans="1:28" ht="93.75" hidden="1" customHeight="1">
      <c r="A37" s="168">
        <v>43</v>
      </c>
      <c r="B37" s="147" t="s">
        <v>19</v>
      </c>
      <c r="C37" s="126" t="s">
        <v>880</v>
      </c>
      <c r="D37" s="167">
        <v>9458102</v>
      </c>
      <c r="E37" s="167">
        <v>8</v>
      </c>
      <c r="F37" s="126">
        <v>59</v>
      </c>
      <c r="G37" s="147" t="s">
        <v>881</v>
      </c>
      <c r="H37" s="147" t="s">
        <v>509</v>
      </c>
      <c r="I37" s="147">
        <v>2025</v>
      </c>
      <c r="J37" s="148" t="s">
        <v>41</v>
      </c>
      <c r="K37" s="148"/>
      <c r="L37" s="148" t="s">
        <v>51</v>
      </c>
      <c r="M37" s="148" t="s">
        <v>206</v>
      </c>
      <c r="N37" s="147" t="s">
        <v>547</v>
      </c>
      <c r="O37" s="147" t="s">
        <v>36</v>
      </c>
      <c r="P37" s="147" t="s">
        <v>28</v>
      </c>
      <c r="Q37" s="147"/>
      <c r="R37" s="147" t="s">
        <v>882</v>
      </c>
      <c r="S37" s="147"/>
      <c r="T37" s="147"/>
      <c r="U37" s="135">
        <v>46052</v>
      </c>
      <c r="V37" s="135" t="s">
        <v>883</v>
      </c>
      <c r="W37" s="126" t="e">
        <f t="shared" ca="1" si="0"/>
        <v>#VALUE!</v>
      </c>
      <c r="X37" s="138" t="e">
        <f ca="1">IF(W37&gt;=25,"Vigente",IF(AND(W37&gt;=1,W37&lt;=25),"Por Vencer","Vencido"))</f>
        <v>#VALUE!</v>
      </c>
      <c r="Y37" s="147" t="s">
        <v>875</v>
      </c>
      <c r="Z37" s="147" t="s">
        <v>884</v>
      </c>
      <c r="AA37" s="147" t="s">
        <v>637</v>
      </c>
      <c r="AB37" s="24"/>
    </row>
    <row r="38" spans="1:28" s="227" customFormat="1" ht="93.75" hidden="1" customHeight="1">
      <c r="A38" s="214">
        <v>1</v>
      </c>
      <c r="B38" s="238" t="s">
        <v>19</v>
      </c>
      <c r="C38" s="206" t="s">
        <v>885</v>
      </c>
      <c r="D38" s="239">
        <v>9055604</v>
      </c>
      <c r="E38" s="239">
        <v>5</v>
      </c>
      <c r="F38" s="239">
        <v>64</v>
      </c>
      <c r="G38" s="239" t="s">
        <v>22</v>
      </c>
      <c r="H38" s="217" t="s">
        <v>509</v>
      </c>
      <c r="I38" s="239">
        <v>2025</v>
      </c>
      <c r="J38" s="239" t="s">
        <v>41</v>
      </c>
      <c r="K38" s="239"/>
      <c r="L38" s="239" t="s">
        <v>51</v>
      </c>
      <c r="M38" s="239" t="s">
        <v>206</v>
      </c>
      <c r="N38" s="217" t="s">
        <v>547</v>
      </c>
      <c r="O38" s="217" t="s">
        <v>36</v>
      </c>
      <c r="P38" s="217" t="s">
        <v>28</v>
      </c>
      <c r="Q38" s="147"/>
      <c r="R38" s="217" t="s">
        <v>886</v>
      </c>
      <c r="S38" s="147"/>
      <c r="T38" s="147"/>
      <c r="U38" s="236">
        <v>45972</v>
      </c>
      <c r="V38" s="236">
        <v>46002</v>
      </c>
      <c r="W38" s="206">
        <f t="shared" ca="1" si="0"/>
        <v>-83</v>
      </c>
      <c r="X38" s="240" t="str">
        <f ca="1">IF(W38&gt;=25,"Vigente",IF(AND(W38&gt;=1,W38&lt;=25),"Por Vencer","Vencido"))</f>
        <v>Vencido</v>
      </c>
      <c r="Y38" s="217" t="s">
        <v>887</v>
      </c>
      <c r="Z38" s="204" t="s">
        <v>668</v>
      </c>
      <c r="AA38" s="217" t="s">
        <v>888</v>
      </c>
      <c r="AB38" s="226" t="s">
        <v>889</v>
      </c>
    </row>
    <row r="39" spans="1:28" s="227" customFormat="1" ht="93.75" hidden="1" customHeight="1">
      <c r="A39" s="214">
        <v>1</v>
      </c>
      <c r="B39" s="217" t="s">
        <v>19</v>
      </c>
      <c r="C39" s="206" t="s">
        <v>890</v>
      </c>
      <c r="D39" s="239">
        <v>11422562</v>
      </c>
      <c r="E39" s="239">
        <v>2</v>
      </c>
      <c r="F39" s="239">
        <v>56</v>
      </c>
      <c r="G39" s="239" t="s">
        <v>22</v>
      </c>
      <c r="H39" s="217" t="s">
        <v>509</v>
      </c>
      <c r="I39" s="239">
        <v>2025</v>
      </c>
      <c r="J39" s="239" t="s">
        <v>41</v>
      </c>
      <c r="K39" s="239"/>
      <c r="L39" s="239" t="s">
        <v>51</v>
      </c>
      <c r="M39" s="259">
        <v>45945</v>
      </c>
      <c r="N39" s="217" t="s">
        <v>891</v>
      </c>
      <c r="O39" s="217" t="s">
        <v>36</v>
      </c>
      <c r="P39" s="217" t="s">
        <v>28</v>
      </c>
      <c r="Q39" s="147"/>
      <c r="R39" s="217" t="s">
        <v>892</v>
      </c>
      <c r="S39" s="147"/>
      <c r="T39" s="147"/>
      <c r="U39" s="236">
        <v>45945</v>
      </c>
      <c r="V39" s="236">
        <v>45976</v>
      </c>
      <c r="W39" s="206">
        <f t="shared" ca="1" si="0"/>
        <v>-109</v>
      </c>
      <c r="X39" s="225" t="str">
        <f ca="1">IF(W39&gt;=25,"Vigente",IF(AND(W39&gt;=1,W39&lt;=25),"Por Vencer","Vencido"))</f>
        <v>Vencido</v>
      </c>
      <c r="Y39" s="217" t="s">
        <v>893</v>
      </c>
      <c r="Z39" s="204" t="s">
        <v>668</v>
      </c>
      <c r="AA39" s="217"/>
      <c r="AB39" s="226"/>
    </row>
    <row r="40" spans="1:28" s="227" customFormat="1" ht="93.75" hidden="1" customHeight="1">
      <c r="A40" s="214">
        <v>1</v>
      </c>
      <c r="B40" s="217" t="s">
        <v>19</v>
      </c>
      <c r="C40" s="206" t="s">
        <v>894</v>
      </c>
      <c r="D40" s="206">
        <v>4969245</v>
      </c>
      <c r="E40" s="239">
        <v>5</v>
      </c>
      <c r="F40" s="239">
        <v>82</v>
      </c>
      <c r="G40" s="239" t="s">
        <v>22</v>
      </c>
      <c r="H40" s="217" t="s">
        <v>509</v>
      </c>
      <c r="I40" s="239">
        <v>2025</v>
      </c>
      <c r="J40" s="239" t="s">
        <v>41</v>
      </c>
      <c r="K40" s="239"/>
      <c r="L40" s="239" t="s">
        <v>51</v>
      </c>
      <c r="M40" s="239" t="s">
        <v>206</v>
      </c>
      <c r="N40" s="217" t="s">
        <v>547</v>
      </c>
      <c r="O40" s="217" t="s">
        <v>36</v>
      </c>
      <c r="P40" s="217" t="s">
        <v>28</v>
      </c>
      <c r="Q40" s="149"/>
      <c r="R40" s="217" t="s">
        <v>895</v>
      </c>
      <c r="S40" s="149"/>
      <c r="T40" s="149"/>
      <c r="U40" s="236">
        <v>46072</v>
      </c>
      <c r="V40" s="236">
        <v>46100</v>
      </c>
      <c r="W40" s="206">
        <f t="shared" ca="1" si="0"/>
        <v>15</v>
      </c>
      <c r="X40" s="224" t="str">
        <f ca="1">IF(W40&gt;=25,"Vigente",IF(AND(W40&gt;=1,W40&lt;=25),"Por Vencer","Vencido"))</f>
        <v>Por Vencer</v>
      </c>
      <c r="Y40" s="217" t="s">
        <v>896</v>
      </c>
      <c r="Z40" s="204" t="s">
        <v>668</v>
      </c>
      <c r="AA40" s="217" t="s">
        <v>637</v>
      </c>
      <c r="AB40" s="226"/>
    </row>
    <row r="41" spans="1:28" ht="93.75" hidden="1" customHeight="1">
      <c r="A41" s="168">
        <v>47</v>
      </c>
      <c r="B41" s="147" t="s">
        <v>19</v>
      </c>
      <c r="C41" s="126" t="s">
        <v>897</v>
      </c>
      <c r="D41" s="126">
        <v>6839819</v>
      </c>
      <c r="E41" s="126">
        <v>3</v>
      </c>
      <c r="F41" s="126">
        <v>73</v>
      </c>
      <c r="G41" s="147" t="s">
        <v>22</v>
      </c>
      <c r="H41" s="147" t="s">
        <v>156</v>
      </c>
      <c r="I41" s="147">
        <v>2025</v>
      </c>
      <c r="J41" s="148" t="s">
        <v>41</v>
      </c>
      <c r="K41" s="148"/>
      <c r="L41" s="148" t="s">
        <v>51</v>
      </c>
      <c r="M41" s="148" t="s">
        <v>206</v>
      </c>
      <c r="N41" s="147" t="s">
        <v>547</v>
      </c>
      <c r="O41" s="147" t="s">
        <v>36</v>
      </c>
      <c r="P41" s="147" t="s">
        <v>28</v>
      </c>
      <c r="Q41" s="147"/>
      <c r="R41" s="147" t="s">
        <v>898</v>
      </c>
      <c r="S41" s="147"/>
      <c r="T41" s="147"/>
      <c r="U41" s="135">
        <v>46048</v>
      </c>
      <c r="V41" s="135">
        <v>46107</v>
      </c>
      <c r="W41" s="126">
        <f t="shared" ca="1" si="0"/>
        <v>22</v>
      </c>
      <c r="X41" s="136" t="str">
        <f ca="1">IF(W41&gt;=25,"Vigente",IF(AND(W41&gt;=1,W41&lt;=25),"Por Vencer","Vencido"))</f>
        <v>Por Vencer</v>
      </c>
      <c r="Y41" s="147" t="s">
        <v>899</v>
      </c>
      <c r="Z41" s="147" t="s">
        <v>884</v>
      </c>
      <c r="AA41" s="147" t="s">
        <v>637</v>
      </c>
      <c r="AB41" s="24" t="s">
        <v>900</v>
      </c>
    </row>
    <row r="42" spans="1:28" s="227" customFormat="1" ht="113.25" hidden="1" customHeight="1">
      <c r="A42" s="214">
        <v>1</v>
      </c>
      <c r="B42" s="217" t="s">
        <v>19</v>
      </c>
      <c r="C42" s="206" t="s">
        <v>901</v>
      </c>
      <c r="D42" s="206">
        <v>11376411</v>
      </c>
      <c r="E42" s="239">
        <v>2</v>
      </c>
      <c r="F42" s="239">
        <v>56</v>
      </c>
      <c r="G42" s="239" t="s">
        <v>22</v>
      </c>
      <c r="H42" s="217" t="s">
        <v>902</v>
      </c>
      <c r="I42" s="239">
        <v>2026</v>
      </c>
      <c r="J42" s="239" t="s">
        <v>41</v>
      </c>
      <c r="K42" s="239"/>
      <c r="L42" s="239" t="s">
        <v>51</v>
      </c>
      <c r="M42" s="259">
        <v>45924</v>
      </c>
      <c r="N42" s="217" t="s">
        <v>903</v>
      </c>
      <c r="O42" s="217" t="s">
        <v>36</v>
      </c>
      <c r="P42" s="217" t="s">
        <v>28</v>
      </c>
      <c r="Q42" s="147"/>
      <c r="R42" s="217" t="s">
        <v>904</v>
      </c>
      <c r="S42" s="147"/>
      <c r="T42" s="147"/>
      <c r="U42" s="236">
        <v>45924</v>
      </c>
      <c r="V42" s="236">
        <v>45954</v>
      </c>
      <c r="W42" s="206">
        <f t="shared" ca="1" si="0"/>
        <v>-131</v>
      </c>
      <c r="X42" s="228" t="str">
        <f ca="1">IF(W42&gt;=25,"Vigente",IF(AND(W42&gt;=1,W42&lt;=25),"Por Vencer","Vencido"))</f>
        <v>Vencido</v>
      </c>
      <c r="Y42" s="217" t="s">
        <v>905</v>
      </c>
      <c r="Z42" s="204" t="s">
        <v>668</v>
      </c>
      <c r="AA42" s="217"/>
      <c r="AB42" s="226" t="s">
        <v>906</v>
      </c>
    </row>
    <row r="43" spans="1:28" s="227" customFormat="1" ht="93.75" customHeight="1">
      <c r="A43" s="214">
        <v>1</v>
      </c>
      <c r="B43" s="217" t="s">
        <v>19</v>
      </c>
      <c r="C43" s="206" t="s">
        <v>907</v>
      </c>
      <c r="D43" s="206">
        <v>12572140</v>
      </c>
      <c r="E43" s="239">
        <v>0</v>
      </c>
      <c r="F43" s="239">
        <v>51</v>
      </c>
      <c r="G43" s="239" t="s">
        <v>22</v>
      </c>
      <c r="H43" s="217" t="s">
        <v>509</v>
      </c>
      <c r="I43" s="239">
        <v>2025</v>
      </c>
      <c r="J43" s="239" t="s">
        <v>41</v>
      </c>
      <c r="K43" s="239"/>
      <c r="L43" s="239" t="s">
        <v>51</v>
      </c>
      <c r="M43" s="239" t="s">
        <v>206</v>
      </c>
      <c r="N43" s="217" t="s">
        <v>547</v>
      </c>
      <c r="O43" s="217" t="s">
        <v>36</v>
      </c>
      <c r="P43" s="217" t="s">
        <v>28</v>
      </c>
      <c r="Q43" s="149"/>
      <c r="R43" s="217" t="s">
        <v>908</v>
      </c>
      <c r="S43" s="149"/>
      <c r="T43" s="149"/>
      <c r="U43" s="236">
        <v>45936</v>
      </c>
      <c r="V43" s="236">
        <v>45967</v>
      </c>
      <c r="W43" s="206">
        <f t="shared" ca="1" si="0"/>
        <v>-118</v>
      </c>
      <c r="X43" s="228" t="str">
        <f ca="1">IF(W43&gt;=25,"Vigente",IF(AND(W43&gt;=1,W43&lt;=25),"Por Vencer","Vencido"))</f>
        <v>Vencido</v>
      </c>
      <c r="Y43" s="217" t="s">
        <v>909</v>
      </c>
      <c r="Z43" s="204" t="s">
        <v>668</v>
      </c>
      <c r="AA43" s="217" t="s">
        <v>910</v>
      </c>
      <c r="AB43" s="226" t="s">
        <v>772</v>
      </c>
    </row>
    <row r="44" spans="1:28" s="227" customFormat="1" ht="93.75" customHeight="1">
      <c r="A44" s="214">
        <v>1</v>
      </c>
      <c r="B44" s="217" t="s">
        <v>19</v>
      </c>
      <c r="C44" s="206" t="s">
        <v>911</v>
      </c>
      <c r="D44" s="206">
        <v>7348674</v>
      </c>
      <c r="E44" s="239">
        <v>2</v>
      </c>
      <c r="F44" s="239">
        <v>68</v>
      </c>
      <c r="G44" s="239" t="s">
        <v>22</v>
      </c>
      <c r="H44" s="217" t="s">
        <v>509</v>
      </c>
      <c r="I44" s="239">
        <v>2025</v>
      </c>
      <c r="J44" s="239" t="s">
        <v>41</v>
      </c>
      <c r="K44" s="239"/>
      <c r="L44" s="239" t="s">
        <v>51</v>
      </c>
      <c r="M44" s="239" t="s">
        <v>206</v>
      </c>
      <c r="N44" s="217" t="s">
        <v>547</v>
      </c>
      <c r="O44" s="217" t="s">
        <v>36</v>
      </c>
      <c r="P44" s="217" t="s">
        <v>28</v>
      </c>
      <c r="Q44" s="147"/>
      <c r="R44" s="217" t="s">
        <v>912</v>
      </c>
      <c r="S44" s="147"/>
      <c r="T44" s="147"/>
      <c r="U44" s="236">
        <v>45936</v>
      </c>
      <c r="V44" s="236">
        <v>45967</v>
      </c>
      <c r="W44" s="206">
        <f ca="1">V44-TODAY()</f>
        <v>-118</v>
      </c>
      <c r="X44" s="228" t="str">
        <f t="shared" ref="X44:X46" ca="1" si="1">IF(W44&gt;=25,"Vigente",IF(AND(W44&gt;=1,W44&lt;=25),"Por Vencer","Vencido"))</f>
        <v>Vencido</v>
      </c>
      <c r="Y44" s="217" t="s">
        <v>913</v>
      </c>
      <c r="Z44" s="204" t="s">
        <v>668</v>
      </c>
      <c r="AA44" s="217" t="s">
        <v>914</v>
      </c>
      <c r="AB44" s="226" t="s">
        <v>772</v>
      </c>
    </row>
    <row r="45" spans="1:28" s="227" customFormat="1" ht="93.75" customHeight="1">
      <c r="A45" s="298">
        <v>1</v>
      </c>
      <c r="B45" s="220" t="s">
        <v>19</v>
      </c>
      <c r="C45" s="207" t="s">
        <v>915</v>
      </c>
      <c r="D45" s="207">
        <v>4424410</v>
      </c>
      <c r="E45" s="252">
        <v>1</v>
      </c>
      <c r="F45" s="252">
        <v>84</v>
      </c>
      <c r="G45" s="252" t="s">
        <v>86</v>
      </c>
      <c r="H45" s="220" t="s">
        <v>509</v>
      </c>
      <c r="I45" s="252">
        <v>2025</v>
      </c>
      <c r="J45" s="252" t="s">
        <v>41</v>
      </c>
      <c r="K45" s="252"/>
      <c r="L45" s="252" t="s">
        <v>51</v>
      </c>
      <c r="M45" s="252" t="s">
        <v>206</v>
      </c>
      <c r="N45" s="220" t="s">
        <v>547</v>
      </c>
      <c r="O45" s="220" t="s">
        <v>36</v>
      </c>
      <c r="P45" s="220" t="s">
        <v>28</v>
      </c>
      <c r="Q45" s="149"/>
      <c r="R45" s="220" t="s">
        <v>916</v>
      </c>
      <c r="S45" s="149"/>
      <c r="T45" s="149"/>
      <c r="U45" s="244">
        <v>46048</v>
      </c>
      <c r="V45" s="244">
        <v>46079</v>
      </c>
      <c r="W45" s="207">
        <f ca="1">V45-TODAY()</f>
        <v>-6</v>
      </c>
      <c r="X45" s="299" t="str">
        <f ca="1">IF(W45&gt;=25,"Vigente",IF(AND(W45&gt;=1,W45&lt;=25),"Por Vencer","Vencido"))</f>
        <v>Vencido</v>
      </c>
      <c r="Y45" s="220" t="s">
        <v>917</v>
      </c>
      <c r="Z45" s="300" t="s">
        <v>668</v>
      </c>
      <c r="AA45" s="220"/>
      <c r="AB45" s="301" t="s">
        <v>772</v>
      </c>
    </row>
    <row r="46" spans="1:28" s="227" customFormat="1" ht="93.75" customHeight="1">
      <c r="A46" s="288">
        <v>1</v>
      </c>
      <c r="B46" s="241" t="s">
        <v>170</v>
      </c>
      <c r="C46" s="246" t="s">
        <v>918</v>
      </c>
      <c r="D46" s="246">
        <v>5142508</v>
      </c>
      <c r="E46" s="260">
        <v>1</v>
      </c>
      <c r="F46" s="260">
        <v>82</v>
      </c>
      <c r="G46" s="260" t="s">
        <v>22</v>
      </c>
      <c r="H46" s="241" t="s">
        <v>919</v>
      </c>
      <c r="I46" s="260">
        <v>2025</v>
      </c>
      <c r="J46" s="260" t="s">
        <v>41</v>
      </c>
      <c r="K46" s="260"/>
      <c r="L46" s="260" t="s">
        <v>51</v>
      </c>
      <c r="M46" s="260" t="s">
        <v>206</v>
      </c>
      <c r="N46" s="241" t="s">
        <v>547</v>
      </c>
      <c r="O46" s="241" t="s">
        <v>36</v>
      </c>
      <c r="P46" s="241" t="s">
        <v>28</v>
      </c>
      <c r="Q46" s="296"/>
      <c r="R46" s="241" t="s">
        <v>920</v>
      </c>
      <c r="S46" s="297"/>
      <c r="T46" s="295"/>
      <c r="U46" s="289">
        <v>45940</v>
      </c>
      <c r="V46" s="289">
        <v>45971</v>
      </c>
      <c r="W46" s="246">
        <f ca="1">V46-TODAY()</f>
        <v>-114</v>
      </c>
      <c r="X46" s="290" t="str">
        <f t="shared" ca="1" si="1"/>
        <v>Vencido</v>
      </c>
      <c r="Y46" s="241" t="s">
        <v>921</v>
      </c>
      <c r="Z46" s="242" t="s">
        <v>668</v>
      </c>
      <c r="AA46" s="241" t="s">
        <v>637</v>
      </c>
      <c r="AB46" s="241" t="s">
        <v>922</v>
      </c>
    </row>
    <row r="47" spans="1:28" s="227" customFormat="1" ht="93.75" hidden="1" customHeight="1">
      <c r="A47" s="311">
        <v>1</v>
      </c>
      <c r="B47" s="312" t="s">
        <v>170</v>
      </c>
      <c r="C47" s="313" t="s">
        <v>923</v>
      </c>
      <c r="D47" s="313">
        <v>9321117</v>
      </c>
      <c r="E47" s="314">
        <v>0</v>
      </c>
      <c r="F47" s="314">
        <v>63</v>
      </c>
      <c r="G47" s="314" t="s">
        <v>22</v>
      </c>
      <c r="H47" s="315" t="s">
        <v>767</v>
      </c>
      <c r="I47" s="314"/>
      <c r="J47" s="316" t="s">
        <v>41</v>
      </c>
      <c r="K47" s="316" t="s">
        <v>24</v>
      </c>
      <c r="L47" s="316" t="s">
        <v>51</v>
      </c>
      <c r="M47" s="314" t="s">
        <v>924</v>
      </c>
      <c r="N47" s="317" t="s">
        <v>925</v>
      </c>
      <c r="O47" s="317" t="s">
        <v>27</v>
      </c>
      <c r="P47" s="318" t="s">
        <v>28</v>
      </c>
      <c r="Q47" s="188" t="s">
        <v>926</v>
      </c>
      <c r="R47" s="315" t="s">
        <v>927</v>
      </c>
      <c r="S47" s="190" t="s">
        <v>398</v>
      </c>
      <c r="T47" s="84"/>
      <c r="U47" s="319">
        <v>45975</v>
      </c>
      <c r="V47" s="319">
        <v>46005</v>
      </c>
      <c r="W47" s="320">
        <f ca="1">V47-TODAY()</f>
        <v>-80</v>
      </c>
      <c r="X47" s="321" t="str">
        <f ca="1">IF(W47&gt;=25,"Vigente",IF(AND(W47&gt;=1,W47&lt;=25),"Por Vencer","Vencido"))</f>
        <v>Vencido</v>
      </c>
      <c r="Y47" s="315" t="s">
        <v>887</v>
      </c>
      <c r="Z47" s="322" t="s">
        <v>668</v>
      </c>
      <c r="AA47" s="315" t="s">
        <v>888</v>
      </c>
      <c r="AB47" s="323" t="s">
        <v>906</v>
      </c>
    </row>
    <row r="48" spans="1:28" ht="93.75" hidden="1" customHeight="1">
      <c r="A48" s="169"/>
      <c r="C48" s="116" t="s">
        <v>928</v>
      </c>
      <c r="D48" s="178">
        <v>9014392</v>
      </c>
      <c r="E48" s="13">
        <v>1</v>
      </c>
      <c r="F48" s="13">
        <v>64</v>
      </c>
      <c r="G48" s="11" t="s">
        <v>22</v>
      </c>
      <c r="H48" s="11" t="s">
        <v>690</v>
      </c>
      <c r="I48" s="11">
        <v>2026</v>
      </c>
      <c r="J48" s="14"/>
      <c r="K48" s="14"/>
      <c r="L48" s="14" t="s">
        <v>51</v>
      </c>
      <c r="M48" s="14" t="s">
        <v>691</v>
      </c>
      <c r="N48" s="11" t="s">
        <v>692</v>
      </c>
    </row>
    <row r="49" spans="1:28" ht="93.75" hidden="1" customHeight="1">
      <c r="B49" s="11" t="s">
        <v>2</v>
      </c>
      <c r="C49" s="116"/>
      <c r="E49" s="13"/>
      <c r="F49" s="13"/>
      <c r="G49" s="11"/>
      <c r="I49" s="11"/>
      <c r="J49" s="14"/>
      <c r="K49" s="14"/>
      <c r="L49" s="14"/>
      <c r="M49" s="14"/>
    </row>
    <row r="50" spans="1:28" ht="93.75" hidden="1" customHeight="1">
      <c r="C50" s="179" t="s">
        <v>929</v>
      </c>
      <c r="D50" s="13">
        <v>5251756</v>
      </c>
      <c r="E50" s="13">
        <v>7</v>
      </c>
      <c r="F50" s="13">
        <v>80</v>
      </c>
      <c r="G50" s="11" t="s">
        <v>86</v>
      </c>
      <c r="I50" s="11"/>
      <c r="J50" s="14" t="s">
        <v>41</v>
      </c>
      <c r="K50" s="14"/>
      <c r="L50" s="14"/>
      <c r="M50" s="14"/>
      <c r="R50" s="11" t="s">
        <v>930</v>
      </c>
      <c r="U50" s="109">
        <v>46048</v>
      </c>
      <c r="V50" s="109" t="s">
        <v>931</v>
      </c>
      <c r="Y50" s="11" t="s">
        <v>932</v>
      </c>
    </row>
    <row r="51" spans="1:28" ht="93.75" hidden="1" customHeight="1">
      <c r="A51" s="191"/>
      <c r="C51" s="180" t="s">
        <v>933</v>
      </c>
      <c r="D51" s="180">
        <v>10854706</v>
      </c>
      <c r="E51" s="13">
        <v>5</v>
      </c>
      <c r="F51" s="13">
        <v>61</v>
      </c>
      <c r="G51" s="11" t="s">
        <v>22</v>
      </c>
      <c r="H51" s="11" t="s">
        <v>600</v>
      </c>
      <c r="I51" s="11"/>
      <c r="J51" s="14" t="s">
        <v>41</v>
      </c>
      <c r="K51" s="14"/>
      <c r="L51" s="14" t="s">
        <v>51</v>
      </c>
      <c r="M51" s="14" t="s">
        <v>934</v>
      </c>
      <c r="R51" s="11" t="s">
        <v>935</v>
      </c>
      <c r="U51" s="109">
        <v>46055</v>
      </c>
      <c r="V51" s="109">
        <v>46083</v>
      </c>
    </row>
    <row r="52" spans="1:28" s="227" customFormat="1" ht="93.75" hidden="1" customHeight="1">
      <c r="A52" s="214">
        <v>1</v>
      </c>
      <c r="B52" s="243"/>
      <c r="C52" s="209" t="s">
        <v>936</v>
      </c>
      <c r="D52" s="173">
        <v>6234064</v>
      </c>
      <c r="E52" s="173">
        <v>9</v>
      </c>
      <c r="F52" s="253">
        <v>83</v>
      </c>
      <c r="G52" s="253" t="s">
        <v>86</v>
      </c>
      <c r="H52" s="243" t="s">
        <v>937</v>
      </c>
      <c r="I52" s="253">
        <v>2025</v>
      </c>
      <c r="J52" s="253" t="s">
        <v>41</v>
      </c>
      <c r="K52" s="253"/>
      <c r="L52" s="253" t="s">
        <v>51</v>
      </c>
      <c r="M52" s="253"/>
      <c r="N52" s="243"/>
      <c r="O52" s="243"/>
      <c r="P52" s="243"/>
      <c r="Q52" s="11"/>
      <c r="R52" s="208" t="s">
        <v>938</v>
      </c>
      <c r="S52" s="11"/>
      <c r="T52" s="11"/>
      <c r="U52" s="245">
        <v>46055</v>
      </c>
      <c r="V52" s="245">
        <v>46083</v>
      </c>
      <c r="W52" s="209"/>
      <c r="X52" s="248"/>
      <c r="Y52" s="243"/>
      <c r="Z52" s="242" t="s">
        <v>668</v>
      </c>
      <c r="AA52" s="243"/>
      <c r="AB52" s="243"/>
    </row>
    <row r="53" spans="1:28" s="227" customFormat="1" ht="93.75" hidden="1" customHeight="1">
      <c r="A53" s="214">
        <v>1</v>
      </c>
      <c r="B53" s="243" t="s">
        <v>170</v>
      </c>
      <c r="C53" s="209" t="s">
        <v>939</v>
      </c>
      <c r="D53" s="264">
        <v>6839819</v>
      </c>
      <c r="E53" s="253">
        <v>3</v>
      </c>
      <c r="F53" s="253"/>
      <c r="G53" s="253"/>
      <c r="H53" s="243"/>
      <c r="I53" s="253"/>
      <c r="J53" s="253"/>
      <c r="K53" s="253"/>
      <c r="L53" s="253"/>
      <c r="M53" s="253"/>
      <c r="N53" s="243"/>
      <c r="O53" s="243"/>
      <c r="P53" s="243"/>
      <c r="Q53" s="11"/>
      <c r="R53" s="243"/>
      <c r="S53" s="11"/>
      <c r="T53" s="11"/>
      <c r="U53" s="209"/>
      <c r="V53" s="245"/>
      <c r="W53" s="209"/>
      <c r="X53" s="248"/>
      <c r="Y53" s="243"/>
      <c r="Z53" s="242" t="s">
        <v>668</v>
      </c>
      <c r="AA53" s="243"/>
      <c r="AB53" s="243"/>
    </row>
    <row r="54" spans="1:28" s="227" customFormat="1" ht="93.75" hidden="1" customHeight="1">
      <c r="A54" s="214">
        <v>1</v>
      </c>
      <c r="B54" s="243" t="s">
        <v>170</v>
      </c>
      <c r="C54" s="209" t="s">
        <v>940</v>
      </c>
      <c r="D54" s="264">
        <v>5584870</v>
      </c>
      <c r="E54" s="265" t="s">
        <v>21</v>
      </c>
      <c r="F54" s="253"/>
      <c r="G54" s="253"/>
      <c r="H54" s="243"/>
      <c r="I54" s="253"/>
      <c r="J54" s="253"/>
      <c r="K54" s="253"/>
      <c r="L54" s="253"/>
      <c r="M54" s="253"/>
      <c r="N54" s="243"/>
      <c r="O54" s="243"/>
      <c r="P54" s="243"/>
      <c r="Q54" s="11"/>
      <c r="R54" s="243"/>
      <c r="S54" s="11"/>
      <c r="T54" s="11"/>
      <c r="U54" s="209"/>
      <c r="V54" s="245"/>
      <c r="W54" s="209"/>
      <c r="X54" s="248"/>
      <c r="Y54" s="243"/>
      <c r="Z54" s="242" t="s">
        <v>668</v>
      </c>
      <c r="AA54" s="243"/>
      <c r="AB54" s="243"/>
    </row>
    <row r="55" spans="1:28" s="227" customFormat="1" ht="93.75" hidden="1" customHeight="1">
      <c r="A55" s="214">
        <v>1</v>
      </c>
      <c r="B55" s="243" t="s">
        <v>170</v>
      </c>
      <c r="C55" s="264" t="s">
        <v>941</v>
      </c>
      <c r="D55" s="264">
        <v>6769130</v>
      </c>
      <c r="E55" s="265" t="s">
        <v>21</v>
      </c>
      <c r="F55" s="253"/>
      <c r="G55" s="253"/>
      <c r="H55" s="243"/>
      <c r="I55" s="253"/>
      <c r="J55" s="253"/>
      <c r="K55" s="253"/>
      <c r="L55" s="253"/>
      <c r="M55" s="253"/>
      <c r="N55" s="243"/>
      <c r="O55" s="243"/>
      <c r="P55" s="243"/>
      <c r="Q55" s="11"/>
      <c r="R55" s="243"/>
      <c r="S55" s="11"/>
      <c r="T55" s="11"/>
      <c r="U55" s="209"/>
      <c r="V55" s="245"/>
      <c r="W55" s="209"/>
      <c r="X55" s="248"/>
      <c r="Y55" s="243"/>
      <c r="Z55" s="242" t="s">
        <v>668</v>
      </c>
      <c r="AA55" s="243"/>
      <c r="AB55" s="243"/>
    </row>
    <row r="56" spans="1:28" s="227" customFormat="1" ht="93.75" hidden="1" customHeight="1">
      <c r="A56" s="298">
        <v>1</v>
      </c>
      <c r="B56" s="302" t="s">
        <v>170</v>
      </c>
      <c r="C56" s="303" t="s">
        <v>942</v>
      </c>
      <c r="D56" s="304">
        <v>6943719</v>
      </c>
      <c r="E56" s="305">
        <v>2</v>
      </c>
      <c r="F56" s="306"/>
      <c r="G56" s="306"/>
      <c r="H56" s="302"/>
      <c r="I56" s="306"/>
      <c r="J56" s="306"/>
      <c r="K56" s="306"/>
      <c r="L56" s="306"/>
      <c r="M56" s="306"/>
      <c r="N56" s="302"/>
      <c r="O56" s="302"/>
      <c r="P56" s="302"/>
      <c r="Q56" s="11"/>
      <c r="R56" s="302"/>
      <c r="S56" s="11"/>
      <c r="T56" s="11"/>
      <c r="U56" s="307"/>
      <c r="V56" s="308"/>
      <c r="W56" s="307"/>
      <c r="X56" s="309"/>
      <c r="Y56" s="302"/>
      <c r="Z56" s="310" t="s">
        <v>668</v>
      </c>
      <c r="AA56" s="302"/>
      <c r="AB56" s="302"/>
    </row>
    <row r="57" spans="1:28" ht="93.75" customHeight="1">
      <c r="A57" s="291"/>
      <c r="B57" s="292" t="s">
        <v>170</v>
      </c>
      <c r="C57" s="209" t="s">
        <v>897</v>
      </c>
      <c r="D57" s="202">
        <v>6839819</v>
      </c>
      <c r="E57" s="202">
        <v>3</v>
      </c>
      <c r="F57" s="293">
        <v>73</v>
      </c>
      <c r="G57" s="293" t="s">
        <v>22</v>
      </c>
      <c r="H57" s="292" t="s">
        <v>156</v>
      </c>
      <c r="I57" s="293">
        <v>2025</v>
      </c>
      <c r="J57" s="293" t="s">
        <v>41</v>
      </c>
      <c r="K57" s="293" t="s">
        <v>161</v>
      </c>
      <c r="L57" s="293" t="s">
        <v>51</v>
      </c>
      <c r="M57" s="293" t="s">
        <v>943</v>
      </c>
      <c r="N57" s="292" t="s">
        <v>547</v>
      </c>
      <c r="O57" s="241" t="s">
        <v>36</v>
      </c>
      <c r="P57" s="241" t="s">
        <v>28</v>
      </c>
      <c r="R57" s="292" t="s">
        <v>944</v>
      </c>
      <c r="U57" s="294">
        <v>46048</v>
      </c>
      <c r="V57" s="294">
        <v>46138</v>
      </c>
      <c r="W57" s="246">
        <f ca="1">V57-TODAY()</f>
        <v>53</v>
      </c>
      <c r="X57" s="290" t="str">
        <f t="shared" ref="X57" ca="1" si="2">IF(W57&gt;=25,"Vigente",IF(AND(W57&gt;=1,W57&lt;=25),"Por Vencer","Vencido"))</f>
        <v>Vigente</v>
      </c>
      <c r="Y57" s="292"/>
      <c r="Z57" s="242" t="s">
        <v>945</v>
      </c>
      <c r="AA57" s="292"/>
      <c r="AB57" s="292" t="s">
        <v>749</v>
      </c>
    </row>
    <row r="58" spans="1:28" ht="93.75" customHeight="1">
      <c r="A58" s="169"/>
    </row>
  </sheetData>
  <autoFilter ref="A3:AB56" xr:uid="{00000000-0001-0000-0200-000000000000}">
    <filterColumn colId="27">
      <filters>
        <filter val="CITAAR!!"/>
        <filter val="CITAR"/>
        <filter val="CITAR A CONTROL"/>
        <filter val="citar control"/>
        <filter val="CITAR URGENTE"/>
      </filters>
    </filterColumn>
  </autoFilter>
  <sortState xmlns:xlrd2="http://schemas.microsoft.com/office/spreadsheetml/2017/richdata2" ref="A4:AA33">
    <sortCondition ref="C3:C33"/>
  </sortState>
  <mergeCells count="2">
    <mergeCell ref="A1:Z2"/>
    <mergeCell ref="AA1:AA2"/>
  </mergeCells>
  <conditionalFormatting sqref="C34">
    <cfRule type="duplicateValues" dxfId="2" priority="2"/>
  </conditionalFormatting>
  <conditionalFormatting sqref="D13">
    <cfRule type="duplicateValues" dxfId="1" priority="2361"/>
  </conditionalFormatting>
  <conditionalFormatting sqref="D34">
    <cfRule type="duplicateValues" dxfId="0" priority="1"/>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G3"/>
  <sheetViews>
    <sheetView workbookViewId="0">
      <selection activeCell="A3" sqref="A3:B3"/>
    </sheetView>
  </sheetViews>
  <sheetFormatPr defaultColWidth="11" defaultRowHeight="15"/>
  <cols>
    <col min="3" max="3" width="34.875" customWidth="1"/>
    <col min="4" max="4" width="29" customWidth="1"/>
    <col min="5" max="5" width="16.125" customWidth="1"/>
    <col min="6" max="6" width="18.75" customWidth="1"/>
    <col min="7" max="7" width="33.625" customWidth="1"/>
    <col min="16" max="16" width="46.625" customWidth="1"/>
  </cols>
  <sheetData>
    <row r="2" spans="1:7">
      <c r="A2" s="1" t="s">
        <v>946</v>
      </c>
      <c r="B2" s="1" t="s">
        <v>5</v>
      </c>
      <c r="C2" s="1" t="s">
        <v>947</v>
      </c>
      <c r="D2" s="1" t="s">
        <v>948</v>
      </c>
      <c r="E2" s="1" t="s">
        <v>949</v>
      </c>
      <c r="F2" s="1" t="s">
        <v>950</v>
      </c>
      <c r="G2" s="1" t="s">
        <v>951</v>
      </c>
    </row>
    <row r="3" spans="1:7" ht="30">
      <c r="A3" s="3">
        <v>5219482</v>
      </c>
      <c r="B3" s="3">
        <v>2</v>
      </c>
      <c r="C3" s="3" t="s">
        <v>952</v>
      </c>
      <c r="D3" s="4" t="s">
        <v>953</v>
      </c>
      <c r="E3" s="3" t="s">
        <v>954</v>
      </c>
      <c r="F3" s="3" t="s">
        <v>955</v>
      </c>
      <c r="G3" s="5" t="s">
        <v>956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FDD69-D312-4DB4-8472-DAC0FAD17299}">
  <dimension ref="A1:J27"/>
  <sheetViews>
    <sheetView workbookViewId="0">
      <selection activeCell="J10" sqref="J10:J11"/>
    </sheetView>
  </sheetViews>
  <sheetFormatPr defaultRowHeight="13.5"/>
  <cols>
    <col min="2" max="2" width="3.875" customWidth="1"/>
    <col min="3" max="3" width="19" style="36" customWidth="1"/>
    <col min="4" max="4" width="10" customWidth="1"/>
    <col min="5" max="5" width="12.5" customWidth="1"/>
    <col min="6" max="6" width="12.625" style="36" customWidth="1"/>
    <col min="8" max="8" width="17.625" customWidth="1"/>
    <col min="9" max="9" width="21.25" customWidth="1"/>
  </cols>
  <sheetData>
    <row r="1" spans="1:10" ht="30.75">
      <c r="A1" s="181" t="s">
        <v>957</v>
      </c>
      <c r="B1" s="181" t="s">
        <v>5</v>
      </c>
      <c r="C1" s="187" t="s">
        <v>958</v>
      </c>
      <c r="D1" s="181" t="s">
        <v>959</v>
      </c>
      <c r="E1" s="181" t="s">
        <v>960</v>
      </c>
      <c r="F1" s="187" t="s">
        <v>961</v>
      </c>
      <c r="G1" s="181" t="s">
        <v>962</v>
      </c>
      <c r="H1" s="182" t="s">
        <v>963</v>
      </c>
      <c r="I1" s="183" t="s">
        <v>964</v>
      </c>
      <c r="J1" s="184" t="s">
        <v>965</v>
      </c>
    </row>
    <row r="2" spans="1:10" ht="72" customHeight="1">
      <c r="A2" s="173">
        <v>5340265</v>
      </c>
      <c r="B2" s="173">
        <v>8</v>
      </c>
      <c r="C2" s="175" t="s">
        <v>966</v>
      </c>
      <c r="D2" s="174">
        <v>45770</v>
      </c>
      <c r="E2" s="174">
        <v>45831</v>
      </c>
      <c r="F2" s="175" t="s">
        <v>954</v>
      </c>
      <c r="G2" s="173" t="s">
        <v>967</v>
      </c>
      <c r="H2" s="175" t="s">
        <v>968</v>
      </c>
      <c r="I2" s="175" t="s">
        <v>969</v>
      </c>
      <c r="J2" s="173" t="s">
        <v>970</v>
      </c>
    </row>
    <row r="3" spans="1:10" ht="52.5" customHeight="1">
      <c r="A3" s="173">
        <v>7337815</v>
      </c>
      <c r="B3" s="173" t="s">
        <v>21</v>
      </c>
      <c r="C3" s="175" t="s">
        <v>971</v>
      </c>
      <c r="D3" s="174">
        <v>45818</v>
      </c>
      <c r="E3" s="174">
        <v>45880</v>
      </c>
      <c r="F3" s="175" t="s">
        <v>954</v>
      </c>
      <c r="G3" s="173" t="s">
        <v>967</v>
      </c>
      <c r="H3" s="176" t="s">
        <v>972</v>
      </c>
      <c r="I3" s="173" t="s">
        <v>910</v>
      </c>
      <c r="J3" s="173" t="s">
        <v>970</v>
      </c>
    </row>
    <row r="4" spans="1:10" ht="47.25" customHeight="1">
      <c r="A4" s="173">
        <v>14371447</v>
      </c>
      <c r="B4" s="173">
        <v>0</v>
      </c>
      <c r="C4" s="175" t="s">
        <v>973</v>
      </c>
      <c r="D4" s="174">
        <v>45843</v>
      </c>
      <c r="E4" s="174">
        <v>45903</v>
      </c>
      <c r="F4" s="175" t="s">
        <v>954</v>
      </c>
      <c r="G4" s="173" t="s">
        <v>967</v>
      </c>
      <c r="H4" s="176" t="s">
        <v>974</v>
      </c>
      <c r="I4" s="173" t="s">
        <v>975</v>
      </c>
      <c r="J4" s="173" t="s">
        <v>970</v>
      </c>
    </row>
    <row r="5" spans="1:10" ht="47.25" customHeight="1">
      <c r="A5" s="173">
        <v>11376411</v>
      </c>
      <c r="B5" s="173">
        <v>2</v>
      </c>
      <c r="C5" s="175" t="s">
        <v>976</v>
      </c>
      <c r="D5" s="174">
        <v>45848</v>
      </c>
      <c r="E5" s="174">
        <v>45908</v>
      </c>
      <c r="F5" s="175" t="s">
        <v>954</v>
      </c>
      <c r="G5" s="173" t="s">
        <v>967</v>
      </c>
      <c r="H5" s="176" t="s">
        <v>974</v>
      </c>
      <c r="I5" s="173" t="s">
        <v>970</v>
      </c>
      <c r="J5" s="173" t="s">
        <v>970</v>
      </c>
    </row>
    <row r="6" spans="1:10" ht="30.75">
      <c r="A6" s="173">
        <v>7869759</v>
      </c>
      <c r="B6" s="173">
        <v>8</v>
      </c>
      <c r="C6" s="175" t="s">
        <v>977</v>
      </c>
      <c r="D6" s="174">
        <v>45847</v>
      </c>
      <c r="E6" s="174">
        <v>45908</v>
      </c>
      <c r="F6" s="175" t="s">
        <v>954</v>
      </c>
      <c r="G6" s="173" t="s">
        <v>967</v>
      </c>
      <c r="H6" s="176" t="s">
        <v>978</v>
      </c>
      <c r="I6" s="173" t="s">
        <v>979</v>
      </c>
      <c r="J6" s="173" t="s">
        <v>970</v>
      </c>
    </row>
    <row r="7" spans="1:10" ht="30.75">
      <c r="A7" s="173">
        <v>12572140</v>
      </c>
      <c r="B7" s="173">
        <v>0</v>
      </c>
      <c r="C7" s="175" t="s">
        <v>980</v>
      </c>
      <c r="D7" s="174">
        <v>45894</v>
      </c>
      <c r="E7" s="174">
        <v>45954</v>
      </c>
      <c r="F7" s="175" t="s">
        <v>954</v>
      </c>
      <c r="G7" s="173" t="s">
        <v>967</v>
      </c>
      <c r="H7" s="176" t="s">
        <v>981</v>
      </c>
      <c r="I7" s="173" t="s">
        <v>910</v>
      </c>
      <c r="J7" s="173" t="s">
        <v>970</v>
      </c>
    </row>
    <row r="8" spans="1:10" ht="42.75" customHeight="1">
      <c r="A8" s="173">
        <v>11422562</v>
      </c>
      <c r="B8" s="173">
        <v>2</v>
      </c>
      <c r="C8" s="175" t="s">
        <v>982</v>
      </c>
      <c r="D8" s="174">
        <v>45904</v>
      </c>
      <c r="E8" s="174">
        <v>45964</v>
      </c>
      <c r="F8" s="175" t="s">
        <v>954</v>
      </c>
      <c r="G8" s="173" t="s">
        <v>967</v>
      </c>
      <c r="H8" s="176" t="s">
        <v>974</v>
      </c>
      <c r="I8" s="175" t="s">
        <v>983</v>
      </c>
      <c r="J8" s="173" t="s">
        <v>970</v>
      </c>
    </row>
    <row r="9" spans="1:10" ht="54" customHeight="1">
      <c r="A9" s="173">
        <v>9710830</v>
      </c>
      <c r="B9" s="173">
        <v>7</v>
      </c>
      <c r="C9" s="175" t="s">
        <v>984</v>
      </c>
      <c r="D9" s="174">
        <v>45902</v>
      </c>
      <c r="E9" s="174">
        <v>45964</v>
      </c>
      <c r="F9" s="175" t="s">
        <v>954</v>
      </c>
      <c r="G9" s="173" t="s">
        <v>967</v>
      </c>
      <c r="H9" s="176" t="s">
        <v>985</v>
      </c>
      <c r="I9" s="173" t="s">
        <v>704</v>
      </c>
      <c r="J9" s="173" t="s">
        <v>970</v>
      </c>
    </row>
    <row r="10" spans="1:10" ht="84.75" customHeight="1">
      <c r="A10" s="173">
        <v>9055604</v>
      </c>
      <c r="B10" s="173">
        <v>5</v>
      </c>
      <c r="C10" s="175" t="s">
        <v>986</v>
      </c>
      <c r="D10" s="174">
        <v>45903</v>
      </c>
      <c r="E10" s="174">
        <v>45964</v>
      </c>
      <c r="F10" s="175" t="s">
        <v>954</v>
      </c>
      <c r="G10" s="173" t="s">
        <v>967</v>
      </c>
      <c r="H10" s="176" t="s">
        <v>987</v>
      </c>
      <c r="I10" s="173" t="s">
        <v>970</v>
      </c>
      <c r="J10" s="173" t="s">
        <v>970</v>
      </c>
    </row>
    <row r="11" spans="1:10" ht="45.75">
      <c r="A11" s="173">
        <v>7348674</v>
      </c>
      <c r="B11" s="173">
        <v>2</v>
      </c>
      <c r="C11" s="175" t="s">
        <v>988</v>
      </c>
      <c r="D11" s="174">
        <v>45930</v>
      </c>
      <c r="E11" s="174">
        <v>45992</v>
      </c>
      <c r="F11" s="175" t="s">
        <v>954</v>
      </c>
      <c r="G11" s="173" t="s">
        <v>967</v>
      </c>
      <c r="H11" s="176" t="s">
        <v>989</v>
      </c>
      <c r="I11" s="173" t="s">
        <v>970</v>
      </c>
      <c r="J11" s="173" t="s">
        <v>970</v>
      </c>
    </row>
    <row r="12" spans="1:10" ht="76.5">
      <c r="A12" s="173">
        <v>9321117</v>
      </c>
      <c r="B12" s="173">
        <v>0</v>
      </c>
      <c r="C12" s="175" t="s">
        <v>990</v>
      </c>
      <c r="D12" s="174">
        <v>45936</v>
      </c>
      <c r="E12" s="174">
        <v>45996</v>
      </c>
      <c r="F12" s="175" t="s">
        <v>954</v>
      </c>
      <c r="G12" s="173" t="s">
        <v>967</v>
      </c>
      <c r="H12" s="176" t="s">
        <v>974</v>
      </c>
      <c r="I12" s="173" t="s">
        <v>970</v>
      </c>
      <c r="J12" s="173" t="s">
        <v>970</v>
      </c>
    </row>
    <row r="13" spans="1:10" ht="30.75">
      <c r="A13" s="173">
        <v>8074880</v>
      </c>
      <c r="B13" s="173">
        <v>9</v>
      </c>
      <c r="C13" s="175" t="s">
        <v>991</v>
      </c>
      <c r="D13" s="174">
        <v>45965</v>
      </c>
      <c r="E13" s="174">
        <v>46027</v>
      </c>
      <c r="F13" s="175" t="s">
        <v>954</v>
      </c>
      <c r="G13" s="173" t="s">
        <v>967</v>
      </c>
      <c r="H13" s="176" t="s">
        <v>992</v>
      </c>
      <c r="I13" s="173" t="s">
        <v>970</v>
      </c>
      <c r="J13" s="173" t="s">
        <v>970</v>
      </c>
    </row>
    <row r="14" spans="1:10" ht="91.5">
      <c r="A14" s="173">
        <v>6234064</v>
      </c>
      <c r="B14" s="173">
        <v>9</v>
      </c>
      <c r="C14" s="175" t="s">
        <v>993</v>
      </c>
      <c r="D14" s="174">
        <v>45973</v>
      </c>
      <c r="E14" s="174">
        <v>46034</v>
      </c>
      <c r="F14" s="175" t="s">
        <v>954</v>
      </c>
      <c r="G14" s="173" t="s">
        <v>967</v>
      </c>
      <c r="H14" s="176" t="s">
        <v>994</v>
      </c>
      <c r="I14" s="173" t="s">
        <v>995</v>
      </c>
      <c r="J14" s="173" t="s">
        <v>970</v>
      </c>
    </row>
    <row r="15" spans="1:10" ht="30.75">
      <c r="A15" s="173">
        <v>5832822</v>
      </c>
      <c r="B15" s="173">
        <v>7</v>
      </c>
      <c r="C15" s="175" t="s">
        <v>996</v>
      </c>
      <c r="D15" s="174">
        <v>45979</v>
      </c>
      <c r="E15" s="174">
        <v>46041</v>
      </c>
      <c r="F15" s="175" t="s">
        <v>954</v>
      </c>
      <c r="G15" s="173" t="s">
        <v>967</v>
      </c>
      <c r="H15" s="176" t="s">
        <v>997</v>
      </c>
      <c r="I15" s="173" t="s">
        <v>970</v>
      </c>
      <c r="J15" s="173" t="s">
        <v>970</v>
      </c>
    </row>
    <row r="16" spans="1:10" ht="60.75">
      <c r="A16" s="173">
        <v>10854706</v>
      </c>
      <c r="B16" s="173">
        <v>5</v>
      </c>
      <c r="C16" s="175" t="s">
        <v>998</v>
      </c>
      <c r="D16" s="174">
        <v>45985</v>
      </c>
      <c r="E16" s="174">
        <v>46045</v>
      </c>
      <c r="F16" s="175" t="s">
        <v>954</v>
      </c>
      <c r="G16" s="173" t="s">
        <v>967</v>
      </c>
      <c r="H16" s="176" t="s">
        <v>999</v>
      </c>
      <c r="I16" s="173" t="s">
        <v>1000</v>
      </c>
      <c r="J16" s="173" t="s">
        <v>970</v>
      </c>
    </row>
    <row r="17" spans="1:10" ht="45.75">
      <c r="A17" s="173">
        <v>10213267</v>
      </c>
      <c r="B17" s="173" t="s">
        <v>21</v>
      </c>
      <c r="C17" s="175" t="s">
        <v>1001</v>
      </c>
      <c r="D17" s="174">
        <v>46004</v>
      </c>
      <c r="E17" s="174">
        <v>46064</v>
      </c>
      <c r="F17" s="175" t="s">
        <v>954</v>
      </c>
      <c r="G17" s="173" t="s">
        <v>1002</v>
      </c>
      <c r="H17" s="176" t="s">
        <v>1003</v>
      </c>
      <c r="I17" s="173" t="s">
        <v>970</v>
      </c>
      <c r="J17" s="173" t="s">
        <v>970</v>
      </c>
    </row>
    <row r="18" spans="1:10" ht="30.75">
      <c r="A18" s="198">
        <v>6630979</v>
      </c>
      <c r="B18" s="199">
        <v>7</v>
      </c>
      <c r="C18" s="200" t="s">
        <v>1004</v>
      </c>
      <c r="D18" s="201">
        <v>45945</v>
      </c>
      <c r="E18" s="201">
        <v>46006</v>
      </c>
      <c r="F18" s="202" t="s">
        <v>1002</v>
      </c>
      <c r="G18" s="202" t="s">
        <v>954</v>
      </c>
      <c r="H18" s="203" t="s">
        <v>1005</v>
      </c>
      <c r="I18" s="203" t="s">
        <v>1006</v>
      </c>
    </row>
    <row r="19" spans="1:10" ht="60.75">
      <c r="A19" s="173">
        <v>17113979</v>
      </c>
      <c r="B19" s="173">
        <v>1</v>
      </c>
      <c r="C19" s="175" t="s">
        <v>1007</v>
      </c>
      <c r="D19" s="174">
        <v>46007</v>
      </c>
      <c r="E19" s="174">
        <v>46069</v>
      </c>
      <c r="F19" s="175" t="s">
        <v>954</v>
      </c>
      <c r="G19" s="173" t="s">
        <v>1002</v>
      </c>
      <c r="H19" s="176" t="s">
        <v>1008</v>
      </c>
      <c r="I19" s="173" t="s">
        <v>970</v>
      </c>
      <c r="J19" s="173" t="s">
        <v>970</v>
      </c>
    </row>
    <row r="20" spans="1:10" ht="60.75">
      <c r="A20" s="173">
        <v>4697735</v>
      </c>
      <c r="B20" s="173">
        <v>1</v>
      </c>
      <c r="C20" s="175" t="s">
        <v>1009</v>
      </c>
      <c r="D20" s="174">
        <v>46009</v>
      </c>
      <c r="E20" s="174">
        <v>46069</v>
      </c>
      <c r="F20" s="175" t="s">
        <v>954</v>
      </c>
      <c r="G20" s="173" t="s">
        <v>1002</v>
      </c>
      <c r="H20" s="176" t="s">
        <v>1008</v>
      </c>
      <c r="I20" s="173" t="s">
        <v>970</v>
      </c>
      <c r="J20" s="173" t="s">
        <v>970</v>
      </c>
    </row>
    <row r="21" spans="1:10" ht="91.5">
      <c r="A21" s="173">
        <v>9065917</v>
      </c>
      <c r="B21" s="173">
        <v>0</v>
      </c>
      <c r="C21" s="175" t="s">
        <v>1010</v>
      </c>
      <c r="D21" s="174">
        <v>46009</v>
      </c>
      <c r="E21" s="174">
        <v>46069</v>
      </c>
      <c r="F21" s="175" t="s">
        <v>954</v>
      </c>
      <c r="G21" s="173" t="s">
        <v>1002</v>
      </c>
      <c r="H21" s="176" t="s">
        <v>1011</v>
      </c>
      <c r="I21" s="186">
        <v>46044</v>
      </c>
      <c r="J21" s="185" t="s">
        <v>294</v>
      </c>
    </row>
    <row r="22" spans="1:10" ht="30.75">
      <c r="A22" s="173">
        <v>6256148</v>
      </c>
      <c r="B22" s="173">
        <v>3</v>
      </c>
      <c r="C22" s="175" t="s">
        <v>1012</v>
      </c>
      <c r="D22" s="174">
        <v>46041</v>
      </c>
      <c r="E22" s="174">
        <v>46086</v>
      </c>
      <c r="F22" s="175" t="s">
        <v>1013</v>
      </c>
      <c r="G22" s="173" t="s">
        <v>1002</v>
      </c>
      <c r="H22" s="176" t="s">
        <v>1014</v>
      </c>
      <c r="I22" s="173" t="s">
        <v>970</v>
      </c>
      <c r="J22" s="173" t="s">
        <v>970</v>
      </c>
    </row>
    <row r="23" spans="1:10" ht="76.5">
      <c r="A23" s="173">
        <v>7963880</v>
      </c>
      <c r="B23" s="173">
        <v>3</v>
      </c>
      <c r="C23" s="175" t="s">
        <v>1015</v>
      </c>
      <c r="D23" s="174">
        <v>46028</v>
      </c>
      <c r="E23" s="174">
        <v>46090</v>
      </c>
      <c r="F23" s="175" t="s">
        <v>954</v>
      </c>
      <c r="G23" s="173" t="s">
        <v>1002</v>
      </c>
      <c r="H23" s="176" t="s">
        <v>1016</v>
      </c>
      <c r="I23" s="173" t="s">
        <v>704</v>
      </c>
      <c r="J23" s="173" t="s">
        <v>970</v>
      </c>
    </row>
    <row r="24" spans="1:10" ht="45.75">
      <c r="A24" s="173">
        <v>9468727</v>
      </c>
      <c r="B24" s="173">
        <v>6</v>
      </c>
      <c r="C24" s="175" t="s">
        <v>1017</v>
      </c>
      <c r="D24" s="174">
        <v>46028</v>
      </c>
      <c r="E24" s="174">
        <v>46090</v>
      </c>
      <c r="F24" s="175" t="s">
        <v>954</v>
      </c>
      <c r="G24" s="173" t="s">
        <v>1002</v>
      </c>
      <c r="H24" s="176" t="s">
        <v>1018</v>
      </c>
      <c r="I24" s="173" t="s">
        <v>970</v>
      </c>
      <c r="J24" s="173" t="s">
        <v>970</v>
      </c>
    </row>
    <row r="25" spans="1:10" ht="76.5">
      <c r="A25" s="173">
        <v>6546529</v>
      </c>
      <c r="B25" s="173">
        <v>9</v>
      </c>
      <c r="C25" s="175" t="s">
        <v>1019</v>
      </c>
      <c r="D25" s="174">
        <v>46034</v>
      </c>
      <c r="E25" s="174">
        <v>46094</v>
      </c>
      <c r="F25" s="175" t="s">
        <v>954</v>
      </c>
      <c r="G25" s="173" t="s">
        <v>1002</v>
      </c>
      <c r="H25" s="176" t="s">
        <v>1016</v>
      </c>
      <c r="I25" s="173" t="s">
        <v>1020</v>
      </c>
      <c r="J25" s="173" t="s">
        <v>970</v>
      </c>
    </row>
    <row r="26" spans="1:10" ht="91.5">
      <c r="A26" s="173">
        <v>9458102</v>
      </c>
      <c r="B26" s="173">
        <v>8</v>
      </c>
      <c r="C26" s="175" t="s">
        <v>1021</v>
      </c>
      <c r="D26" s="174">
        <v>46050</v>
      </c>
      <c r="E26" s="174">
        <v>46111</v>
      </c>
      <c r="F26" s="175" t="s">
        <v>954</v>
      </c>
      <c r="G26" s="173" t="s">
        <v>1002</v>
      </c>
      <c r="H26" s="176" t="s">
        <v>994</v>
      </c>
      <c r="I26" s="173" t="s">
        <v>970</v>
      </c>
      <c r="J26" s="173" t="s">
        <v>970</v>
      </c>
    </row>
    <row r="27" spans="1:10" ht="30.75">
      <c r="A27" s="192">
        <v>6943719</v>
      </c>
      <c r="B27" s="193">
        <v>2</v>
      </c>
      <c r="C27" s="177" t="s">
        <v>1022</v>
      </c>
      <c r="D27" s="194">
        <v>45944</v>
      </c>
      <c r="E27" s="194">
        <v>46006</v>
      </c>
      <c r="F27" s="195" t="s">
        <v>1002</v>
      </c>
      <c r="G27" s="195" t="s">
        <v>954</v>
      </c>
      <c r="H27" s="196" t="s">
        <v>1023</v>
      </c>
      <c r="I27" s="196"/>
      <c r="J27" s="19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28834-3168-4FCC-8254-1FF8F9F8B0A3}">
  <dimension ref="A1:J30"/>
  <sheetViews>
    <sheetView tabSelected="1" topLeftCell="A9" workbookViewId="0">
      <selection activeCell="A24" sqref="A24:B24"/>
    </sheetView>
  </sheetViews>
  <sheetFormatPr defaultRowHeight="13.5"/>
  <cols>
    <col min="2" max="2" width="3.75" style="275" customWidth="1"/>
    <col min="3" max="3" width="20.375" style="36" customWidth="1"/>
    <col min="4" max="4" width="11.75" customWidth="1"/>
    <col min="5" max="5" width="12.75" customWidth="1"/>
    <col min="6" max="6" width="13.125" style="36" customWidth="1"/>
    <col min="8" max="8" width="30" style="36" customWidth="1"/>
    <col min="9" max="9" width="20.125" style="287" customWidth="1"/>
    <col min="10" max="10" width="22.75" customWidth="1"/>
  </cols>
  <sheetData>
    <row r="1" spans="1:10" ht="15">
      <c r="A1" s="279" t="s">
        <v>957</v>
      </c>
      <c r="B1" s="280" t="s">
        <v>5</v>
      </c>
      <c r="C1" s="280" t="s">
        <v>958</v>
      </c>
      <c r="D1" s="280" t="s">
        <v>959</v>
      </c>
      <c r="E1" s="280" t="s">
        <v>960</v>
      </c>
      <c r="F1" s="280" t="s">
        <v>961</v>
      </c>
      <c r="G1" s="280" t="s">
        <v>1024</v>
      </c>
      <c r="H1" s="282" t="s">
        <v>1025</v>
      </c>
      <c r="I1" s="283" t="s">
        <v>1026</v>
      </c>
      <c r="J1" s="281" t="s">
        <v>1027</v>
      </c>
    </row>
    <row r="2" spans="1:10" ht="45.75">
      <c r="A2" s="266">
        <v>5340265</v>
      </c>
      <c r="B2" s="272">
        <v>8</v>
      </c>
      <c r="C2" s="276" t="s">
        <v>966</v>
      </c>
      <c r="D2" s="267">
        <v>45770</v>
      </c>
      <c r="E2" s="267">
        <v>45831</v>
      </c>
      <c r="F2" s="276" t="s">
        <v>954</v>
      </c>
      <c r="G2" s="266" t="s">
        <v>1028</v>
      </c>
      <c r="H2" s="276" t="s">
        <v>1029</v>
      </c>
      <c r="I2" s="284" t="s">
        <v>1030</v>
      </c>
      <c r="J2" s="266" t="s">
        <v>970</v>
      </c>
    </row>
    <row r="3" spans="1:10" ht="30.75">
      <c r="A3" s="268">
        <v>7337815</v>
      </c>
      <c r="B3" s="273" t="s">
        <v>21</v>
      </c>
      <c r="C3" s="277" t="s">
        <v>971</v>
      </c>
      <c r="D3" s="269">
        <v>45818</v>
      </c>
      <c r="E3" s="269">
        <v>45880</v>
      </c>
      <c r="F3" s="277" t="s">
        <v>954</v>
      </c>
      <c r="G3" s="268" t="s">
        <v>1028</v>
      </c>
      <c r="H3" s="277" t="s">
        <v>1031</v>
      </c>
      <c r="I3" s="284" t="s">
        <v>1030</v>
      </c>
      <c r="J3" s="268" t="s">
        <v>970</v>
      </c>
    </row>
    <row r="4" spans="1:10" ht="30.75">
      <c r="A4" s="268">
        <v>14371447</v>
      </c>
      <c r="B4" s="273">
        <v>0</v>
      </c>
      <c r="C4" s="277" t="s">
        <v>973</v>
      </c>
      <c r="D4" s="269">
        <v>45843</v>
      </c>
      <c r="E4" s="269">
        <v>45903</v>
      </c>
      <c r="F4" s="277" t="s">
        <v>954</v>
      </c>
      <c r="G4" s="268" t="s">
        <v>1028</v>
      </c>
      <c r="H4" s="277" t="s">
        <v>1032</v>
      </c>
      <c r="I4" s="284" t="s">
        <v>1030</v>
      </c>
      <c r="J4" s="268" t="s">
        <v>970</v>
      </c>
    </row>
    <row r="5" spans="1:10" ht="60.75">
      <c r="A5" s="268">
        <v>7869759</v>
      </c>
      <c r="B5" s="273">
        <v>8</v>
      </c>
      <c r="C5" s="277" t="s">
        <v>977</v>
      </c>
      <c r="D5" s="269">
        <v>45847</v>
      </c>
      <c r="E5" s="269">
        <v>45908</v>
      </c>
      <c r="F5" s="277" t="s">
        <v>954</v>
      </c>
      <c r="G5" s="268" t="s">
        <v>1028</v>
      </c>
      <c r="H5" s="277" t="s">
        <v>1033</v>
      </c>
      <c r="I5" s="284" t="s">
        <v>1030</v>
      </c>
      <c r="J5" s="268" t="s">
        <v>970</v>
      </c>
    </row>
    <row r="6" spans="1:10" ht="30.75">
      <c r="A6" s="268">
        <v>12572140</v>
      </c>
      <c r="B6" s="273">
        <v>0</v>
      </c>
      <c r="C6" s="277" t="s">
        <v>980</v>
      </c>
      <c r="D6" s="269">
        <v>45894</v>
      </c>
      <c r="E6" s="269">
        <v>45954</v>
      </c>
      <c r="F6" s="277" t="s">
        <v>954</v>
      </c>
      <c r="G6" s="268" t="s">
        <v>1028</v>
      </c>
      <c r="H6" s="277" t="s">
        <v>1034</v>
      </c>
      <c r="I6" s="284" t="s">
        <v>1030</v>
      </c>
      <c r="J6" s="268" t="s">
        <v>970</v>
      </c>
    </row>
    <row r="7" spans="1:10" ht="30.75">
      <c r="A7" s="268">
        <v>11422562</v>
      </c>
      <c r="B7" s="273">
        <v>2</v>
      </c>
      <c r="C7" s="277" t="s">
        <v>982</v>
      </c>
      <c r="D7" s="269">
        <v>45904</v>
      </c>
      <c r="E7" s="269">
        <v>45964</v>
      </c>
      <c r="F7" s="277" t="s">
        <v>954</v>
      </c>
      <c r="G7" s="268" t="s">
        <v>1028</v>
      </c>
      <c r="H7" s="277" t="s">
        <v>1035</v>
      </c>
      <c r="I7" s="285">
        <v>46064</v>
      </c>
      <c r="J7" s="268" t="s">
        <v>970</v>
      </c>
    </row>
    <row r="8" spans="1:10" ht="30.75">
      <c r="A8" s="268">
        <v>9710830</v>
      </c>
      <c r="B8" s="273">
        <v>7</v>
      </c>
      <c r="C8" s="277" t="s">
        <v>984</v>
      </c>
      <c r="D8" s="269">
        <v>45902</v>
      </c>
      <c r="E8" s="269">
        <v>45964</v>
      </c>
      <c r="F8" s="277" t="s">
        <v>954</v>
      </c>
      <c r="G8" s="268" t="s">
        <v>1028</v>
      </c>
      <c r="H8" s="277" t="s">
        <v>1036</v>
      </c>
      <c r="I8" s="284" t="s">
        <v>1030</v>
      </c>
      <c r="J8" s="268" t="s">
        <v>970</v>
      </c>
    </row>
    <row r="9" spans="1:10" ht="30.75">
      <c r="A9" s="268">
        <v>7348674</v>
      </c>
      <c r="B9" s="273">
        <v>2</v>
      </c>
      <c r="C9" s="277" t="s">
        <v>988</v>
      </c>
      <c r="D9" s="269">
        <v>45930</v>
      </c>
      <c r="E9" s="269">
        <v>45992</v>
      </c>
      <c r="F9" s="277" t="s">
        <v>954</v>
      </c>
      <c r="G9" s="268" t="s">
        <v>1028</v>
      </c>
      <c r="H9" s="277" t="s">
        <v>1037</v>
      </c>
      <c r="I9" s="284" t="s">
        <v>1030</v>
      </c>
      <c r="J9" s="268" t="s">
        <v>970</v>
      </c>
    </row>
    <row r="10" spans="1:10" ht="30.75">
      <c r="A10" s="268">
        <v>9321117</v>
      </c>
      <c r="B10" s="273">
        <v>0</v>
      </c>
      <c r="C10" s="277" t="s">
        <v>990</v>
      </c>
      <c r="D10" s="269">
        <v>45936</v>
      </c>
      <c r="E10" s="269">
        <v>45996</v>
      </c>
      <c r="F10" s="277" t="s">
        <v>954</v>
      </c>
      <c r="G10" s="268" t="s">
        <v>1028</v>
      </c>
      <c r="H10" s="277" t="s">
        <v>1032</v>
      </c>
      <c r="I10" s="284" t="s">
        <v>1030</v>
      </c>
      <c r="J10" s="268" t="s">
        <v>970</v>
      </c>
    </row>
    <row r="11" spans="1:10" ht="30.75">
      <c r="A11" s="268">
        <v>8074880</v>
      </c>
      <c r="B11" s="273">
        <v>9</v>
      </c>
      <c r="C11" s="277" t="s">
        <v>991</v>
      </c>
      <c r="D11" s="269">
        <v>45965</v>
      </c>
      <c r="E11" s="269">
        <v>46027</v>
      </c>
      <c r="F11" s="277" t="s">
        <v>954</v>
      </c>
      <c r="G11" s="268" t="s">
        <v>1028</v>
      </c>
      <c r="H11" s="277" t="s">
        <v>1038</v>
      </c>
      <c r="I11" s="285">
        <v>46064</v>
      </c>
      <c r="J11" s="268" t="s">
        <v>970</v>
      </c>
    </row>
    <row r="12" spans="1:10" ht="30.75">
      <c r="A12" s="268">
        <v>6234064</v>
      </c>
      <c r="B12" s="273">
        <v>9</v>
      </c>
      <c r="C12" s="277" t="s">
        <v>993</v>
      </c>
      <c r="D12" s="269">
        <v>45973</v>
      </c>
      <c r="E12" s="269">
        <v>46034</v>
      </c>
      <c r="F12" s="277" t="s">
        <v>954</v>
      </c>
      <c r="G12" s="268" t="s">
        <v>1028</v>
      </c>
      <c r="H12" s="277" t="s">
        <v>1034</v>
      </c>
      <c r="I12" s="284" t="s">
        <v>1030</v>
      </c>
      <c r="J12" s="268" t="s">
        <v>970</v>
      </c>
    </row>
    <row r="13" spans="1:10" ht="30.75">
      <c r="A13" s="268">
        <v>5832822</v>
      </c>
      <c r="B13" s="273">
        <v>7</v>
      </c>
      <c r="C13" s="277" t="s">
        <v>996</v>
      </c>
      <c r="D13" s="269">
        <v>45979</v>
      </c>
      <c r="E13" s="269">
        <v>46041</v>
      </c>
      <c r="F13" s="277" t="s">
        <v>954</v>
      </c>
      <c r="G13" s="268" t="s">
        <v>1028</v>
      </c>
      <c r="H13" s="277" t="s">
        <v>1034</v>
      </c>
      <c r="I13" s="284" t="s">
        <v>1030</v>
      </c>
      <c r="J13" s="268" t="s">
        <v>970</v>
      </c>
    </row>
    <row r="14" spans="1:10" ht="30.75">
      <c r="A14" s="268">
        <v>10854706</v>
      </c>
      <c r="B14" s="273">
        <v>5</v>
      </c>
      <c r="C14" s="277" t="s">
        <v>998</v>
      </c>
      <c r="D14" s="269">
        <v>45985</v>
      </c>
      <c r="E14" s="269">
        <v>46045</v>
      </c>
      <c r="F14" s="277" t="s">
        <v>954</v>
      </c>
      <c r="G14" s="268" t="s">
        <v>1028</v>
      </c>
      <c r="H14" s="277" t="s">
        <v>1039</v>
      </c>
      <c r="I14" s="284" t="s">
        <v>1030</v>
      </c>
      <c r="J14" s="268" t="s">
        <v>970</v>
      </c>
    </row>
    <row r="15" spans="1:10" ht="45.75">
      <c r="A15" s="268">
        <v>11727150</v>
      </c>
      <c r="B15" s="273">
        <v>1</v>
      </c>
      <c r="C15" s="277" t="s">
        <v>1040</v>
      </c>
      <c r="D15" s="269">
        <v>45988</v>
      </c>
      <c r="E15" s="269">
        <v>46048</v>
      </c>
      <c r="F15" s="277" t="s">
        <v>954</v>
      </c>
      <c r="G15" s="268" t="s">
        <v>1028</v>
      </c>
      <c r="H15" s="277" t="s">
        <v>1041</v>
      </c>
      <c r="I15" s="285">
        <v>46367</v>
      </c>
      <c r="J15" s="269">
        <v>46024</v>
      </c>
    </row>
    <row r="16" spans="1:10" ht="30.75">
      <c r="A16" s="268">
        <v>10213267</v>
      </c>
      <c r="B16" s="273" t="s">
        <v>21</v>
      </c>
      <c r="C16" s="277" t="s">
        <v>1001</v>
      </c>
      <c r="D16" s="269">
        <v>46004</v>
      </c>
      <c r="E16" s="269">
        <v>46064</v>
      </c>
      <c r="F16" s="277" t="s">
        <v>954</v>
      </c>
      <c r="G16" s="268" t="s">
        <v>1028</v>
      </c>
      <c r="H16" s="277" t="s">
        <v>1042</v>
      </c>
      <c r="I16" s="284" t="s">
        <v>1030</v>
      </c>
      <c r="J16" s="268" t="s">
        <v>970</v>
      </c>
    </row>
    <row r="17" spans="1:10" ht="30.75">
      <c r="A17" s="268">
        <v>4697735</v>
      </c>
      <c r="B17" s="273">
        <v>1</v>
      </c>
      <c r="C17" s="277" t="s">
        <v>1009</v>
      </c>
      <c r="D17" s="269">
        <v>46009</v>
      </c>
      <c r="E17" s="269">
        <v>46069</v>
      </c>
      <c r="F17" s="277" t="s">
        <v>954</v>
      </c>
      <c r="G17" s="268" t="s">
        <v>1028</v>
      </c>
      <c r="H17" s="277" t="s">
        <v>1043</v>
      </c>
      <c r="I17" s="284" t="s">
        <v>1030</v>
      </c>
      <c r="J17" s="268" t="s">
        <v>970</v>
      </c>
    </row>
    <row r="18" spans="1:10" ht="30.75">
      <c r="A18" s="268">
        <v>17113979</v>
      </c>
      <c r="B18" s="273">
        <v>1</v>
      </c>
      <c r="C18" s="277" t="s">
        <v>1007</v>
      </c>
      <c r="D18" s="269">
        <v>46007</v>
      </c>
      <c r="E18" s="269">
        <v>46069</v>
      </c>
      <c r="F18" s="277" t="s">
        <v>954</v>
      </c>
      <c r="G18" s="268" t="s">
        <v>1028</v>
      </c>
      <c r="H18" s="277" t="s">
        <v>1043</v>
      </c>
      <c r="I18" s="284" t="s">
        <v>1030</v>
      </c>
      <c r="J18" s="268" t="s">
        <v>970</v>
      </c>
    </row>
    <row r="19" spans="1:10" ht="30.75">
      <c r="A19" s="268">
        <v>9065917</v>
      </c>
      <c r="B19" s="273">
        <v>0</v>
      </c>
      <c r="C19" s="277" t="s">
        <v>1010</v>
      </c>
      <c r="D19" s="269">
        <v>46009</v>
      </c>
      <c r="E19" s="269">
        <v>46069</v>
      </c>
      <c r="F19" s="277" t="s">
        <v>954</v>
      </c>
      <c r="G19" s="268" t="s">
        <v>1028</v>
      </c>
      <c r="H19" s="277" t="s">
        <v>1044</v>
      </c>
      <c r="I19" s="285">
        <v>46019</v>
      </c>
      <c r="J19" s="269">
        <v>46066</v>
      </c>
    </row>
    <row r="20" spans="1:10" ht="76.5">
      <c r="A20" s="270">
        <v>6256148</v>
      </c>
      <c r="B20" s="274">
        <v>3</v>
      </c>
      <c r="C20" s="278" t="s">
        <v>1012</v>
      </c>
      <c r="D20" s="271">
        <v>46041</v>
      </c>
      <c r="E20" s="271">
        <v>46086</v>
      </c>
      <c r="F20" s="278" t="s">
        <v>1013</v>
      </c>
      <c r="G20" s="270" t="s">
        <v>926</v>
      </c>
      <c r="H20" s="278" t="s">
        <v>1045</v>
      </c>
      <c r="I20" s="286" t="s">
        <v>1046</v>
      </c>
      <c r="J20" s="270" t="s">
        <v>970</v>
      </c>
    </row>
    <row r="21" spans="1:10" ht="30.75">
      <c r="A21" s="270">
        <v>7963880</v>
      </c>
      <c r="B21" s="274">
        <v>3</v>
      </c>
      <c r="C21" s="278" t="s">
        <v>1015</v>
      </c>
      <c r="D21" s="271">
        <v>46028</v>
      </c>
      <c r="E21" s="271">
        <v>46090</v>
      </c>
      <c r="F21" s="278" t="s">
        <v>954</v>
      </c>
      <c r="G21" s="270" t="s">
        <v>926</v>
      </c>
      <c r="H21" s="278" t="s">
        <v>1042</v>
      </c>
      <c r="I21" s="286" t="s">
        <v>1046</v>
      </c>
      <c r="J21" s="270" t="s">
        <v>970</v>
      </c>
    </row>
    <row r="22" spans="1:10" ht="30.75">
      <c r="A22" s="270">
        <v>9468727</v>
      </c>
      <c r="B22" s="274">
        <v>6</v>
      </c>
      <c r="C22" s="278" t="s">
        <v>1017</v>
      </c>
      <c r="D22" s="271">
        <v>46028</v>
      </c>
      <c r="E22" s="271">
        <v>46090</v>
      </c>
      <c r="F22" s="278" t="s">
        <v>954</v>
      </c>
      <c r="G22" s="270" t="s">
        <v>926</v>
      </c>
      <c r="H22" s="278" t="s">
        <v>1047</v>
      </c>
      <c r="I22" s="286" t="s">
        <v>1046</v>
      </c>
      <c r="J22" s="270" t="s">
        <v>970</v>
      </c>
    </row>
    <row r="23" spans="1:10" ht="30.75">
      <c r="A23" s="270">
        <v>6546529</v>
      </c>
      <c r="B23" s="274">
        <v>9</v>
      </c>
      <c r="C23" s="278" t="s">
        <v>1019</v>
      </c>
      <c r="D23" s="271">
        <v>46034</v>
      </c>
      <c r="E23" s="271">
        <v>46094</v>
      </c>
      <c r="F23" s="278" t="s">
        <v>954</v>
      </c>
      <c r="G23" s="270" t="s">
        <v>926</v>
      </c>
      <c r="H23" s="278" t="s">
        <v>1048</v>
      </c>
      <c r="I23" s="286" t="s">
        <v>1046</v>
      </c>
      <c r="J23" s="270" t="s">
        <v>970</v>
      </c>
    </row>
    <row r="24" spans="1:10" ht="30.75">
      <c r="A24" s="270">
        <v>9458102</v>
      </c>
      <c r="B24" s="274">
        <v>8</v>
      </c>
      <c r="C24" s="278" t="s">
        <v>1021</v>
      </c>
      <c r="D24" s="271">
        <v>46050</v>
      </c>
      <c r="E24" s="271">
        <v>46111</v>
      </c>
      <c r="F24" s="278" t="s">
        <v>954</v>
      </c>
      <c r="G24" s="270" t="s">
        <v>926</v>
      </c>
      <c r="H24" s="278" t="s">
        <v>1042</v>
      </c>
      <c r="I24" s="286" t="s">
        <v>1046</v>
      </c>
      <c r="J24" s="270" t="s">
        <v>970</v>
      </c>
    </row>
    <row r="25" spans="1:10" ht="30.75">
      <c r="A25" s="270">
        <v>41816403</v>
      </c>
      <c r="B25" s="274">
        <v>4</v>
      </c>
      <c r="C25" s="278" t="s">
        <v>1049</v>
      </c>
      <c r="D25" s="271">
        <v>46057</v>
      </c>
      <c r="E25" s="271">
        <v>46118</v>
      </c>
      <c r="F25" s="278" t="s">
        <v>954</v>
      </c>
      <c r="G25" s="270" t="s">
        <v>926</v>
      </c>
      <c r="H25" s="278" t="s">
        <v>1050</v>
      </c>
      <c r="I25" s="286" t="s">
        <v>1046</v>
      </c>
      <c r="J25" s="270" t="s">
        <v>970</v>
      </c>
    </row>
    <row r="26" spans="1:10" ht="30.75">
      <c r="A26" s="270">
        <v>6204259</v>
      </c>
      <c r="B26" s="274">
        <v>1</v>
      </c>
      <c r="C26" s="278" t="s">
        <v>1051</v>
      </c>
      <c r="D26" s="271">
        <v>46056</v>
      </c>
      <c r="E26" s="271">
        <v>46118</v>
      </c>
      <c r="F26" s="278" t="s">
        <v>954</v>
      </c>
      <c r="G26" s="270" t="s">
        <v>926</v>
      </c>
      <c r="H26" s="278" t="s">
        <v>1042</v>
      </c>
      <c r="I26" s="286" t="s">
        <v>1046</v>
      </c>
      <c r="J26" s="270" t="s">
        <v>970</v>
      </c>
    </row>
    <row r="27" spans="1:10" ht="30.75">
      <c r="A27" s="270">
        <v>13748112</v>
      </c>
      <c r="B27" s="274" t="s">
        <v>21</v>
      </c>
      <c r="C27" s="278" t="s">
        <v>1052</v>
      </c>
      <c r="D27" s="271">
        <v>46063</v>
      </c>
      <c r="E27" s="271">
        <v>46125</v>
      </c>
      <c r="F27" s="278" t="s">
        <v>954</v>
      </c>
      <c r="G27" s="270" t="s">
        <v>926</v>
      </c>
      <c r="H27" s="278" t="s">
        <v>1053</v>
      </c>
      <c r="I27" s="286" t="s">
        <v>1046</v>
      </c>
      <c r="J27" s="270" t="s">
        <v>970</v>
      </c>
    </row>
    <row r="28" spans="1:10" ht="30.75">
      <c r="A28" s="270">
        <v>3799882</v>
      </c>
      <c r="B28" s="274">
        <v>6</v>
      </c>
      <c r="C28" s="278" t="s">
        <v>1054</v>
      </c>
      <c r="D28" s="271">
        <v>46064</v>
      </c>
      <c r="E28" s="271">
        <v>46125</v>
      </c>
      <c r="F28" s="278" t="s">
        <v>954</v>
      </c>
      <c r="G28" s="270" t="s">
        <v>926</v>
      </c>
      <c r="H28" s="278" t="s">
        <v>1053</v>
      </c>
      <c r="I28" s="286" t="s">
        <v>1046</v>
      </c>
      <c r="J28" s="270" t="s">
        <v>970</v>
      </c>
    </row>
    <row r="29" spans="1:10" ht="30.75">
      <c r="A29" s="270">
        <v>3584658</v>
      </c>
      <c r="B29" s="274">
        <v>1</v>
      </c>
      <c r="C29" s="278" t="s">
        <v>1055</v>
      </c>
      <c r="D29" s="271">
        <v>46066</v>
      </c>
      <c r="E29" s="271">
        <v>46126</v>
      </c>
      <c r="F29" s="278" t="s">
        <v>954</v>
      </c>
      <c r="G29" s="270" t="s">
        <v>926</v>
      </c>
      <c r="H29" s="278" t="s">
        <v>1053</v>
      </c>
      <c r="I29" s="286" t="s">
        <v>1046</v>
      </c>
      <c r="J29" s="270" t="s">
        <v>970</v>
      </c>
    </row>
    <row r="30" spans="1:10" ht="30.75">
      <c r="A30" s="270">
        <v>6476464</v>
      </c>
      <c r="B30" s="274">
        <v>0</v>
      </c>
      <c r="C30" s="278" t="s">
        <v>1056</v>
      </c>
      <c r="D30" s="271">
        <v>46070</v>
      </c>
      <c r="E30" s="271">
        <v>46132</v>
      </c>
      <c r="F30" s="278" t="s">
        <v>954</v>
      </c>
      <c r="G30" s="270" t="s">
        <v>926</v>
      </c>
      <c r="H30" s="278" t="s">
        <v>1057</v>
      </c>
      <c r="I30" s="286" t="s">
        <v>1046</v>
      </c>
      <c r="J30" s="270" t="s">
        <v>970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210EFA5936878419E10100986B1C7D0" ma:contentTypeVersion="3" ma:contentTypeDescription="Crear nuevo documento." ma:contentTypeScope="" ma:versionID="c10d00a53d274a4f1aeab3b688f7b0c0">
  <xsd:schema xmlns:xsd="http://www.w3.org/2001/XMLSchema" xmlns:xs="http://www.w3.org/2001/XMLSchema" xmlns:p="http://schemas.microsoft.com/office/2006/metadata/properties" xmlns:ns2="4191dd90-de14-45a4-a245-daff2ed1c993" targetNamespace="http://schemas.microsoft.com/office/2006/metadata/properties" ma:root="true" ma:fieldsID="939ad47e925a92e154e14c5d1759de3a" ns2:_="">
    <xsd:import namespace="4191dd90-de14-45a4-a245-daff2ed1c99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91dd90-de14-45a4-a245-daff2ed1c9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4395DA-FB74-4F72-B707-C757C62E68F3}"/>
</file>

<file path=customXml/itemProps2.xml><?xml version="1.0" encoding="utf-8"?>
<ds:datastoreItem xmlns:ds="http://schemas.openxmlformats.org/officeDocument/2006/customXml" ds:itemID="{A094679D-C83C-49D0-8A9F-5FB9ABFBE515}"/>
</file>

<file path=customXml/itemProps3.xml><?xml version="1.0" encoding="utf-8"?>
<ds:datastoreItem xmlns:ds="http://schemas.openxmlformats.org/officeDocument/2006/customXml" ds:itemID="{6FD2987F-A938-4CBC-94AB-C1A824A771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Hospital Provincial Ovalle</dc:creator>
  <cp:keywords/>
  <dc:description/>
  <cp:lastModifiedBy/>
  <cp:revision/>
  <dcterms:created xsi:type="dcterms:W3CDTF">2023-12-05T16:03:00Z</dcterms:created>
  <dcterms:modified xsi:type="dcterms:W3CDTF">2026-03-04T03:40:13Z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3EF299B0C97E454CBF653331E101D7D3_12</vt:lpwstr>
  </property>
  <property fmtid="{D5CDD505-2E9C-101B-9397-08002B2CF9AE}" pid="3" name="KSOProductBuildVer">
    <vt:lpwstr>3082-12.2.0.20782</vt:lpwstr>
  </property>
  <property fmtid="{D5CDD505-2E9C-101B-9397-08002B2CF9AE}" pid="4" name="ContentTypeId">
    <vt:lpwstr>0x010100C210EFA5936878419E10100986B1C7D0</vt:lpwstr>
  </property>
</Properties>
</file>