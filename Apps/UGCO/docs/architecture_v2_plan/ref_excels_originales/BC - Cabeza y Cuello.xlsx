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mc:AlternateContent xmlns:mc="http://schemas.openxmlformats.org/markup-compatibility/2006">
    <mc:Choice Requires="x15">
      <x15ac:absPath xmlns:x15ac="http://schemas.microsoft.com/office/spreadsheetml/2010/11/ac" url="Q:\Gestión de casos Oncologicos\BIENVENIDOS A BAJO CONTROL\ESPECIALIDADES\"/>
    </mc:Choice>
  </mc:AlternateContent>
  <xr:revisionPtr revIDLastSave="0" documentId="8_{925E3DB0-32FC-43A0-9E71-CE848A211E45}" xr6:coauthVersionLast="47" xr6:coauthVersionMax="47" xr10:uidLastSave="{00000000-0000-0000-0000-000000000000}"/>
  <bookViews>
    <workbookView xWindow="-120" yWindow="-120" windowWidth="29040" windowHeight="15720" tabRatio="635" firstSheet="2" activeTab="2" xr2:uid="{00000000-000D-0000-FFFF-FFFF00000000}"/>
  </bookViews>
  <sheets>
    <sheet name="SIMBOLOGIA COLORES EXCEL" sheetId="10" r:id="rId1"/>
    <sheet name="EGRESOS" sheetId="2" r:id="rId2"/>
    <sheet name="BAJO CONTROL " sheetId="19" r:id="rId3"/>
    <sheet name="CITA 30-12" sheetId="21" r:id="rId4"/>
    <sheet name="PEND CITAR CYC" sheetId="20" r:id="rId5"/>
    <sheet name="TOMA BP" sheetId="13" r:id="rId6"/>
    <sheet name="Cx MENOR" sheetId="17" r:id="rId7"/>
    <sheet name="AMPLIACION DE MARGENES" sheetId="18" r:id="rId8"/>
    <sheet name="P) CONTROL OSMAN" sheetId="12" r:id="rId9"/>
    <sheet name="P) CONTROL CYC" sheetId="15" r:id="rId10"/>
    <sheet name="P) ECO" sheetId="11" r:id="rId11"/>
    <sheet name="P) CONTROL OFTALMO" sheetId="16" r:id="rId12"/>
  </sheets>
  <definedNames>
    <definedName name="_xlnm._FilterDatabase" localSheetId="2" hidden="1">'BAJO CONTROL '!$A$4:$AN$200</definedName>
    <definedName name="_xlnm._FilterDatabase" localSheetId="1" hidden="1">EGRESOS!$A$4:$AM$60</definedName>
    <definedName name="_xlnm.Print_Area" localSheetId="2">'BAJO CONTROL '!$A$1:$Z$99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0" i="19" l="1"/>
  <c r="X210" i="19" s="1"/>
  <c r="W209" i="19"/>
  <c r="X209" i="19" s="1"/>
  <c r="W205" i="19"/>
  <c r="X205" i="19" s="1"/>
  <c r="W206" i="19"/>
  <c r="X206" i="19" s="1"/>
  <c r="W207" i="19"/>
  <c r="X207" i="19" s="1"/>
  <c r="W208" i="19"/>
  <c r="X208" i="19" s="1"/>
  <c r="X36" i="19"/>
  <c r="W93" i="2"/>
  <c r="X93" i="2" s="1"/>
  <c r="W92" i="2"/>
  <c r="X92" i="2" s="1"/>
  <c r="W201" i="19"/>
  <c r="X201" i="19" s="1"/>
  <c r="W202" i="19"/>
  <c r="X202" i="19" s="1"/>
  <c r="W203" i="19"/>
  <c r="X203" i="19" s="1"/>
  <c r="W204" i="19"/>
  <c r="X204" i="19" s="1"/>
  <c r="W91" i="2"/>
  <c r="X91" i="2"/>
  <c r="W71" i="19"/>
  <c r="X71" i="19" s="1"/>
  <c r="W85" i="19"/>
  <c r="X85" i="19" s="1"/>
  <c r="W191" i="19"/>
  <c r="X191" i="19" s="1"/>
  <c r="W40" i="19"/>
  <c r="X40" i="19" s="1"/>
  <c r="W90" i="2"/>
  <c r="X90" i="2" s="1"/>
  <c r="W141" i="19"/>
  <c r="X141" i="19" s="1"/>
  <c r="W176" i="19"/>
  <c r="X176" i="19" s="1"/>
  <c r="W137" i="19"/>
  <c r="W63" i="19"/>
  <c r="X63" i="19" s="1"/>
  <c r="W7" i="19"/>
  <c r="X7" i="19" s="1"/>
  <c r="W161" i="19"/>
  <c r="X161" i="19" s="1"/>
  <c r="W156" i="19" l="1"/>
  <c r="X156" i="19" s="1"/>
  <c r="W35" i="19"/>
  <c r="X35" i="19" s="1"/>
  <c r="W86" i="19"/>
  <c r="X86" i="19" s="1"/>
  <c r="W23" i="19"/>
  <c r="X23" i="19" s="1"/>
  <c r="W99" i="19"/>
  <c r="X99" i="19" s="1"/>
  <c r="W12" i="19"/>
  <c r="X12" i="19" s="1"/>
  <c r="W123" i="19"/>
  <c r="X123" i="19" s="1"/>
  <c r="W140" i="19"/>
  <c r="X140" i="19" s="1"/>
  <c r="W126" i="19"/>
  <c r="X126" i="19" s="1"/>
  <c r="W173" i="19"/>
  <c r="X173" i="19" s="1"/>
  <c r="W15" i="19"/>
  <c r="X15" i="19" s="1"/>
  <c r="W83" i="19"/>
  <c r="X83" i="19" s="1"/>
  <c r="W165" i="19"/>
  <c r="X165" i="19" s="1"/>
  <c r="W55" i="19"/>
  <c r="X55" i="19" s="1"/>
  <c r="W160" i="19"/>
  <c r="X160" i="19" s="1"/>
  <c r="W157" i="19"/>
  <c r="X157" i="19" s="1"/>
  <c r="X137" i="19"/>
  <c r="W101" i="19"/>
  <c r="X101" i="19" s="1"/>
  <c r="W104" i="19"/>
  <c r="X104" i="19" s="1"/>
  <c r="W200" i="19"/>
  <c r="X200" i="19" s="1"/>
  <c r="W199" i="19"/>
  <c r="X199" i="19" s="1"/>
  <c r="W198" i="19"/>
  <c r="X198" i="19" s="1"/>
  <c r="W197" i="19"/>
  <c r="X197" i="19" s="1"/>
  <c r="W196" i="19"/>
  <c r="X196" i="19" s="1"/>
  <c r="W195" i="19"/>
  <c r="X195" i="19" s="1"/>
  <c r="W194" i="19"/>
  <c r="X194" i="19" s="1"/>
  <c r="W193" i="19"/>
  <c r="X193" i="19" s="1"/>
  <c r="W192" i="19"/>
  <c r="X192" i="19" s="1"/>
  <c r="W190" i="19"/>
  <c r="X190" i="19" s="1"/>
  <c r="W189" i="19"/>
  <c r="X189" i="19" s="1"/>
  <c r="W187" i="19"/>
  <c r="X187" i="19" s="1"/>
  <c r="W186" i="19"/>
  <c r="X186" i="19" s="1"/>
  <c r="W185" i="19"/>
  <c r="X185" i="19" s="1"/>
  <c r="W184" i="19"/>
  <c r="X184" i="19" s="1"/>
  <c r="W183" i="19"/>
  <c r="X183" i="19" s="1"/>
  <c r="W182" i="19"/>
  <c r="X182" i="19" s="1"/>
  <c r="W181" i="19"/>
  <c r="X181" i="19" s="1"/>
  <c r="W180" i="19"/>
  <c r="X180" i="19" s="1"/>
  <c r="W179" i="19"/>
  <c r="X179" i="19" s="1"/>
  <c r="W178" i="19"/>
  <c r="X178" i="19" s="1"/>
  <c r="W177" i="19"/>
  <c r="X177" i="19" s="1"/>
  <c r="W175" i="19"/>
  <c r="X175" i="19" s="1"/>
  <c r="W174" i="19"/>
  <c r="X174" i="19" s="1"/>
  <c r="W172" i="19"/>
  <c r="X172" i="19" s="1"/>
  <c r="W171" i="19"/>
  <c r="X171" i="19" s="1"/>
  <c r="W170" i="19"/>
  <c r="X170" i="19" s="1"/>
  <c r="W169" i="19"/>
  <c r="X169" i="19" s="1"/>
  <c r="W168" i="19"/>
  <c r="X168" i="19" s="1"/>
  <c r="W167" i="19"/>
  <c r="X167" i="19" s="1"/>
  <c r="W166" i="19"/>
  <c r="X166" i="19" s="1"/>
  <c r="W164" i="19"/>
  <c r="X164" i="19" s="1"/>
  <c r="W163" i="19"/>
  <c r="X163" i="19" s="1"/>
  <c r="W159" i="19"/>
  <c r="X159" i="19" s="1"/>
  <c r="W158" i="19"/>
  <c r="X158" i="19" s="1"/>
  <c r="W155" i="19"/>
  <c r="X155" i="19" s="1"/>
  <c r="W154" i="19"/>
  <c r="X154" i="19" s="1"/>
  <c r="W153" i="19"/>
  <c r="X153" i="19" s="1"/>
  <c r="W152" i="19"/>
  <c r="X152" i="19" s="1"/>
  <c r="W151" i="19"/>
  <c r="X151" i="19" s="1"/>
  <c r="W150" i="19"/>
  <c r="X150" i="19" s="1"/>
  <c r="W149" i="19"/>
  <c r="X149" i="19" s="1"/>
  <c r="W148" i="19"/>
  <c r="X148" i="19" s="1"/>
  <c r="W147" i="19"/>
  <c r="X147" i="19" s="1"/>
  <c r="W146" i="19"/>
  <c r="X146" i="19" s="1"/>
  <c r="W145" i="19"/>
  <c r="X145" i="19" s="1"/>
  <c r="W144" i="19"/>
  <c r="X144" i="19" s="1"/>
  <c r="W143" i="19"/>
  <c r="X143" i="19" s="1"/>
  <c r="W142" i="19"/>
  <c r="X142" i="19" s="1"/>
  <c r="W139" i="19"/>
  <c r="X139" i="19" s="1"/>
  <c r="W138" i="19"/>
  <c r="X138" i="19" s="1"/>
  <c r="W136" i="19"/>
  <c r="X136" i="19" s="1"/>
  <c r="W135" i="19"/>
  <c r="X135" i="19" s="1"/>
  <c r="W134" i="19"/>
  <c r="X134" i="19" s="1"/>
  <c r="W133" i="19"/>
  <c r="X133" i="19" s="1"/>
  <c r="W132" i="19"/>
  <c r="X132" i="19" s="1"/>
  <c r="W131" i="19"/>
  <c r="X131" i="19" s="1"/>
  <c r="W130" i="19"/>
  <c r="X130" i="19" s="1"/>
  <c r="W129" i="19"/>
  <c r="X129" i="19" s="1"/>
  <c r="W128" i="19"/>
  <c r="X128" i="19" s="1"/>
  <c r="W127" i="19"/>
  <c r="X127" i="19" s="1"/>
  <c r="W125" i="19"/>
  <c r="X125" i="19" s="1"/>
  <c r="W124" i="19"/>
  <c r="X124" i="19" s="1"/>
  <c r="W122" i="19"/>
  <c r="X122" i="19" s="1"/>
  <c r="W121" i="19"/>
  <c r="X121" i="19" s="1"/>
  <c r="W120" i="19"/>
  <c r="X120" i="19" s="1"/>
  <c r="W119" i="19"/>
  <c r="X119" i="19" s="1"/>
  <c r="W118" i="19"/>
  <c r="X118" i="19" s="1"/>
  <c r="W117" i="19"/>
  <c r="X117" i="19" s="1"/>
  <c r="W116" i="19"/>
  <c r="X116" i="19" s="1"/>
  <c r="W115" i="19"/>
  <c r="X115" i="19" s="1"/>
  <c r="W114" i="19"/>
  <c r="X114" i="19" s="1"/>
  <c r="W113" i="19"/>
  <c r="X113" i="19" s="1"/>
  <c r="W112" i="19"/>
  <c r="X112" i="19" s="1"/>
  <c r="W111" i="19"/>
  <c r="X111" i="19" s="1"/>
  <c r="W110" i="19"/>
  <c r="X110" i="19" s="1"/>
  <c r="W109" i="19"/>
  <c r="X109" i="19" s="1"/>
  <c r="W108" i="19"/>
  <c r="X108" i="19" s="1"/>
  <c r="W107" i="19"/>
  <c r="X107" i="19" s="1"/>
  <c r="W106" i="19"/>
  <c r="X106" i="19" s="1"/>
  <c r="W105" i="19"/>
  <c r="X105" i="19" s="1"/>
  <c r="W103" i="19"/>
  <c r="X103" i="19" s="1"/>
  <c r="W102" i="19"/>
  <c r="X102" i="19" s="1"/>
  <c r="W100" i="19"/>
  <c r="X100" i="19" s="1"/>
  <c r="W98" i="19"/>
  <c r="X98" i="19" s="1"/>
  <c r="W97" i="19"/>
  <c r="X97" i="19" s="1"/>
  <c r="W96" i="19"/>
  <c r="X96" i="19" s="1"/>
  <c r="W95" i="19"/>
  <c r="X95" i="19" s="1"/>
  <c r="W94" i="19"/>
  <c r="X94" i="19" s="1"/>
  <c r="W93" i="19"/>
  <c r="X93" i="19" s="1"/>
  <c r="W92" i="19"/>
  <c r="X92" i="19" s="1"/>
  <c r="W91" i="19"/>
  <c r="X91" i="19" s="1"/>
  <c r="W90" i="19"/>
  <c r="X90" i="19" s="1"/>
  <c r="W89" i="19"/>
  <c r="X89" i="19" s="1"/>
  <c r="W88" i="19"/>
  <c r="X88" i="19" s="1"/>
  <c r="W87" i="19"/>
  <c r="X87" i="19" s="1"/>
  <c r="W84" i="19"/>
  <c r="X84" i="19" s="1"/>
  <c r="W82" i="19"/>
  <c r="X82" i="19" s="1"/>
  <c r="W81" i="19"/>
  <c r="X81" i="19" s="1"/>
  <c r="W80" i="19"/>
  <c r="X80" i="19" s="1"/>
  <c r="W79" i="19"/>
  <c r="X79" i="19" s="1"/>
  <c r="W78" i="19"/>
  <c r="X78" i="19" s="1"/>
  <c r="W77" i="19"/>
  <c r="X77" i="19" s="1"/>
  <c r="W76" i="19"/>
  <c r="X76" i="19" s="1"/>
  <c r="W75" i="19"/>
  <c r="X75" i="19" s="1"/>
  <c r="W74" i="19"/>
  <c r="X74" i="19" s="1"/>
  <c r="W73" i="19"/>
  <c r="X73" i="19" s="1"/>
  <c r="W70" i="19"/>
  <c r="X70" i="19" s="1"/>
  <c r="W69" i="19"/>
  <c r="X69" i="19" s="1"/>
  <c r="W68" i="19"/>
  <c r="X68" i="19" s="1"/>
  <c r="W67" i="19"/>
  <c r="X67" i="19" s="1"/>
  <c r="W66" i="19"/>
  <c r="X66" i="19" s="1"/>
  <c r="W65" i="19"/>
  <c r="X65" i="19" s="1"/>
  <c r="W64" i="19"/>
  <c r="X64" i="19" s="1"/>
  <c r="W62" i="19"/>
  <c r="X62" i="19" s="1"/>
  <c r="W61" i="19"/>
  <c r="X61" i="19" s="1"/>
  <c r="W60" i="19"/>
  <c r="X60" i="19" s="1"/>
  <c r="W59" i="19"/>
  <c r="X59" i="19" s="1"/>
  <c r="W58" i="19"/>
  <c r="X58" i="19" s="1"/>
  <c r="W57" i="19"/>
  <c r="X57" i="19" s="1"/>
  <c r="W56" i="19"/>
  <c r="X56" i="19" s="1"/>
  <c r="W54" i="19"/>
  <c r="X54" i="19" s="1"/>
  <c r="W53" i="19"/>
  <c r="X53" i="19" s="1"/>
  <c r="W52" i="19"/>
  <c r="X52" i="19" s="1"/>
  <c r="W51" i="19"/>
  <c r="X51" i="19" s="1"/>
  <c r="W50" i="19"/>
  <c r="X50" i="19" s="1"/>
  <c r="W49" i="19"/>
  <c r="X49" i="19" s="1"/>
  <c r="W48" i="19"/>
  <c r="X48" i="19" s="1"/>
  <c r="W47" i="19"/>
  <c r="X47" i="19" s="1"/>
  <c r="W46" i="19"/>
  <c r="X46" i="19" s="1"/>
  <c r="W45" i="19"/>
  <c r="X45" i="19" s="1"/>
  <c r="W44" i="19"/>
  <c r="X44" i="19" s="1"/>
  <c r="W43" i="19"/>
  <c r="X43" i="19" s="1"/>
  <c r="W42" i="19"/>
  <c r="X42" i="19" s="1"/>
  <c r="W41" i="19"/>
  <c r="X41" i="19" s="1"/>
  <c r="W39" i="19"/>
  <c r="X39" i="19" s="1"/>
  <c r="W38" i="19"/>
  <c r="X38" i="19" s="1"/>
  <c r="W37" i="19"/>
  <c r="X37" i="19" s="1"/>
  <c r="W34" i="19"/>
  <c r="X34" i="19" s="1"/>
  <c r="W33" i="19"/>
  <c r="X33" i="19" s="1"/>
  <c r="W32" i="19"/>
  <c r="X32" i="19" s="1"/>
  <c r="W31" i="19"/>
  <c r="X31" i="19" s="1"/>
  <c r="W30" i="19"/>
  <c r="X30" i="19" s="1"/>
  <c r="W29" i="19"/>
  <c r="X29" i="19" s="1"/>
  <c r="W28" i="19"/>
  <c r="X28" i="19" s="1"/>
  <c r="W27" i="19"/>
  <c r="X27" i="19" s="1"/>
  <c r="W26" i="19"/>
  <c r="X26" i="19" s="1"/>
  <c r="W25" i="19"/>
  <c r="X25" i="19" s="1"/>
  <c r="W24" i="19"/>
  <c r="X24" i="19" s="1"/>
  <c r="W22" i="19"/>
  <c r="X22" i="19" s="1"/>
  <c r="W21" i="19"/>
  <c r="X21" i="19" s="1"/>
  <c r="W20" i="19"/>
  <c r="X20" i="19" s="1"/>
  <c r="W19" i="19"/>
  <c r="X19" i="19" s="1"/>
  <c r="W18" i="19"/>
  <c r="X18" i="19" s="1"/>
  <c r="W17" i="19"/>
  <c r="X17" i="19" s="1"/>
  <c r="W16" i="19"/>
  <c r="X16" i="19" s="1"/>
  <c r="W14" i="19"/>
  <c r="X14" i="19" s="1"/>
  <c r="W13" i="19"/>
  <c r="X13" i="19" s="1"/>
  <c r="W11" i="19"/>
  <c r="X11" i="19" s="1"/>
  <c r="W10" i="19"/>
  <c r="X10" i="19" s="1"/>
  <c r="W9" i="19"/>
  <c r="X9" i="19" s="1"/>
  <c r="W8" i="19"/>
  <c r="X8" i="19" s="1"/>
  <c r="W6" i="19"/>
  <c r="X6" i="19" s="1"/>
  <c r="W5" i="19"/>
  <c r="X5" i="19" s="1"/>
  <c r="W89" i="2" l="1"/>
  <c r="X89" i="2" s="1"/>
  <c r="W87" i="2" l="1"/>
  <c r="X87" i="2" s="1"/>
  <c r="W86" i="2"/>
  <c r="X86" i="2" s="1"/>
  <c r="W85" i="2" l="1"/>
  <c r="X85" i="2" s="1"/>
  <c r="W84" i="2"/>
  <c r="X84" i="2" s="1"/>
  <c r="W83" i="2"/>
  <c r="X83" i="2" s="1"/>
  <c r="W82" i="2"/>
  <c r="X82" i="2" s="1"/>
  <c r="W77" i="2"/>
  <c r="X77" i="2" s="1"/>
  <c r="W76" i="2"/>
  <c r="X76" i="2" s="1"/>
  <c r="W75" i="2"/>
  <c r="X75" i="2" s="1"/>
  <c r="W74" i="2" l="1"/>
  <c r="X74" i="2" s="1"/>
  <c r="W73" i="2"/>
  <c r="X73" i="2" s="1"/>
  <c r="W72" i="2" l="1"/>
  <c r="X72" i="2" s="1"/>
  <c r="W71" i="2" l="1"/>
  <c r="X71" i="2" s="1"/>
  <c r="W70" i="2"/>
  <c r="X70" i="2" s="1"/>
  <c r="W68" i="2"/>
  <c r="X68" i="2" s="1"/>
  <c r="W67" i="2"/>
  <c r="X67" i="2" s="1"/>
  <c r="W66" i="2" l="1"/>
  <c r="X66" i="2" s="1"/>
  <c r="W65" i="2" l="1"/>
  <c r="X65" i="2" s="1"/>
  <c r="W63" i="2"/>
  <c r="X63" i="2" s="1"/>
  <c r="W62" i="2" l="1"/>
  <c r="X62" i="2" s="1"/>
  <c r="W61" i="2"/>
  <c r="X61" i="2" s="1"/>
  <c r="W60" i="2" l="1"/>
  <c r="X60" i="2" s="1"/>
  <c r="V58" i="2"/>
  <c r="W58" i="2" s="1"/>
  <c r="V57" i="2"/>
  <c r="W57" i="2" s="1"/>
  <c r="V56" i="2"/>
  <c r="W56" i="2" s="1"/>
  <c r="V55" i="2"/>
  <c r="W55" i="2" s="1"/>
  <c r="V54" i="2"/>
  <c r="W54" i="2" s="1"/>
  <c r="V53" i="2"/>
  <c r="W53" i="2" s="1"/>
  <c r="V52" i="2"/>
  <c r="W52" i="2" s="1"/>
  <c r="V51" i="2"/>
  <c r="W51" i="2" s="1"/>
  <c r="V50" i="2"/>
  <c r="W50" i="2" s="1"/>
  <c r="V49" i="2"/>
  <c r="W49" i="2" s="1"/>
  <c r="V48" i="2"/>
  <c r="W48" i="2" s="1"/>
  <c r="V47" i="2"/>
  <c r="W47" i="2" s="1"/>
  <c r="V46" i="2"/>
  <c r="W46" i="2" s="1"/>
  <c r="V45" i="2"/>
  <c r="W45" i="2" s="1"/>
  <c r="V44" i="2"/>
  <c r="W44" i="2" s="1"/>
  <c r="V43" i="2"/>
  <c r="W43" i="2" s="1"/>
  <c r="V42" i="2"/>
  <c r="W42" i="2" s="1"/>
  <c r="V41" i="2"/>
  <c r="W41" i="2" s="1"/>
  <c r="V40" i="2"/>
  <c r="W40" i="2" s="1"/>
  <c r="V39" i="2"/>
  <c r="W39" i="2" s="1"/>
  <c r="V38" i="2"/>
  <c r="W38" i="2" s="1"/>
  <c r="V37" i="2"/>
  <c r="W37" i="2" s="1"/>
  <c r="V36" i="2"/>
  <c r="W36" i="2" s="1"/>
  <c r="V35" i="2"/>
  <c r="W35" i="2" s="1"/>
  <c r="V34" i="2"/>
  <c r="W34" i="2" s="1"/>
  <c r="V33" i="2"/>
  <c r="W33" i="2" s="1"/>
  <c r="V32" i="2"/>
  <c r="W32" i="2" s="1"/>
  <c r="V31" i="2"/>
  <c r="W31" i="2" s="1"/>
  <c r="V30" i="2"/>
  <c r="W30" i="2" s="1"/>
</calcChain>
</file>

<file path=xl/sharedStrings.xml><?xml version="1.0" encoding="utf-8"?>
<sst xmlns="http://schemas.openxmlformats.org/spreadsheetml/2006/main" count="4400" uniqueCount="1643">
  <si>
    <t>SIMBOLOGIA</t>
  </si>
  <si>
    <t>COLORES</t>
  </si>
  <si>
    <t>AZUL</t>
  </si>
  <si>
    <t>Corresponde presentar a comité oncológico</t>
  </si>
  <si>
    <t>AMARILLO</t>
  </si>
  <si>
    <t>PACIENTE CON RESIDENCIA DE OVALLE</t>
  </si>
  <si>
    <t>ROSADO</t>
  </si>
  <si>
    <t>PACIENTE CON RESIDENCIA DE LA SERENA</t>
  </si>
  <si>
    <t>NARANJA</t>
  </si>
  <si>
    <t>PACIENTE DE ZONAS DEL INTERIOR 4ta REGION</t>
  </si>
  <si>
    <t>VERDE</t>
  </si>
  <si>
    <t>PATOLOGIAS TIROIDES O EN SOSPECHA REUNIONES IMAGENOLOGÍA</t>
  </si>
  <si>
    <t>ROJO</t>
  </si>
  <si>
    <t>USUARIO FALLECIDO</t>
  </si>
  <si>
    <t>CAFÉ CLARO</t>
  </si>
  <si>
    <t>LISTO PARA CITAR.</t>
  </si>
  <si>
    <t xml:space="preserve">AMARILLO CLARO </t>
  </si>
  <si>
    <t>SOLICITUD SET QUIRURGICO</t>
  </si>
  <si>
    <t>GES/NO GES</t>
  </si>
  <si>
    <t xml:space="preserve">Nombre </t>
  </si>
  <si>
    <t xml:space="preserve">RUT </t>
  </si>
  <si>
    <t>DV</t>
  </si>
  <si>
    <t>Edad</t>
  </si>
  <si>
    <t>Comuna</t>
  </si>
  <si>
    <t>Tipo de Cáncer</t>
  </si>
  <si>
    <t>AÑO DG</t>
  </si>
  <si>
    <t>Fecha resultado</t>
  </si>
  <si>
    <t>CPYAD</t>
  </si>
  <si>
    <t>Etapa Clinica</t>
  </si>
  <si>
    <t>Fecha de Comité</t>
  </si>
  <si>
    <t>Indicación de Comité</t>
  </si>
  <si>
    <t>Centro de Derivación</t>
  </si>
  <si>
    <t xml:space="preserve">ESTADO DE CASO </t>
  </si>
  <si>
    <t>CAUSAL</t>
  </si>
  <si>
    <t xml:space="preserve">SEGUIMIENTO ENFERMERIA </t>
  </si>
  <si>
    <t>NO GES</t>
  </si>
  <si>
    <t xml:space="preserve">ALBERTINA DIAZ TAPIA </t>
  </si>
  <si>
    <t xml:space="preserve">evaluada por cyc por nodulo tiroideo bethesda IV </t>
  </si>
  <si>
    <t xml:space="preserve">AMADIEL BRUNA SALAZAR </t>
  </si>
  <si>
    <t>monte patria</t>
  </si>
  <si>
    <t>CARCINOMA BASOCELULAR ALA NASAL IZQ</t>
  </si>
  <si>
    <t>NO</t>
  </si>
  <si>
    <t>SEGUIMIENTO</t>
  </si>
  <si>
    <t>HOV</t>
  </si>
  <si>
    <t>ALTA OCTUBRE 2022</t>
  </si>
  <si>
    <t>BERTA VIDELA TELLO</t>
  </si>
  <si>
    <t>ovalle</t>
  </si>
  <si>
    <t>Carcinoma Basocelular</t>
  </si>
  <si>
    <t>Rechaza atención en HOV por tratarse por extrasistema indica LEM</t>
  </si>
  <si>
    <t xml:space="preserve">custodia rojas rojas </t>
  </si>
  <si>
    <t>K</t>
  </si>
  <si>
    <t>25-9 PENDIENTE PASE CARDIOLÓGICO PARA PAROTIDECTOMÍA SUPERFICIAL. 6-10 Se envia correo para priorizar ic</t>
  </si>
  <si>
    <t xml:space="preserve">HERMINIA JULIO ARAYA </t>
  </si>
  <si>
    <t>TRAGUS IZQUIERDO</t>
  </si>
  <si>
    <t>SI</t>
  </si>
  <si>
    <t xml:space="preserve">ALTA 2023 POR DERMATOLOGIA </t>
  </si>
  <si>
    <t xml:space="preserve">INES ALFARO ROJAS </t>
  </si>
  <si>
    <t>Punitaqui</t>
  </si>
  <si>
    <t>CARCINOMA BASOCELULAR DE NASOGENIANO DER</t>
  </si>
  <si>
    <t>ETAPIFICACIÓN</t>
  </si>
  <si>
    <t xml:space="preserve">PACIENTE RECHAZA ATENCION PARA CONTROL INFORMAN DESDE LISTA DE ESPERA </t>
  </si>
  <si>
    <t>MARÍA ALBERTINA LARA PAREDES</t>
  </si>
  <si>
    <t xml:space="preserve">Cancer de nariz </t>
  </si>
  <si>
    <t xml:space="preserve">RECHAZO ATENCION EN HOV CON CIRUGIA </t>
  </si>
  <si>
    <t xml:space="preserve">MARIA CARMONA </t>
  </si>
  <si>
    <t>NO ONCO</t>
  </si>
  <si>
    <t xml:space="preserve">MARIA CASTILLO PEÑA </t>
  </si>
  <si>
    <t xml:space="preserve">CARCINOMA LABIO SUPERIOR DERECHO </t>
  </si>
  <si>
    <t xml:space="preserve">cirugia en hospital de origen </t>
  </si>
  <si>
    <t xml:space="preserve">PACIENTE RECHAZA INTERVENCIÓN QUIRURGICA Y ATENCIONES DE CUIDADOS PALIATIVOS </t>
  </si>
  <si>
    <t xml:space="preserve">MARIA PINO UGARTE </t>
  </si>
  <si>
    <t>OVALLE</t>
  </si>
  <si>
    <t>PAAF Y ECO TIRO. LISTAS. 10-10-23 la citan por muestra insuficiente</t>
  </si>
  <si>
    <t xml:space="preserve">maria contreras ossandon </t>
  </si>
  <si>
    <t xml:space="preserve">MARIA MOLINA SOLA </t>
  </si>
  <si>
    <t>nodulo tiroideo</t>
  </si>
  <si>
    <t>NELLY SEGOVIA TOLEDO</t>
  </si>
  <si>
    <t>Adenoma Pleomorfo Paroditeo izquierdo</t>
  </si>
  <si>
    <t>AGOSTO -23 DR AZUA SOLICITA PABELLON</t>
  </si>
  <si>
    <t>SARA PEÑA VELÁSQUEZ</t>
  </si>
  <si>
    <t>Carcinoma espinocelular labio</t>
  </si>
  <si>
    <t xml:space="preserve">seguimiento en hospital de origen </t>
  </si>
  <si>
    <t xml:space="preserve">En abril 2023 Dr. Azua indica alta </t>
  </si>
  <si>
    <t xml:space="preserve">SERGIO DUBO VILLEGAS </t>
  </si>
  <si>
    <t>se cita con dr. Ramos martes 10-23</t>
  </si>
  <si>
    <t>SILVIA PIZARRO BÓRQUEZ</t>
  </si>
  <si>
    <t>CARCINOMA BASOCELULAR NODULAR</t>
  </si>
  <si>
    <t>ALTA en abril</t>
  </si>
  <si>
    <t>Sophia Piton</t>
  </si>
  <si>
    <t xml:space="preserve">NIC de alto grado de ojo izquierdo </t>
  </si>
  <si>
    <t xml:space="preserve">USUARIA SE TRASLADO A VIVIR AL SUR </t>
  </si>
  <si>
    <t xml:space="preserve">ULDA GUERRERO </t>
  </si>
  <si>
    <t>941378114-992495365</t>
  </si>
  <si>
    <t xml:space="preserve">HUGO VILLALOBOS VILLALOBOS </t>
  </si>
  <si>
    <t>CARCINOMA CONJUNTIVA TARSAL OJO DERECHO</t>
  </si>
  <si>
    <t>ETAPIFICIACION</t>
  </si>
  <si>
    <t>n/a</t>
  </si>
  <si>
    <t>Seguimiento Enf: Paciente fallecido.</t>
  </si>
  <si>
    <t xml:space="preserve">ESTELA VALDIVIA OSSANDON </t>
  </si>
  <si>
    <t>CARCINOMA DE MERKEL LABIO INFERIOR</t>
  </si>
  <si>
    <t xml:space="preserve">cuidados paliativos exclusivos </t>
  </si>
  <si>
    <t>Seguimiento Enf: Paciente fallecido (29/1/2024)</t>
  </si>
  <si>
    <t>cpe</t>
  </si>
  <si>
    <t xml:space="preserve">MARÍA ELENA LOPEZ LOPEZ </t>
  </si>
  <si>
    <t xml:space="preserve">CARCIONAMA ESPINOCELULAR SUBMANDIBULAR IZQ </t>
  </si>
  <si>
    <t>pendiente</t>
  </si>
  <si>
    <t>DETENIDO</t>
  </si>
  <si>
    <t>HORAS DE CONTROL</t>
  </si>
  <si>
    <t>Seguimiento Enf: Paciente dado de alta por ERCP por Dr.Miranda, tuvo ateciones en 2021 c/dr osman donde se le realiza exeresis.</t>
  </si>
  <si>
    <t>Con resultados</t>
  </si>
  <si>
    <t>BENANCIO ROJAS LAZO</t>
  </si>
  <si>
    <t>CARCINOMA BASOCELULAR PIEL DE LABIO INFERIOR</t>
  </si>
  <si>
    <t>Precisar si recibió tratamiento x Infección descrita. Pte con edo de inmunosupresión y proceso infeccioso de base, corresponde evaluación x Infectología, Determinaciones serológicas treponémicas y no treponémicas. Evaluación x Neurologia, Geriatria, Broncopulmonar y Cardiología. Derivar a Cuidados Paliativos. Precisar si la Bx descrita inguinal del 2021 es derecha o izda (lesión actual es derecha). Precisar adenopatías de cadenas iliacas (consultar a Rayos). Representar.</t>
  </si>
  <si>
    <t>Seguimiento Enf: Paciente Fallecido.</t>
  </si>
  <si>
    <t>CON RESULTADOS</t>
  </si>
  <si>
    <t>ARINDA ROMERO</t>
  </si>
  <si>
    <t>RIO HURTADO</t>
  </si>
  <si>
    <t>Seguimiento Enf: Paciente atendido el 18/4 por dr. Ramos, se evalua eco tiroidea (tirads 2) y exs sangre normales con hormonas tiroideas normales, se da de alta de Cabeza y Cuello</t>
  </si>
  <si>
    <t>ALTA</t>
  </si>
  <si>
    <t>ANA DEL ROSARIO LUAN CORTÉS</t>
  </si>
  <si>
    <t xml:space="preserve">CARCINOMA BASOCELULAR DE FRENTE </t>
  </si>
  <si>
    <t>TRATAMIENTO</t>
  </si>
  <si>
    <t>EN CURSO</t>
  </si>
  <si>
    <t xml:space="preserve">Seguimiento Enf:  El día 25-01-2024 resultado bp: sin signos de malignidad. control 3 meses (Abril/2024). Se agenda con dr. Osman para el 5/4, que indica pabellón, se prioriza cx menor para día 10/4 donde se realiza exeresis y se indica ALTA. </t>
  </si>
  <si>
    <t>CARLOS BADILLA CARVAJAL</t>
  </si>
  <si>
    <t>Ovalle</t>
  </si>
  <si>
    <t>ADENOCARCINOMA SINONASAL SUBTIPO NO INTESTINAL DE ALTO GRADO.</t>
  </si>
  <si>
    <t>SI(CPE)</t>
  </si>
  <si>
    <r>
      <rPr>
        <sz val="11"/>
        <color theme="1"/>
        <rFont val="Calibri"/>
        <family val="2"/>
        <scheme val="minor"/>
      </rPr>
      <t xml:space="preserve">Seguimiento Enf: Paciente se tomo biopsia el 16/4 el cual se informó adenocarcinoma sinonasal subtipo no intestinal de alto grado, en atenciones por otorrinolaringologia, pero acude por aumento dolor por urgencia y le instalan TQT con toma de biopsia y se hospitaliza en MQ3. 10/5 paciente presentado a comité oncologico x Dra. Salcedo, se indica Cuidados paliativos exclusivos, se realiza IPD de ingreso a cuidados paliativos y se entrega a GES, paciente se manteine hospitalizado el 13/5 se le hace entrega de resolución comité oncológico. Paciente se mantiene hospitalizado 22/5, ya recibio atención en CPYAD, egresó de MQ3 el 1/6 </t>
    </r>
    <r>
      <rPr>
        <b/>
        <sz val="11"/>
        <color theme="1"/>
        <rFont val="Calibri"/>
        <family val="2"/>
        <scheme val="minor"/>
      </rPr>
      <t>PACIENTE FALLECIDO</t>
    </r>
  </si>
  <si>
    <t>CPE</t>
  </si>
  <si>
    <t>FLAVIA MALLEGA HIDALGO</t>
  </si>
  <si>
    <t>NODULO DE LOBULO TIROIDEO DERECHO</t>
  </si>
  <si>
    <t>no</t>
  </si>
  <si>
    <t>N/A</t>
  </si>
  <si>
    <t>Seguimiento Enf: Paciente en seguimiento en controles por Dr. Ramos, quien solicito eco cuello en febrero/2024, llega resultado y se cita para 11/4 c/dr. Ramos, se evalua mantener en controles radiologicos, proxima eco cuello junio/2024, pendiente citar con resultado ecocuello. 28/5 se consulta por orden de eco, el 11/4 ingreso a iamgenologia, se consulta a hermana de paciente quien entregara información, se indica que se entrege a modulo no a imagenología. 29/5 me comunica paciente que se fue a vivir a TALCA. se envia correo a gestora de Talca con carpeta antecedentes y se indica a usuaria que se inscriba en cesfam de talca para iniciar atenciones por el hospital. P) SEGUIMIENTO VS EGRESO?</t>
  </si>
  <si>
    <t>PACIENTE SE CAMBIA DE DOMICILIO A TALCA, CONTINUARÁ SUS ATENCIONES POR HOSPITAL DE TALCA, YA SE REALIZÓ NEXO.</t>
  </si>
  <si>
    <t>HOV(dr.ramos)</t>
  </si>
  <si>
    <t>p) seguimiento Julio</t>
  </si>
  <si>
    <t>REV(JUNIO)</t>
  </si>
  <si>
    <t>QUEDE AQUÍ LUKAS pa abajo</t>
  </si>
  <si>
    <t xml:space="preserve">ESTEBAN GONZALEZ ARAYA </t>
  </si>
  <si>
    <t>combarbala</t>
  </si>
  <si>
    <t xml:space="preserve">TU PAROTIDA </t>
  </si>
  <si>
    <t>HORAS CONTROl /RECHAZO DEL PACIENTE</t>
  </si>
  <si>
    <t>Seguimiento Enf: Último control25-09-23 donde no se presenta paciente sino madre, paciente con actitud rebeldía no quiere asistir a controles. Pendiente Seguimiento/agendar para rescate. 17/4 se consulta a madre, quien refiere que Esteban se fue al sur de Chile por su cuenta y que rechaza contactos. p) EGRESO??</t>
  </si>
  <si>
    <t>PACIENTE SE CAMBIÓ DE DOMICILIO A SUR DE CHILE, RECHAZA TODA ATENCIÓN y CONTACTO.</t>
  </si>
  <si>
    <t>HOV (Dr. Ramos)</t>
  </si>
  <si>
    <t>Paciente incontactable en sur Chile.</t>
  </si>
  <si>
    <t>SEGUNDO LEÓN GUTIERREZ</t>
  </si>
  <si>
    <t>LESION MAXILAR (Pend. Biopsia)</t>
  </si>
  <si>
    <t>pend.</t>
  </si>
  <si>
    <t>SOSPECHA/CONFIRMACIÓN</t>
  </si>
  <si>
    <t>27/5 por digestivo bajo // CYC PEND.</t>
  </si>
  <si>
    <t>pend. Comité CyC</t>
  </si>
  <si>
    <r>
      <rPr>
        <sz val="11"/>
        <color theme="1"/>
        <rFont val="Calibri"/>
        <family val="2"/>
        <scheme val="minor"/>
      </rPr>
      <t xml:space="preserve">Seguimiento Enf: 11/6 Tomo conocimiento de caso, paciente presentado a comité digestivo bajo evaluado por Dr. Manuel Rodriguez, paciente cursando con lesión ulcerativa cavitada en región maxilar derecha de 2 cm de diámetro aproximadamente, sobreinfectada, con flogosis perilesional, y secreción purulenta, bordes irregulares, se solicita opinión a Dr. Ramos quien indica que la misma tiene características de lesión neoplásica. 21/6 se cita a paciente para el 25/6 15:30hrs con Dr. Ramos, es evaluado con lesión cicatrizada 90%, con aparente origen infeccioso, se solicita eco de cuello para evaluar. Corresponde citar con resultados. 9/8 se recibe resultado eco cuello informado, se realiza agendamiento para el 13/8 15:30hrs c/Dr. RAMOS, es evaluado, se evalua eco cuello con nodulo involutivo tirads2, se indica mantener atenciones por digestivo y endocrino, </t>
    </r>
    <r>
      <rPr>
        <b/>
        <sz val="11"/>
        <color theme="1"/>
        <rFont val="Calibri"/>
        <family val="2"/>
        <scheme val="minor"/>
      </rPr>
      <t>de ALTA por CyC.</t>
    </r>
  </si>
  <si>
    <t>HOV (DR. RAMOS y DR. M. Rodriguez)</t>
  </si>
  <si>
    <t>DE ALTA POR CYC</t>
  </si>
  <si>
    <t>EVALUADO 13/8, DE ALTA POR CYC</t>
  </si>
  <si>
    <t>REV (AGOSTO)</t>
  </si>
  <si>
    <t>COMGES</t>
  </si>
  <si>
    <t>Maria Castillo Tejada</t>
  </si>
  <si>
    <t xml:space="preserve"> ADENOMA PLEOMORFICO no maligno</t>
  </si>
  <si>
    <t>si</t>
  </si>
  <si>
    <t>PENDiente</t>
  </si>
  <si>
    <t xml:space="preserve">HOV </t>
  </si>
  <si>
    <t>Seguimiento Enf: 17/5 Se realiza gestion de caso, se agenda para cita médica con Dr. Ramos Cx Cabeza y Cuello  para el día 20/5/2024  a las 16:30hrs, para evaluación general de usuaria y comunicación de intervención Qx para 25/5, se comunica a paciente sobre fecha de intervención qx (no tenia conocimiento de fecha). Paciente evaluada el 20/5 la cual se encuentra indecisa y decide rechazar Cx momentaneamente x falta cuidadora. 21/6 se avisa por parte u.preqx que la usuaria se preparará y se operará el 22/6. 18/7 se realiza seguimiento, usuaria tiene citación para 18/7 18:00hrs c/Dr. Ramos, es evaluada, se indica control en 1 semana. fue citada 22/7, es evaluada se indica control en 15 días ( CITAR EN AGOSTO/2024)  y ver resultado de biopsia (informada) (P) citoquimico) 5/8 se realiza agendamiento para el 7/8 15:00hrs., es evaluada, se indica control en 1 mes. 21/8 sin emkbargo por ser negativo para malignidad le corresponden  solicitar controles por admisión y se egresa de bajo control.</t>
  </si>
  <si>
    <t>P) CITAR EN SEPTIEMBRE/2024 c/Dr. RAMOS (x admisión)</t>
  </si>
  <si>
    <t xml:space="preserve">ROBERTO JAIME SOTO </t>
  </si>
  <si>
    <t>CARCINOMA DEL CUERO CABELLUDO Y CUELLO</t>
  </si>
  <si>
    <r>
      <rPr>
        <sz val="11"/>
        <color theme="1"/>
        <rFont val="Calibri"/>
        <family val="2"/>
        <scheme val="minor"/>
      </rPr>
      <t xml:space="preserve">Seguimiento Enf: PENDIENTE CONTROL para seguimiento y evaluación CON DERMATOLOGIA (SIN ANTECIONES DE 2021). 17/5/23 el Dr. Pinto indica toma de ECO renal y pelviana (lista), pendiente evaluar. Se debe citar del 17/4 en adelante. 23/4 se llama a paciente para retomar controles c/Dr. Osman, responde hijo quien confirma asistencia para control 24/5 a las 15:00hrs. </t>
    </r>
    <r>
      <rPr>
        <b/>
        <sz val="11"/>
        <color theme="1"/>
        <rFont val="Calibri"/>
        <family val="2"/>
        <scheme val="minor"/>
      </rPr>
      <t>29/5 se revisa atención, paciente de ALTA.</t>
    </r>
  </si>
  <si>
    <t>HOV (Dr. Osman // Dr. Pinto)</t>
  </si>
  <si>
    <t>DE ALTA</t>
  </si>
  <si>
    <t>Paciente de ALTA x dermatología</t>
  </si>
  <si>
    <t>REV(JULIO)</t>
  </si>
  <si>
    <t>MIRIAM PASTÉN ORREGO</t>
  </si>
  <si>
    <t>MONTE PATRIA</t>
  </si>
  <si>
    <t>CARCINOMA PAPILAR (BETHESDA 5)</t>
  </si>
  <si>
    <t>CONFIRMACIÓN</t>
  </si>
  <si>
    <t>PENDIENTE</t>
  </si>
  <si>
    <t>Seguimiento Enf: 15/7 tomo conocimiento de caso, usuario tuvo atención en Junio/2024 con Dr. Ramos para evaluar eco tiroidea realizada en extrasistema, se palpó nodulo, se solicitan examenes eco tiroidea y toma de PAAF, las cuales se realizan el 26/6. Hoy se recibe resultado de biopsia de PAAF y citoquímico correspondiente. 22/7 se realiza agendamiento para el 23/7  14:00hrs c/dr. Ramos, evaluado se indica IC a endocrino y se solicita eco etapificación, se prioriza IC. P) hora y egresar luego que vea a Dra. Palma (24/7 llega citoquimica de biopsia que descarta neoplasia en tiroides.) se recibe agendamiento c/dra. Palman para el día 29/8 08:30hrs, continuara sus atenciones por endocrino. Se egresa de CYC.</t>
  </si>
  <si>
    <t>HOV (DR. RAMOS)</t>
  </si>
  <si>
    <t>24/7 se prioriza IC a endocrino. P) hora c/dra. Palma el 29/8 08:30hrs</t>
  </si>
  <si>
    <t>ENRIQUE ZAMBRA BARRAZA</t>
  </si>
  <si>
    <t xml:space="preserve">Cancer de labio </t>
  </si>
  <si>
    <t xml:space="preserve">Seguimiento en hospital origen supra ciliar y discutir manejo de dorso mano en comité PB por HOV y representar </t>
  </si>
  <si>
    <t>Seguimiento Enf: Paciente evaluado el 22-2-24 por Dr. Ramos para entrega de resolución, se indica control en 6 meses HOV CyC (Agosto/2024), PACIENTE ACUDE 8/5 CON ORDEN DE HLS DR. PACHECO PARA TOMAR TAC TAP, SE GESTIONA ORDEN EX (CREAT) + ORDEN DE TAC TAP CON ENCUESTA, PENDIENTE CON RESULTADOS DERIVAR A HLS X CORREO PARA ATENCIÓN DR. PACHECO 27/5 se envia correo a HLS y 30/5 se responde que se citará, luego me contacto con gestora HLS catterine, se reconsulta pro citación el 18/6 a ser agendado. P) CITAR EN AGOSTO/2024 / 25/7 se presenta a comité RDT y se decide RDT curativa. se llamara en septiembre para iniciar TTO.. 16/9 se egresa porque caso se ve en PB no en CYC.</t>
  </si>
  <si>
    <t>6 MESES</t>
  </si>
  <si>
    <t>HOV (Dr. ramos) // HLS DR. PACHECO</t>
  </si>
  <si>
    <r>
      <rPr>
        <sz val="11"/>
        <color theme="1"/>
        <rFont val="Calibri"/>
        <family val="2"/>
        <scheme val="minor"/>
      </rPr>
      <t xml:space="preserve">18/6 se citará pcte en HLS.// P) Citar AGOSTO/24 CyC, </t>
    </r>
    <r>
      <rPr>
        <b/>
        <sz val="11"/>
        <color theme="1"/>
        <rFont val="Calibri"/>
        <family val="2"/>
        <scheme val="minor"/>
      </rPr>
      <t>16/9 egresado de CYC, está en PB.</t>
    </r>
  </si>
  <si>
    <t>CARLOS ARAYA OLIVARES</t>
  </si>
  <si>
    <t>CARCINOMA PREAURICULAR DERECHA</t>
  </si>
  <si>
    <t>Seguimiento Enf: Al último control 24/10/23 hda op. Sin signos de recidiva, se estimó control enero/2024 pero sin atenciones. 11/4 se llama a paciente para agendar hora el día 3/5/24 a las 15:00hrs c/Dr. osman, hija confirma asistencia. 27/5 figura sin registro. 12/6 se cita a paciente para el 21/6 15:00hrs c/Dr. Osman, sin embargo no asiste. Se realiza reagendamiento para el día 02/07 08:00hrs, sin embargo tampoco asiste, registra 3 inasistencias a controles. 11/7 se realiza seguimiento, informo a hijo de usuario que por inasistencias ya no será citado por mi parte, me refiere que acudira a solicitar hora con Dr. Osman para que le den ALTA de dermatología. 27/9 se egresa.</t>
  </si>
  <si>
    <t>1 MES</t>
  </si>
  <si>
    <t>HOV (dr osman)</t>
  </si>
  <si>
    <t>11/7 me comunico con hijo de usuario, por inasistencias no será más citado por UGCO. P) Seguimiento octubre</t>
  </si>
  <si>
    <t>SERGIO ORTIZ BONILLA</t>
  </si>
  <si>
    <t>TU DE SUPRAGLOTIS</t>
  </si>
  <si>
    <t>Pase dental y actualizar TAC cuello-tóraxl.</t>
  </si>
  <si>
    <r>
      <rPr>
        <sz val="11"/>
        <color theme="1"/>
        <rFont val="Calibri"/>
        <family val="2"/>
        <scheme val="minor"/>
      </rPr>
      <t xml:space="preserve">Seguimiento Enf: Se revisa caso,  me comunica hija, por dificultad para movilizar al usuario a su control correspondiente a otorrino en HLS para el 22/5, por ello que me comunico con Jefa movilización, se realiza solicitud de movilización, se llama telefonicamente y se envía correo, se comunicarán internamente con nieta (cuidadora principal) para traslado. 23/5 Se ingresa a ORL HLS, consentimiento inf, ecg, control con EU para programar cx + evaluaciomn pre anestesica, se decide intervención qx el 10/6. Se realiza intervención Qx, se toma biopsia. P) Seguimiento bp (11/7 se consulta, aún pend.) para enviar a HLS, representar a comité y definir tto. 16/8 se presenta a COR CYC, se define en resolución: pase dental y actualizar TAC cuello-torax y representar (x HLS). 10/9 tiene citación con otorrino en HLS, se gestionó traslado ambulancia. 11/9 se envian antecedentes a otorrino HLS (pase dental y tac cuello-torax), corresponde presentar en comité CYC. 23/9 se gestiona traslado para el 30/9 con otorrino en HLS. </t>
    </r>
    <r>
      <rPr>
        <b/>
        <sz val="11"/>
        <color theme="1"/>
        <rFont val="Calibri"/>
        <family val="2"/>
        <scheme val="minor"/>
      </rPr>
      <t>23/10 recibo información usuario fallecido.</t>
    </r>
  </si>
  <si>
    <t>HLS CX (Dr. JARPA) // HOV Otorrino</t>
  </si>
  <si>
    <r>
      <rPr>
        <sz val="11"/>
        <color theme="1"/>
        <rFont val="Calibri"/>
        <family val="2"/>
        <scheme val="minor"/>
      </rPr>
      <t xml:space="preserve">16/8 presentado a COR CYC. 11/9 se envia pase dental y tac cuello-torax a HLS y representar a comité. // 23/9 se gestiona traslado para el 30/9. // </t>
    </r>
    <r>
      <rPr>
        <b/>
        <sz val="11"/>
        <color theme="1"/>
        <rFont val="Calibri"/>
        <family val="2"/>
        <scheme val="minor"/>
      </rPr>
      <t>23/10 recibo información usuario fallecido.</t>
    </r>
  </si>
  <si>
    <t>ANA ROMERO MIRANDA</t>
  </si>
  <si>
    <t>TIRADS-1</t>
  </si>
  <si>
    <r>
      <rPr>
        <sz val="11"/>
        <color theme="1"/>
        <rFont val="Calibri"/>
        <family val="2"/>
        <scheme val="minor"/>
      </rPr>
      <t xml:space="preserve">Seguimiento Enf: Usuario en controles por Dr. Ramos, se evalua en febrero, se solicita eco tiroidea, se realiza particular el 11/3/2024. 24/6 se cita a paciente a control para el 25/6 15:00hrs, paciente acude y se evalua eco particular que indica tirads 1, se da de ALTA de poli CyC y se prioriza IC a endocrino. p) hora, está citado para el 1/10, </t>
    </r>
    <r>
      <rPr>
        <b/>
        <sz val="11"/>
        <color theme="1"/>
        <rFont val="Calibri"/>
        <family val="2"/>
        <scheme val="minor"/>
      </rPr>
      <t>evaluada continuara por endocrino por Hipotirodiismo. Se egresa.</t>
    </r>
  </si>
  <si>
    <t>CITADA 25/6 15:00hrs de ALTA CYC // P) hora endocrino (1/10), luego de atencion egresar.</t>
  </si>
  <si>
    <t>REV (SEPTIEMBRE)</t>
  </si>
  <si>
    <t>SIEGMUND HAGEN ALFARO</t>
  </si>
  <si>
    <t>CARCINOMA ESCAMOSO en Amigdala Izq°</t>
  </si>
  <si>
    <t>n/A</t>
  </si>
  <si>
    <t xml:space="preserve">DETENIDO </t>
  </si>
  <si>
    <r>
      <rPr>
        <sz val="11"/>
        <color theme="1"/>
        <rFont val="Calibri"/>
        <family val="2"/>
        <scheme val="minor"/>
      </rPr>
      <t xml:space="preserve">Seguimiento Enf: 11/10 tomo conocimiento de caso, usuario evaluado por otorrino quien deriva a cabeza y cuello con biopsia positiva de amigdala para carcinoma escamoso, se derivó a poli cabeza y cuello, se priorizó IC para citación por cabeza y cuello. Citado el 10/10 c/dr Oyarzun pero NSP. P) REAGENDAR x admisión vs citar x onco. 14/10 usuario hospitalizado por adenopatia, se tomó biopsia (consultar por resultado VPH en anato pat, no tienen ninguna muestra. 17/10 se tomará RMN (x IMARED buscar resultado). </t>
    </r>
    <r>
      <rPr>
        <b/>
        <sz val="11"/>
        <color theme="1"/>
        <rFont val="Calibri"/>
        <family val="2"/>
        <scheme val="minor"/>
      </rPr>
      <t>07/11 recibo información PACIENTE FALLECIDO.</t>
    </r>
  </si>
  <si>
    <t>HOV (DRA Salcedo // Dr. RAMOS)</t>
  </si>
  <si>
    <r>
      <rPr>
        <sz val="11"/>
        <color theme="1"/>
        <rFont val="Calibri"/>
        <family val="2"/>
        <scheme val="minor"/>
      </rPr>
      <t>P) presentar a comité CYC (x otorrino) //</t>
    </r>
    <r>
      <rPr>
        <b/>
        <sz val="11"/>
        <color theme="1"/>
        <rFont val="Calibri"/>
        <family val="2"/>
        <scheme val="minor"/>
      </rPr>
      <t xml:space="preserve"> 07/11 PACIENTE FALLECIDO.</t>
    </r>
  </si>
  <si>
    <t>REV(SEPTIEMBRE)</t>
  </si>
  <si>
    <t>ELIZABETH PIZARRO CORTÉS</t>
  </si>
  <si>
    <t xml:space="preserve">obs: TU CUELLO </t>
  </si>
  <si>
    <t>pendiente bp</t>
  </si>
  <si>
    <t>Seguimiento Enf: 31/7 tomo conocimiento de caso, usuaria fue evaluada por broncopulmonar quien al examen físico evidencia anomalias en Cuello y realizó IC a Cabeza y cuello para evaluación. Se prioriza IC con jefaLEconsultas y se envía correo correspondiente. P) hora (23/8 aún pend, se reconsulta a yasna) 27/8 se recibe hora de agendamiento para el 28/8 14:30hrs c/Dr. RAMOS, evaluada , se evalua TAC, por multiples adenopatias en cuello y axila se solicita biopsia gangliocervical izq°, se llenan  documentos y se envía a U. preqx. 08/11 usuaria se tomó biopsia y dio positivo para leucemia, en tratamiento por hematología e ingresada en bajo control hemato. Se egresa.</t>
  </si>
  <si>
    <t>HOV (DR. RAMOS</t>
  </si>
  <si>
    <t>08/11 se llama, sin embargo tiene bp positiva para linfoma con posterior leucemia. Caso por hematología, se egresa.</t>
  </si>
  <si>
    <t>REV (OCTUBRE)</t>
  </si>
  <si>
    <t>CARLOTA AROCA TAPIA</t>
  </si>
  <si>
    <t>CARCINOMA ESCAMOSO</t>
  </si>
  <si>
    <r>
      <rPr>
        <sz val="11"/>
        <color theme="1"/>
        <rFont val="Calibri"/>
        <family val="2"/>
        <scheme val="minor"/>
      </rPr>
      <t xml:space="preserve">Seguimiento Enf: 11/10 tomo conocimiento de caso, usuaria evaluada por dr ziller el 2/9 se tomó biopsia positiva para carcinoma escamoso de seno maxilar, me comunico para darle citación si nembargo rechaza porque se encuentra viendose por FALP y tendrá atención con CYC por HLS. P) agendamiento x maxilofacial. 18/10 Dr leon solicita IC a cirugia CyC, se solicita sobrecupo a gestor agenda para dr oyarzun el 23/10, se prioriza IC con jefaLeconsultas y se recibe hora con Dr Oyarzun. </t>
    </r>
    <r>
      <rPr>
        <b/>
        <sz val="11"/>
        <color theme="1"/>
        <rFont val="Calibri"/>
        <family val="2"/>
        <scheme val="minor"/>
      </rPr>
      <t>13/11 se egresa de bajo control, usuaria mantiene atenciones por HLS.</t>
    </r>
  </si>
  <si>
    <t>HOV (DR ZILLER) // FALP</t>
  </si>
  <si>
    <r>
      <rPr>
        <sz val="11"/>
        <color theme="1"/>
        <rFont val="Calibri"/>
        <family val="2"/>
        <scheme val="minor"/>
      </rPr>
      <t>CITADA 23/10 15:40hrs c/dr Oyarzun, NSP. //</t>
    </r>
    <r>
      <rPr>
        <b/>
        <sz val="11"/>
        <color theme="1"/>
        <rFont val="Calibri"/>
        <family val="2"/>
        <scheme val="minor"/>
      </rPr>
      <t>13/11 se egresa usuaria en atenciones por HLS.</t>
    </r>
  </si>
  <si>
    <t>Javiera Tirado Castillo</t>
  </si>
  <si>
    <t>Quiste cervico-braquial izq°</t>
  </si>
  <si>
    <t>confirmación</t>
  </si>
  <si>
    <r>
      <rPr>
        <sz val="11"/>
        <color theme="1"/>
        <rFont val="Calibri"/>
        <family val="2"/>
        <scheme val="minor"/>
      </rPr>
      <t>Seguimiento Enf: 22/5 Se estudia caso, consulta nueva, última atención en febrero/2024 por Dr. Azúa, paciente con dg de quiste braquial izquierdo, se evalúo con eco cervical y RMN cuello y se decidio solicitud de pabellón, sin embargo, se consulta con paciente quien referie no ha recibido citación. Paciente acude semana pasada refiriendo querer retomar controles, se ingresa a bajo control partes blandas. 27/5 Se cita a pcte con Dr. Azúa para el 29/5 14:30hrs. Es evaluado por Dr. Azúa quien decide derivar a poli CyC para evaluación resolución qx. 11/6 se cita a paciente para hoy 16:30hrs c/Dr. RAmos (CyC), se evalua, quiste braquial izq°, se solicita cervicotomia + resección de quiste cervical, se llena ficha Qx, se firma C.I. y se envía a u.preqx. P) INT. QX. 7/10 se cita a usuario para el 10/10 15:00hrs c/Dr Oyarzun, se avisa que traiga Eco+RM a modulo, evaluada el 10/10 con pase op ok, tendrá int. qx el 14/10. P) INT QX. 30/10 se recibe resultado bp (extrasistema). Se realiza agendamiento ev. de resultado el 05/11 16:30hrs c/Dr Oyarzun, pero se cancela poli. P) REAGENDAR. 08/11 fue evaluado el 07/11 por Dr. manuel que entregó biopsia y dio de alta poli cirugia.</t>
    </r>
    <r>
      <rPr>
        <b/>
        <sz val="11"/>
        <color theme="1"/>
        <rFont val="Calibri"/>
        <family val="2"/>
        <scheme val="minor"/>
      </rPr>
      <t xml:space="preserve"> P) consultar CYC. 18/11 se egresa. dr. ramos confirma alta.</t>
    </r>
  </si>
  <si>
    <t>HOV (DR. AZÚA y DR. RAMOS)</t>
  </si>
  <si>
    <t>vista 07/11 x Dr Manuel quien dio alta poli cirugia (Dr. RAMOS CONFIRMA INDICACIÓN el 8/11)</t>
  </si>
  <si>
    <t>DANIEL NEIRA DIAZ</t>
  </si>
  <si>
    <t>COMBARBALÁ</t>
  </si>
  <si>
    <t>obs: TU CUELLO IZQ° + GES18</t>
  </si>
  <si>
    <t>ETAPIFICACiÓN</t>
  </si>
  <si>
    <r>
      <rPr>
        <sz val="11"/>
        <color theme="1"/>
        <rFont val="Calibri"/>
        <family val="2"/>
        <scheme val="minor"/>
      </rPr>
      <t>Seguimiento Enf: 25/7 tomo conocimiento de caso, usuario fue evaluado en Junio/2024 en policlínico cabeza y cuello, usuario derivado por obs de TU en cuello izquierdo, es evaluado por Dr. César Ramos quién encuentra sospecha de malignidad al examen físico, se solicita estudio TAC cabeza y cuello c/c el cual fue tomado el 4/7/24 y se encuentra informado, 5/8 se realiza agendamiento para el 7/8 15:30hrs, sin embargo NSP. 9/8 se reagenda para el día 12/8 16:00hrs, es evaluado, se le indica PAAF de TU cervical y tiempos de coagulación (exs). 25/9 se recibe resultado negatigvo para celulas neoplasicas. P) CITAR c/Dr. RAMOS 27/9 se realiza agendamiento para el día 30/9 14:00hrs, evaluado se solicita biopsia ganglioar (documentos en u.preqx), se solicita IC a hemato (priorizada x marianne) e IC a otorrino (8/10 se prioriza IC, hora el 16/10 c/Dr ACOSTA).  P) INT QX (toma de bp)  P) bp 14/11 se recibe resultado. 18/11 se realiza agendamiento para el 21/11 16:00hrs c/dr RAMOS</t>
    </r>
    <r>
      <rPr>
        <b/>
        <sz val="11"/>
        <color theme="1"/>
        <rFont val="Calibri"/>
        <family val="2"/>
        <scheme val="minor"/>
      </rPr>
      <t>, se indica continuar x hematología, se avisa a usuario, se gresa.</t>
    </r>
  </si>
  <si>
    <r>
      <rPr>
        <sz val="11"/>
        <color theme="1"/>
        <rFont val="Calibri"/>
        <family val="2"/>
        <scheme val="minor"/>
      </rPr>
      <t>CITADO 21/11 16:00hrs c/Dr RAMOS (bp lista),</t>
    </r>
    <r>
      <rPr>
        <b/>
        <sz val="11"/>
        <color theme="1"/>
        <rFont val="Calibri"/>
        <family val="2"/>
        <scheme val="minor"/>
      </rPr>
      <t xml:space="preserve"> se decide manejo por hematología, se egresa</t>
    </r>
    <r>
      <rPr>
        <sz val="11"/>
        <color theme="1"/>
        <rFont val="Calibri"/>
        <family val="2"/>
        <scheme val="minor"/>
      </rPr>
      <t>.</t>
    </r>
  </si>
  <si>
    <t>REV (NOVIEMBRE)</t>
  </si>
  <si>
    <t>SONIA CORTÉS GUERRERO</t>
  </si>
  <si>
    <t>NODULO TIROIDEO BETHESDA 4</t>
  </si>
  <si>
    <r>
      <rPr>
        <sz val="11"/>
        <color theme="1"/>
        <rFont val="Calibri"/>
        <family val="2"/>
        <scheme val="minor"/>
      </rPr>
      <t>Seguimiento Enf: 29/7 tomo conocimiento de caso, usuaria tuvo anteciones por cabeza y cuello en 2022 con Dr. Oyarzún, se solicitaron examenes que indicardo nodulo toiroideo bethesda 4, posteriormente no mantiene controles. Usuaria acude a modulo oncológico, indica que ya fue operada de Tiroides y solicita continuar con sus controles. 9/8 se realiza agendamiento para el día 12/8 15:30hrs c/dr. RAMOS, es evaluada se le indica eco tiroides (tomada 8/8) + eco cuello + PAAF tiroides + tiroglobulinas, se indica IC a endocrino (se prioriza IC con jefaLEconsutlas). Corresponde citar c/resultados en espera de vuelta dra. palma. 13/9 se recibe citación c/Dra Palma para el 26/9 08:30hrs,</t>
    </r>
    <r>
      <rPr>
        <b/>
        <sz val="11"/>
        <color theme="1"/>
        <rFont val="Calibri"/>
        <family val="2"/>
        <scheme val="minor"/>
      </rPr>
      <t xml:space="preserve"> usuaria en atenciones x endocrinología, se egresa.</t>
    </r>
  </si>
  <si>
    <t>HOV (Dr. RAMOS)</t>
  </si>
  <si>
    <r>
      <rPr>
        <sz val="11"/>
        <color theme="1"/>
        <rFont val="Calibri"/>
        <family val="2"/>
        <scheme val="minor"/>
      </rPr>
      <t xml:space="preserve">P) CITAR c/resultados y/o esperar Dra. Palma. (26/9 citado). </t>
    </r>
    <r>
      <rPr>
        <b/>
        <sz val="11"/>
        <color theme="1"/>
        <rFont val="Calibri"/>
        <family val="2"/>
        <scheme val="minor"/>
      </rPr>
      <t>Usuaria x endocrinología, se egresa.</t>
    </r>
  </si>
  <si>
    <t>Sara Maya Tapia</t>
  </si>
  <si>
    <t>Combarbalá</t>
  </si>
  <si>
    <t>Lesión de estirpe region mandibular D°</t>
  </si>
  <si>
    <t>Confirmación</t>
  </si>
  <si>
    <r>
      <rPr>
        <sz val="11"/>
        <color theme="1"/>
        <rFont val="Calibri"/>
        <family val="2"/>
        <scheme val="minor"/>
      </rPr>
      <t xml:space="preserve">Seguimiento Enf: 22/5 Se estudia caso, paciente con dg de lipoma cervical última evolución en febrero/2023 por Dra. Piñones, se le solicitaron estudios sanguineos, EKG, actualización de ecografia, sin embargo luego perdio seguimiento y no tuvo más atenciones, acude semana pasada solicitando atenciones, se realiza seguimiento vía telefónica, usuaria refiere que está dispuesta a realizarse nuevamente examenes y retomar atenciones por hospital, P) Citar con Dr. RAMOS. 9/8 se realiza agendamiento para el día 13/8 16:30hrs c/Dr. RAMOS, es evaluada se indica resección de lipoma cervical, se sugiere hospitalizar?? . P) CONSULTAR DR. RAMOS x indicaciones. P) CONSULTAR A U.PREQX. </t>
    </r>
    <r>
      <rPr>
        <b/>
        <sz val="11"/>
        <color theme="1"/>
        <rFont val="Calibri"/>
        <family val="2"/>
        <scheme val="minor"/>
      </rPr>
      <t>03/12 se consulta preqx, lipoma sin estirpe oncológica, se egresa, su intervención será por lista espera general.</t>
    </r>
  </si>
  <si>
    <r>
      <rPr>
        <sz val="11"/>
        <color theme="1"/>
        <rFont val="Calibri"/>
        <family val="2"/>
        <scheme val="minor"/>
      </rPr>
      <t xml:space="preserve">Evaluado 13/8, se indica reseccion lipoma y se sugiere hospitalizar?. </t>
    </r>
    <r>
      <rPr>
        <b/>
        <sz val="11"/>
        <color theme="1"/>
        <rFont val="Calibri"/>
        <family val="2"/>
        <scheme val="minor"/>
      </rPr>
      <t>03/12 se consulta u.preqx, se egresa.</t>
    </r>
  </si>
  <si>
    <t>HERNAN RODRIGUEZ RODRIGUEZ</t>
  </si>
  <si>
    <t>TU PAROTIDA IZQ (bp 29/11 LINFOMA)</t>
  </si>
  <si>
    <r>
      <rPr>
        <sz val="11"/>
        <color theme="1"/>
        <rFont val="Calibri"/>
        <family val="2"/>
        <scheme val="minor"/>
      </rPr>
      <t xml:space="preserve">Seguimiento Enf: 15/5 tomo conocimiento de caso, se trata de paciente derivado de consultorio a control con Dr. Ramos el 11/4 por observación de tu parotida izq, se solicitan estudios TAC cabeza cuello cerebro c/c (informado 6/5). 20/5 Se cita a paciente para el 23/5 con Dr. ramos para evaluación de estudio TAC. 24/5 se cita a paciente para 30/5 16:00hrs. Se evalua pcte, se evalúa TAC cerebro/cabeza/cuello c/c, se solicita eco etapificación y PAAF TU parótida izq. 7/6 se rechaza orden por ir juntas, se realiza gestión de caso,  para toma de paaf tu parotida. 25/6 se encuentran estudios informados. 5/7 se realiza agendamiento para el día 9/7 15:00hrs, es evaluado y se indica presentar a comité CyC. 26/7 se recibe resultado de biopsia de paaf que evidencia linfoma. Se realiza agendamiento para 6/8 10:00hrs para definir conducta, es evaluada y se decide derivar por IC a hematología, se prioriza IC. Es evaluado, se encuentra citado para el 22/8 con Dr. RAMOS (por GES), evaluado se llenan documentos para biopsia ganglionar en pabellón. 23/8 tiene citación para pabellón. p) sEGUIMEINTO. 11/10 visto por Dra caraballo lo operaron el dr Ramos pero no fue convincente, P) citar c/dr Ramos. 14/10 se cita para el 18/10 15:00hrs c/Dr Ramos., evaluado quien vuelve a enviar a paciente para preqx, corresponde cervicotomía + toma de biopsia. P) Int QX. 29/11 se recibe resultado de biopsia por int. qx, positiva para linfoma tomada por Dr. Oyarzun, se cita para entrega resultado el 03/12 15:30hrs c/Dr OYARZUN, </t>
    </r>
    <r>
      <rPr>
        <b/>
        <sz val="11"/>
        <color theme="1"/>
        <rFont val="Calibri"/>
        <family val="2"/>
        <scheme val="minor"/>
      </rPr>
      <t>evaluado se deriva a hematología, continuará proceso onco por hemato, se egresa CyC.</t>
    </r>
  </si>
  <si>
    <t>HOV (Dr. Ramos/ OYARZUN)</t>
  </si>
  <si>
    <r>
      <rPr>
        <sz val="11"/>
        <color theme="1"/>
        <rFont val="Calibri"/>
        <family val="2"/>
        <scheme val="minor"/>
      </rPr>
      <t xml:space="preserve">INT QX el 04/11. 29/11 se recibe bp. CITADO EL 03/12 15:30hrs c/Dr OYARZUN entrega bp, </t>
    </r>
    <r>
      <rPr>
        <b/>
        <sz val="11"/>
        <color theme="1"/>
        <rFont val="Calibri"/>
        <family val="2"/>
        <scheme val="minor"/>
      </rPr>
      <t>evaluado se decide continuar por hemato, se egresa.</t>
    </r>
  </si>
  <si>
    <t>REV(DICIEMBRE)</t>
  </si>
  <si>
    <t>MARIA MUÑOZ MUÑOZ</t>
  </si>
  <si>
    <t xml:space="preserve">OBS: TU SUBMANDIBULAR --&gt; LINFOMA </t>
  </si>
  <si>
    <t>pendiente bp (tomada 13/11) --&gt; positiva LINFOMA</t>
  </si>
  <si>
    <t>Seguimiento Enf: 21/11 tomo conocimiento de caso, usuario ingresó por servicio urgencia por observación tumoral submandibular, posteriormente ingresó a hospitalización donde completó tratamiento antibiotico y se le realizó toma de biopsia incisional. P) resultado bp (tomada 13/11) y citar a CYC. 17/12 vista x dr oyarzun con bp positiva para linfoma, se prioriza IC a hemato y se prioriza IC a periodoncia para pase dental. 19/12 me contacto con usuaria para entregar información que continuará por hermato x diagnóstico y se egresa.</t>
  </si>
  <si>
    <t>17/12 vista x dr oyarzun, con dg linfoma, se deriva a hemato y se prioriza IC a hemato y aperiodoncia para pase dental. 19/12 se notifica a usuaria, se egresa.</t>
  </si>
  <si>
    <t>REV (DICIEMBRE)</t>
  </si>
  <si>
    <t>VIOLETA ROJAS BERRIOS</t>
  </si>
  <si>
    <t>OBS: ADENOPATIA CERVICAL (tirdas 4 izq y coloide 3 der°)</t>
  </si>
  <si>
    <t>pend</t>
  </si>
  <si>
    <t>Seguimiento Enf: 12-12 tomo conocimiento de caso, usuaria evaluada en postoperatorio por cirujano partes blandas, quien solicita estudio ecografía cervical, se recibe estudio informado concordante con lobulo tiroideo izq° tirads-4 y nodulo en lobulo tiroideo derecho coloide tipo 3. 13/12 se realiza agendamiento para el 18/12 15:00hrs c/Dr OYARZUN, evaluada se define continuar por hematología. Se egresa.</t>
  </si>
  <si>
    <t>HOV (DR RAMOS)</t>
  </si>
  <si>
    <t>CITADO 18/12 15:00hrs c/Dr OYARZUN, se decide continuar x hemato. Se egresa.</t>
  </si>
  <si>
    <t>LORENZO ALFARO ALFARO</t>
  </si>
  <si>
    <t xml:space="preserve"> TU PAROTIDA D°</t>
  </si>
  <si>
    <t>PEND BP</t>
  </si>
  <si>
    <r>
      <rPr>
        <sz val="11"/>
        <color theme="1"/>
        <rFont val="Calibri"/>
        <family val="2"/>
        <scheme val="minor"/>
      </rPr>
      <t xml:space="preserve">Seguimiento Enf: 27/06 Tomo conocimiento de caso, usuario acude a Servicio de Urgencias el 26/06, evaluado por Dra. Alvaréz, usuario indica 3 semanas de aumento de volumen progresivo en región maxilar D°, refiere dolor y pérdida de peso, se toma TAC cerebro,cara cuello, que reporta extensa masa infiltrativa que compromete glándula parótida D°, se realiza derivación por IC a box Adulto para evaluación por CyC Dr. Ramos, se prioriza IC con jefaLEconsultas. Se recibe hora agendamiento para el 4/7 11:30hrs, 8/7 usuario evaluado, se indica PAFF DE TUMOR Y ADENOPATÍAS SOSPECHOSAS y RESONANCIA CEREBRAL-MACIZO FACIAL CUELLO Y TORAX, se solicita IC a Neurologia, se prioriza IC (citado 17/7), 18/7 se recibe orden devuelta. 19/7 consulto a Dr. Ramos, corresponde CITAR A POLI CYC para gestionar ingreso a piso y realizar estudios en hospitalización. 22/7 se cita para el 22/7 10:30hrs c/dr. Ramos, es evaluado, se indica control en 1 semana y en espera de resultado RMN cerebral (informada 18/7)  para definir si se tomará o no PAAF y luego presentar a COR. 01/8 se cita para cupo 16:30hrs para teleconsulta con Dr. Ramos, es evaluado usuario con deterioro ECOG, se plantea presentar a COR CYC para CPYAD. 2/8 se guarda cupo 7/8 14:00hrs para confección comité, luego presentar a COR CYC. 30/8 se presenta a COR CYC, se define CPE. P) CITAR C/Dr. RAMOS para entrega resolución e ingreso IPD CPYAD. Se realiza agendamiento para el 3/9 12:00hrs entrega resolución, es evaluado, se realiza IPD CPYAD y se entrega en unidad GES. 07/11 se recibe información usuario hospitalizado en H. Combarbalá, se le tomará RM cerebro. P) seguimiento controles por CPYAD. </t>
    </r>
    <r>
      <rPr>
        <b/>
        <sz val="11"/>
        <color theme="1"/>
        <rFont val="Calibri"/>
        <family val="2"/>
        <scheme val="minor"/>
      </rPr>
      <t>20/11 paciente fallecido.</t>
    </r>
  </si>
  <si>
    <r>
      <rPr>
        <sz val="11"/>
        <color theme="1"/>
        <rFont val="Calibri"/>
        <family val="2"/>
        <scheme val="minor"/>
      </rPr>
      <t xml:space="preserve">3/9 se entrega resolucion e IPD a CPYAD. 07/11 pcte hosp. En combarbalá. P)SEGUIMIENTO DICIEMBRE </t>
    </r>
    <r>
      <rPr>
        <b/>
        <sz val="11"/>
        <color theme="1"/>
        <rFont val="Calibri"/>
        <family val="2"/>
        <scheme val="minor"/>
      </rPr>
      <t>20/11 PACIENTE FALLECIDO.</t>
    </r>
  </si>
  <si>
    <t>CLARA CARVAJAL ÁLVAREZ</t>
  </si>
  <si>
    <t>obs: CARCINOMA BASOCELULAR PARPADO DERECHO</t>
  </si>
  <si>
    <t>SOSPECHA/CONFIRMACION</t>
  </si>
  <si>
    <r>
      <rPr>
        <sz val="11"/>
        <color theme="1"/>
        <rFont val="Calibri"/>
        <family val="2"/>
        <scheme val="minor"/>
      </rPr>
      <t>Seguimiento Enf: 17/7 tomo conocimiento de caso, usuario acudio en Marzo/2024 a atenciones con Dr. Osman,  posteriormente se solicitó exeresis la cual se realiza y por antecedente de TU en parpado se decide la derivación a Cabeza y Cuello, se prioriza IC. 23/7 se recibe hora citación para hoy 23/7 16:00hrs, evaluada, se indica biopsia incisional en cirugia menor, se prioriza IC a cx menor. P) resultado biopsia (30/9 se manda correo para priorizar sino es c/dr. Ramos con otro profesional). 06/11 se toma biopsia por Dr. TApia. P) priorizar biopsia y con resultado citar con CyC.</t>
    </r>
    <r>
      <rPr>
        <sz val="11"/>
        <color rgb="FF00B0F0"/>
        <rFont val="Calibri"/>
        <family val="2"/>
        <scheme val="minor"/>
      </rPr>
      <t xml:space="preserve"> 03/01 se recibe resultado bp, se realiza agendamiento para el día 07/01 14:30hrs c/Dr RAMOS, evaluada con resultado de bp negativo para cáncer "displasia de bajo grado", se prioriza IC a oftalmología y se informa a usuar</t>
    </r>
    <r>
      <rPr>
        <b/>
        <sz val="11"/>
        <color rgb="FF00B0F0"/>
        <rFont val="Calibri"/>
        <family val="2"/>
        <scheme val="minor"/>
      </rPr>
      <t>ia. Se egresa.</t>
    </r>
  </si>
  <si>
    <t xml:space="preserve">HOV (Dr. Ramos y Dr. Osman </t>
  </si>
  <si>
    <r>
      <rPr>
        <sz val="11"/>
        <color theme="1"/>
        <rFont val="Calibri"/>
        <family val="2"/>
        <scheme val="minor"/>
      </rPr>
      <t>08/01 se prioriza IC oftalmo, se comunica egreso debido a resultado bp.</t>
    </r>
    <r>
      <rPr>
        <b/>
        <sz val="11"/>
        <color theme="1"/>
        <rFont val="Calibri"/>
        <family val="2"/>
        <scheme val="minor"/>
      </rPr>
      <t xml:space="preserve"> Se egresa.</t>
    </r>
  </si>
  <si>
    <t xml:space="preserve">REV (ENERO) </t>
  </si>
  <si>
    <t>RICARDO CASTILLO SALDIVAR</t>
  </si>
  <si>
    <t>k</t>
  </si>
  <si>
    <t>COMBARBALA</t>
  </si>
  <si>
    <t>CA ESPINOCELULAR en pabellón auricular</t>
  </si>
  <si>
    <r>
      <rPr>
        <sz val="11"/>
        <color theme="1"/>
        <rFont val="Calibri"/>
        <family val="2"/>
        <scheme val="minor"/>
      </rPr>
      <t xml:space="preserve">Seguimiento Enf: 07/11 tomo conocimiento de caso, usuario evaluado en consulta cabeza y cuello evaluado por lesión en pabellón auricular, le solicitar TAC + laboratorios (priorizados por modulo oncológico). Me comunico via telefónica con nieta de usuario para consultar por antecedente de CA espinocelular, me refiere que cuentan con estudio extrasistema pero los tiene en casa de usuario, informarán estudio a la brevedad en modulo oncológico. Se tomará nueva biopsia el 13/11 P) bp antigua. P) CITAR con resultados (TAC). 29/11 se prioriza IC a box nefrología porque creatinina está alterada para tomar TAC. P) Evaluación y según nefrologo tomar examenes. </t>
    </r>
    <r>
      <rPr>
        <b/>
        <sz val="11"/>
        <color theme="1"/>
        <rFont val="Calibri"/>
        <family val="2"/>
        <scheme val="minor"/>
      </rPr>
      <t xml:space="preserve">03/12 paciente fallecido </t>
    </r>
  </si>
  <si>
    <t>HOV (DR RAMOS/OYARZUN)</t>
  </si>
  <si>
    <t>13/11 se toma bp. P) bp antigua y P) CITAR c/RESULTADOS (TAC). 29/11 se prioriza IC a nefrología. 03/12 paciente fallecido.</t>
  </si>
  <si>
    <t>CARLOS PEREIRA CANIBILO</t>
  </si>
  <si>
    <t>CARCINOMA PAPILAR TIRADS-5</t>
  </si>
  <si>
    <r>
      <rPr>
        <sz val="11"/>
        <color theme="1"/>
        <rFont val="Calibri"/>
        <family val="2"/>
        <scheme val="minor"/>
      </rPr>
      <t>Seguimiento Enf: 17/10 tomo conocimiento de caso, evaluado por cirujano cabeza y cuello, quién evalua ecografía cervical la cual indica Lesión neoplásica expansiva en el lóbulo derecho de la glándula tiroides TIRADS-5, también se evalúa TAC cuello, se solicita toma de PAAF DE LESIONES TIROIDES Y DE ADENOPATIA CERVICAL DERECHA + exs preoperatorios (priorizadas) (22/10 tomadas, pendiente biopsia 28/10 pend) 08/11 pendiente biopsia. 26/11 se prioriza resultado biopsia y se envia correo. 03/12 se recibe resultado bp positiva para papilar tirads 5. 06/12 se cita el 10/12 15:00hrs c/Dr OYARZUN, evaluado se solicita eco etapificación(en modulo) y con resultados presentar a COR CYC.</t>
    </r>
    <r>
      <rPr>
        <sz val="11"/>
        <color rgb="FF00B0F0"/>
        <rFont val="Calibri"/>
        <family val="2"/>
        <scheme val="minor"/>
      </rPr>
      <t xml:space="preserve"> 03/01 se recibe resultado, se realiza agendamiento para el día 07/01 14:00hrs c/Dr OYARZUN, evaluado se indica presentar a COR endocrino (presentado 07/01 con resolución intervención qx) y citar en 1 semana. (13/01 citado con otorrino para NFL) P) CITAR C/DR OYARZUN. 10/01 se cita para el día 15/01  c/Dr Oyarzun), </t>
    </r>
    <r>
      <rPr>
        <b/>
        <sz val="11"/>
        <color rgb="FF00B0F0"/>
        <rFont val="Calibri"/>
        <family val="2"/>
        <scheme val="minor"/>
      </rPr>
      <t>se explica cirugía y se operara por HLS, luego debe continuar por endocrino.</t>
    </r>
  </si>
  <si>
    <t>HOV (DR. OYARZUN /DRA PALMA)</t>
  </si>
  <si>
    <r>
      <rPr>
        <sz val="11"/>
        <color theme="1"/>
        <rFont val="Calibri"/>
        <family val="2"/>
        <scheme val="minor"/>
      </rPr>
      <t xml:space="preserve">CITADO 15/01 14:30hrs c/Dr Oyarzun., </t>
    </r>
    <r>
      <rPr>
        <b/>
        <sz val="11"/>
        <color theme="1"/>
        <rFont val="Calibri"/>
        <family val="2"/>
        <scheme val="minor"/>
      </rPr>
      <t>usuario se operara en HLS, luego continuará x endocirno.Se egresa.</t>
    </r>
  </si>
  <si>
    <t>REV (ENERO)</t>
  </si>
  <si>
    <t>ZULEMA POZO CASTRO</t>
  </si>
  <si>
    <t>CARCINOMA ESPINOCELULAR MODERADAMENTE DIFERENCIADO QUERATINIZANTE INFILTRANTE</t>
  </si>
  <si>
    <r>
      <rPr>
        <sz val="11"/>
        <color theme="1"/>
        <rFont val="Calibri"/>
        <family val="2"/>
        <scheme val="minor"/>
      </rPr>
      <t>Seguimiento Enf: 18/4 tomo conocimiento de caso, paciente con TU de labio operado 12/03/24, visto el 18/4 x dr.Osman, se evaluan bp carcinoma espinocelular, con bordes comprometidos en profundidad y lateralidad, en TAC de cerebro cuello se evidencian linfonodos segregados en grupos ganglionares, se realiza IC a Cabeza y cuello y se prioriza para 26/4, sin embargo no asiste,  se recibe correo de admisión informando que por inasistencia no citarán a paciente, corresponde citar c/Dr. Ramos (2da prioridad). 16/8 se realiza agendamiento para el 21/8, hija de usuaria refiere que madre no conoce su diagnóstico y que rechazarán atenciones, sin embargo asistirá a control, es evaluada en conjunto a paciente, dr. Ramos informa sobre riesgos de no operarse, se solicita TAC cerebro, cara y cuello c/c . P) CITAR c/RESULTADOS. (14/11 estudios no realizados, se llama a familaires pero no contesta hija, solo hijo quien refiere pertinencia de control.) 30/12 se gestiona orden TAC cerebro/cara/cuello c/c (hija nunca trajo ordenes para tramitar).</t>
    </r>
    <r>
      <rPr>
        <sz val="11"/>
        <color rgb="FF00B0F0"/>
        <rFont val="Calibri"/>
        <family val="2"/>
        <scheme val="minor"/>
      </rPr>
      <t xml:space="preserve"> --&gt; 13/01 recibo llamado desde imagnología informando que se comunicaron con hija de usuaria para citar a estudio, sin embargo no asistirá debido a que ya le comentó a Dr. Ramos que no se haría examenes</t>
    </r>
    <r>
      <rPr>
        <b/>
        <sz val="11"/>
        <color rgb="FF00B0F0"/>
        <rFont val="Calibri"/>
        <family val="2"/>
        <scheme val="minor"/>
      </rPr>
      <t>. Se egresa.</t>
    </r>
  </si>
  <si>
    <t>HOV (DR. Ramos y Dr. Osman)</t>
  </si>
  <si>
    <r>
      <rPr>
        <sz val="11"/>
        <color theme="1"/>
        <rFont val="Calibri"/>
        <family val="2"/>
        <scheme val="minor"/>
      </rPr>
      <t>P) CITAR c/resultados (TAC cerebro, cara y cuello, tramitado 30/12) // 14/11 seguimiento, 13/01 segmto Usuaria informa que n oasistira a atenciones ni examenes al hospital</t>
    </r>
    <r>
      <rPr>
        <b/>
        <sz val="11"/>
        <color theme="1"/>
        <rFont val="Calibri"/>
        <family val="2"/>
        <scheme val="minor"/>
      </rPr>
      <t>. Se egresa.</t>
    </r>
  </si>
  <si>
    <t>REBECA VERGARA CARVAJAL</t>
  </si>
  <si>
    <t>CARCINOMA BASOCELULAR DE PABELLON OIDO DERECHO</t>
  </si>
  <si>
    <r>
      <rPr>
        <sz val="11"/>
        <color theme="1"/>
        <rFont val="Calibri"/>
        <family val="2"/>
        <scheme val="minor"/>
      </rPr>
      <t>Seguimiento Enf: 17-01-2024 Solicitud de evlauacion neurologia para determinar enfermedad de alzhaimer y poder de disernimiento del paciente, ya que rechaza cirugia sin embargo presenta sintomas neurologicos sugerentes a sindrome demencial. dr. Azua// 22-2-24 SE SOLICITA PRIORIZACION DE IC. // Paciente atendido el 26/2. P) Seguimiento paciente agendado 3/4 15:50hrs --&gt; se indica ev qx ya que pcte rechaza cx pero familia desea cirugia (ya tuvo IC a neuro, sugerente DemenciaCL). 13/11 seguimiento , se citará usuaria c/Dr RAMos para informar decisión si continuar o no continuar proceso. 24/12 se realiza agendamiento para el dia 27/12 c/Dr RAMOS. 15:00hrs, pero NSP. P) REAGENDAR.</t>
    </r>
    <r>
      <rPr>
        <sz val="11"/>
        <color rgb="FF00B0F0"/>
        <rFont val="Calibri"/>
        <family val="2"/>
        <scheme val="minor"/>
      </rPr>
      <t xml:space="preserve"> 20/01 se reagenda citación para el 21/01 15:00hrs c/Dr RAMOS, evaluado decide no operarse definitivamente</t>
    </r>
    <r>
      <rPr>
        <b/>
        <sz val="11"/>
        <color rgb="FF00B0F0"/>
        <rFont val="Calibri"/>
        <family val="2"/>
        <scheme val="minor"/>
      </rPr>
      <t>. Se egresa.</t>
    </r>
  </si>
  <si>
    <t>21/01 paciente decide definitivamente no operar. Se egresa.</t>
  </si>
  <si>
    <t>HUGO ISABEL TOLEDO</t>
  </si>
  <si>
    <t>CARCINOMA ESPINOCELULAR</t>
  </si>
  <si>
    <r>
      <rPr>
        <sz val="11"/>
        <color theme="1"/>
        <rFont val="Calibri"/>
        <family val="2"/>
        <scheme val="minor"/>
      </rPr>
      <t>Seguimiento Enf: Sin atenciones x especialista en 2024 (94 años), PENDIENTE CONTROL CON DERMATOLOGIA, el 23/4 se llama a paciente para dar hora con dr.Osman pendiente, me responde hija quien no desea hora de atención por fragilidad de paciente con comorbilidades que le dificultan movilizarlo a Ovalle para control. 18/7 se realiza seguimiento, hablo con hija cuidadora principal, don Hugo en buenas condiciones dentro de su condición, sin dolor, actualmente en atenciones por neurología por alucinaciones  y desorientación noctura, se orienta que puede tener apoyo por CPYAD en caso de requerir. P) Seguimiento SEPTIEMBRE.</t>
    </r>
    <r>
      <rPr>
        <sz val="11"/>
        <color rgb="FFFF0000"/>
        <rFont val="Calibri"/>
        <family val="2"/>
        <scheme val="minor"/>
      </rPr>
      <t xml:space="preserve"> FALLECIDO</t>
    </r>
  </si>
  <si>
    <t>2 MESES</t>
  </si>
  <si>
    <t>HOV (Dr. Osman)</t>
  </si>
  <si>
    <t>paciente no desea atenciones. P) Seguimiento SEPTIEMBRE</t>
  </si>
  <si>
    <t>CARLOS GODOY GODOY</t>
  </si>
  <si>
    <t>Monte Patria</t>
  </si>
  <si>
    <t>Múltiples Tumores malignos de piel (carcinoma espinocelular)</t>
  </si>
  <si>
    <t>Etapificación</t>
  </si>
  <si>
    <r>
      <rPr>
        <sz val="11"/>
        <color theme="1"/>
        <rFont val="Calibri"/>
        <family val="2"/>
        <scheme val="minor"/>
      </rPr>
      <t>Seguimiento Enf: 15/4 se prioriza IC a derma, se redirige a CyC para día 18/4 14:00hrs. Se evalua por dr. Ramos, se indica IC a pabellón cx menor para toma de bp, se indica IC a neurología, y se indica eco de etapificación cuello (25/4 informado, sin signos malignidad) y axila (con exs listos). 22/4 se prioriza IC a pabellón cx menor (correo respondido pero aún sin hora) e IC a neurología (visto 25/4 por Dr. Escalona, se indica toma de TAC cerebro sin contraste) y agendar con resultados c/dr. Ramos, 22/5 se gestiona IPD CPYAD y se entrega a GES.  24/5 se consulta por bp, me indican que aún no se toma, hablo con anatopato y con jefaproceeiqx, me indican que por falta de cupo pabellon cx menor no se ha tomado, se priorizar toma de biopsia. Se cita para 29/5 toma de bps. 26/6 se recibe resultado de biopsia, correpsonde citar con Dr. Ramos. 28/6 se realiza agendamiento para el día 2/7 16:00hrs. Usuario asisten sin embargo no ve a dr. Ramos. 5/7 se reagenda para el 8/7 12:30hrs, es evaluado y se indica presentar a comité onco CyC. 22/7 se agenda cupo el 25/7 16:30hrs para confeccion de comité onco. P) presentar a COR. // 26/8 me comunico con hija, quien me indica que usuario intentó ahorcar y acuchillar a su esposa, luego acudio a urgencias. Se realiza agendamiento para el 29/8 16:00hrs para definir conducta, es evaluado y se indica IC a psiquiatría (PENDIENTE PRIORIZAR a 531365), además acude consultando nieta por informe para internar en asilo de ancianos. 7/10 se prioriza IC a psiquiatria. 15/10 evaluado x psiquiatria, deriva a neurologo (se prioriza IC, se recibe hora 19/10 09:00hrs). 15/11 se anexa a hija (sara) con sergio T. para institucionalizar a don Carlos y se retiran tratamiento de farmacia.</t>
    </r>
    <r>
      <rPr>
        <sz val="11"/>
        <color rgb="FFFF0000"/>
        <rFont val="Calibri"/>
        <family val="2"/>
        <scheme val="minor"/>
      </rPr>
      <t xml:space="preserve"> FALLECIDO</t>
    </r>
  </si>
  <si>
    <t>HOV (Dr.Ramos)</t>
  </si>
  <si>
    <t>15/10 se prioriza IC a neurología (hora el 19/10). / 15/11 se anexa con A.Social para eventual institucionalizar.</t>
  </si>
  <si>
    <t>MARGARITA DEL ROSARIO CASTILLO</t>
  </si>
  <si>
    <t>CARCINOMA ESCAMOSO QUERATINIZANTE ULCERADO</t>
  </si>
  <si>
    <t xml:space="preserve">SEGUIMIENTO </t>
  </si>
  <si>
    <t>Seguimiento Enf: 22/4 tomo conocimiento de caso, paciente con evaluaciones desde Marzo/24 por dr.Ramos, en la cual se solicita bp. Hoy 22/4 se recibe bp informada (del 19/4) con carcinoma escamoso. Se cita paciente para el 11/6 12:30hrs con Dr. Ramos, evaluado por Dr. Ramos, familiares pendientes de respuesta por cirugia, corresponde citar en 1 semana con Dr. Ramos. Se cita a paciente para el 17/6 11:00hrs, se decide no operar, corresponde presentar a comité onco como rechazo, pendiente realizar ingreso a CPYAD por IPD. 21/6 se realiza IPD a CPYAD y se entrega a GES. 22/7 se agenda cupo para el 23/7 15:00hrs para confeccion de comite oncológico. 26/7 se presenta a COR CYC, se indica CPE, usuaria ya ingresada. COrresponde entrega resolución comité oncológico. 29/7 se cita usuario para el 1/8 15:30hrs entrega resolución, se entrega resolución. corresponde CPE. (ultimo control Julio/2024). 03/12 P) SEGUIMIENTO. 30/12 se realiza seguimiento, usuaria en domicilio, solo acuden familaires a repeticion de receta. P) Seguimiento Enero/2025</t>
  </si>
  <si>
    <t>SEGUIMIENTO POR CP</t>
  </si>
  <si>
    <t>FALLECIDA</t>
  </si>
  <si>
    <t>CRISTIAN CAMPUSANO CAMPOS</t>
  </si>
  <si>
    <t>CARCINOMA ESCAMOSO CUELLO (TU amigdala IZQ con mtt regional)</t>
  </si>
  <si>
    <t>Radioterapia paliativa sobre masa cervical. Cuidados paliativos. Derivar a cirugia digestiva para estudio de neoplasia abdominal. RM de columna.</t>
  </si>
  <si>
    <t>Seguimiento Enf: 16/8 tomo conocimiento de caso, usuario tuvo evaluación en Julio/2024 con dr. Ramos por observación de tumor cervical izquierdo, fue evaluado, se le solicita TAC cara,cerebro,cuello c/c (tomado e informado) y examenes de sangre (tomados). Se gestiona control con otorrino (dra. Salcedo) para el 19/8. 16/8 se realiza agendamiento para el 20/8 16:30hrs, es evaluado, se evalúa TAC y Dr. RAMOS solicita toma de PAAF. (17/9 se consulta, se tomó paaf el 3/9, se prioriza informe de biopsia) (30/9 aun pend. informe bp) P) Citar c/resultados. 7/10 se cita usuario para el 11/10 15:00hrs c/Dr RAMOS, evaluado, se evalua paaf, dr. ramos indica presentar a COR CYC. P) guardar cupo y presentar a cor CyC. ( Está hospitalizado en mq2 ic a otorrino, eda y será presentada a comité CYC prox viernes) 21/10 acudo presencialmente c/Dr Oyarzun para evaluar caso de usuario en MQ1, se solicita pet-ct para etapificar y definir presentar a comité vs int. qx. 23/10 se prioriza PET CT urgente en compra servicio. 25/10 presentado a comité CyC, se solicita priorizar PET-CT(se da aviso a imagenologia), Gastro+Traqueo en hospitalización y pendiente ev. dental (dr ramos lo verá en piso) para pase dental y P) ingreso IPD CPYAD. 30/10 se envia cuestionario para toma de PET-CT hospitalizado. P) representar a comité con PET-CT. 11/11 se recibe resultado PET-CT listo, usuario ingresado por SUR por covid(+) y obstrucción vía aérea, se sugiere IC a asistente social + otorrino. Se presentará a comité 15/11, NO SE PRESENTA. 22/11 se presenta a comité oncológico cabeza y cuello y se define derivar RDT paliativa por masa cervical, cuidados paliativos(listo), derivar a cirugía digestiva por neoplasia abdominal (pend), RM de columna (pend) y pendiente resultado de biopsia amigdala (Pend priorizar). 25/11 se cita entrega resolucion el 26/11 15:00hrs c/Dr OYARZUn, evaluado se priorizo IC a cx digestiva, se entrego IPD a CPYAD, se gestiona RM columna, 02/12 se coordina traslado para el 04/12 14:00hrs en CDT La Serena. 04/12 citación era a imared para toma de RM columna no para oncología, acudieron co nrecurso pero no se tomaron estudio. 06/12 se gestiona RM columna el 9/12 13:00hrs y se coordina traslado pero NSP. 10/12 se prioriza RDT en HCVB. 11/12 se recibe citación para el 13/12 09:00hrs en HCVB, se envia correo a piso (MQ2) y a gestion paciente para traslado hospitalizado, se realizó simulación RDT con éxito. 27/12 se recibe citación para el 30/12 09:00hrs en HCVB para inicio de RDT, se coordina traslado ambulatorio. 31/12 se consulta a enfermera RDT de HCVB, ingreso el 30/12 y tuvo sesión de RDT, se requirió ajuste de mascara de irradiación, debe cumplir 5 sesiones (termina tentativamente el 06/01), pendiente solicitud de traslado para regreso de usuario. 03/01 se envia correo solicitando traslando de regreso a HOV o a domicilio para gestionar traslado. 10/01 se cita para el 15/01 16:00hrs c/dr Oyarzun (post RDT). 13/01 se realiza seguimiento, usuario con peak febriles + terminó ATB. se indica acudir a SUR. --&gt; evaluado el 15/01 pero sin evolución, se consulta a dr. oyarzun --&gt; se solicita control CPYAD, control ORL y seguimiento x CyC (cada 1 mes?)//2-4-25 USUARIO EN URGENCIAS POR DOLOR,  RECIBE ATENCION POR CUIDADOS PALIATIVOS</t>
  </si>
  <si>
    <t>HOV (DR. RAMOS/Oyarzún)</t>
  </si>
  <si>
    <t>Vencido</t>
  </si>
  <si>
    <t>CONTROL POR CUIDADOS PALIATIVOS</t>
  </si>
  <si>
    <t>fallecido 30-04-2025</t>
  </si>
  <si>
    <t>LUIS GONZÁLEZ ADONES</t>
  </si>
  <si>
    <t>CARCINOMA EPIDERMOIDE EN LABIO INFERIOR</t>
  </si>
  <si>
    <t>cirugia y representar + paff previa a cirugía + pase dental</t>
  </si>
  <si>
    <r>
      <rPr>
        <sz val="11"/>
        <color theme="1"/>
        <rFont val="Calibri"/>
        <family val="2"/>
        <scheme val="minor"/>
      </rPr>
      <t xml:space="preserve">Seguimiento Enf: 5/7 Tomo conocimiento de caso, usuario previamente en 20 21 en controles con Dr. Oyarzún por CyC, sin embargo no tuvo más controles hasta la fecha, usuario acude con su familiar consultando en módulo oncológico derivación a dermatologia y resultado de biopsia realizada en extrasistema que indica Carcinoma epidermoide infiltrante en labio inferior. Se realiza la priorización de IC correspondiente y se recibe citación para el día 11/7 14:00hrs con Dr. Osman Cortés, es evaluado se indica IC a CYC, se prioriza IC. 17/7 se recibe hora para el 18/7 16:30hrs c/Dr. Ramos, es evaluado, se solicita TAC craneo,cara y cuello c/c. 14/8 se recibe resultado de TAC, corresponde URGENTE agendamiento c/Dr. RAMOS. 16/8 se realiza agendamiento para el 20/8 16:00hrs, es evaluado, TAC con recidiva de carcinoma, se indica presentar a COR CYC. 6/9 se realiza agendamiento para cupo comité oncológico 9/9 16:00hrs (se realiza). P) presentar a COR CYC. 13/9 es presentado a comite, se sube resolución que indica cirugia y representar + PAAF previa + pase dental. Se cita para entrega resolución el 16/9 15:30hrs, sin embargo se cancela poli 16/9 se reagenda poli para el 23/9 15:30hrs, evaluado se entra resolución, se firma C.I, se envia ficha a u.preqx, se solicita PAAF parotida (P) toma) y se prioriza IC a maxilo facial para pase dental (se da hora 27/9 c/dr. ZILLER). P) INT. QX (17(10 se actualizan exs preop + ECG) P) citar c/Dr Oyarzun (se cita 12/11 14:00hrs c/Dr OYARZUn por sobrecupo), evaluado se decide cirugía resectiva + reconstrucción c/colgajo. Dra. Cofré P) INT.QX. --&gt; Fecha de intervención 30/12, hosp en pensionado. P) seguimiento. </t>
    </r>
    <r>
      <rPr>
        <sz val="11"/>
        <color rgb="FF00B0F0"/>
        <rFont val="Calibri"/>
        <family val="2"/>
        <scheme val="minor"/>
      </rPr>
      <t xml:space="preserve">31/01 SE RECIBE RESULTADO BIOPSIA POSTOPERATORIA. P) citar c/dr Oyarzun. </t>
    </r>
    <r>
      <rPr>
        <b/>
        <sz val="11"/>
        <color theme="4"/>
        <rFont val="Calibri"/>
        <family val="2"/>
        <scheme val="minor"/>
      </rPr>
      <t>se solicita DOI y linfovasculary perineural. 14/02 se presenta a cor solicitan paff, pase dental y cirugia c/bopsio para representar. IC dental, kine y nutri ok P) hora.// pcte se pide adendum de bp, dr. indica posponer paaf indicada por cor, pcte aun hospitalizado con multiples cirugias.</t>
    </r>
    <r>
      <rPr>
        <b/>
        <sz val="11"/>
        <color rgb="FFFF0000"/>
        <rFont val="Calibri"/>
        <family val="2"/>
        <scheme val="minor"/>
      </rPr>
      <t>hospitalizada. 11/04/25 se hace seguimiento paciente fallece durante la madrugada</t>
    </r>
  </si>
  <si>
    <t>HOV (Dr. Osman / Dr. Ramos / DR OYARZUN)</t>
  </si>
  <si>
    <t>se presenta a cor cyc 14/02 solicitan paff, pase dental y representar con bp</t>
  </si>
  <si>
    <t>REV (Marzo)</t>
  </si>
  <si>
    <t>fallecido 10-04-2025</t>
  </si>
  <si>
    <t>FERNANDO ZAPATA LARA</t>
  </si>
  <si>
    <t>TRATAMIENTo</t>
  </si>
  <si>
    <t>Evaluar radioterapia paliativa, cuidados paliativos.</t>
  </si>
  <si>
    <r>
      <t>Seguimiento Enf: Se realiza ingreso de pcte a unidad, se entrega diptico + información, se reciben orden de interconsulta a CyC (Priorizada para Dr. Ramos), se recibe interconsulta a CPYAD pero se acude con Dr. Ziller para realizar IPD correspondiente, se gestiona hora de examenes para día 27/3 a las 9am, se avisa a hijo de apciente quien confirma asistencia. el 2/4 evaluado por CyC Dr. Ramos, se pide TAC TAP y TAC cabeza y cuello (informados 18/4). Se cita para día 26/4 14:30 hrs hijo confirma asistencia, paciente evaluado pero sin evolución en sistema, se reciben 2 ordenes, de examenes sangre ( a tomar el 9/5 --&gt; ya tomados e informados) y una RMN temporo-madibular) 27/5 se recibe RMN informada + exs listos. 31/5 Se cita a paciente para evaluación de examenes para 3/6/24 11:30hrs, se reagenda hora para el 6/6 10:00hrs, se reagenda hora para el 10/6 11:00hrs. Paciente evaluado por Dr. Ramos, el usuario rechaza todo tipo de atención, corresponde presentar a comité como rechazo. P) guardar cupo (se cita para el 29/8 16:30hrs para cupo comite) y  P) PRESENTAR A COR CYC. 27/9 se reagenda cupo para comité el 30/9 , luego presentar a comité.. P) PRESENTAR A COR CYC. 11/10 se presenta a CYC, se definie cuidados paliativos y derivar para evaluar RDT paliativa. P) CITAR c/DR RAMOS. 14/10 se cita para el día 18/10 14:30hrs c/Dr RAMOS, evaluado se entrega resolución. 21/10 se envian antecedentes a HLS para derivación a HCVB. P) inicio RDT paliativa en HCVB.</t>
    </r>
    <r>
      <rPr>
        <sz val="11"/>
        <color rgb="FF00B0F0"/>
        <rFont val="Calibri"/>
        <family val="2"/>
        <scheme val="minor"/>
      </rPr>
      <t xml:space="preserve"> 30/01 se reitera solicitud x correo y se llama a Caro HLS para solicitar derivación. P) Seguimiento Febrero.</t>
    </r>
  </si>
  <si>
    <t xml:space="preserve"> HOV (Dr. Ramos)</t>
  </si>
  <si>
    <t>21/10 se envian antc. A HLS para iniciar RDT en HCVB. 30/01 se reitera solicitud a gestora HLS. P) Seguimiento febrero.</t>
  </si>
  <si>
    <t>FALLECIDO 20/02/25</t>
  </si>
  <si>
    <t>Florencio Taiba Guerrero</t>
  </si>
  <si>
    <t>Carcinoma basocelular facial / Enf de Bowen</t>
  </si>
  <si>
    <t>Seguimiento Enf: Tomo conocimiento de caso 16/5, paciente fue evaluado en Enero/2024 por Dr. Osman, se indica IC a CyC, Se prioriza IC para CyC. 28/5 se recibe respuesta, se citará para poli Cx CyC 30/5. 5/6 se revisa paciente no asistió, me llega correo desde admisión que por inasistencias paciente debe ser citado x mi para tener control. P) Seguimiento vs  Citar con Dr. Ramos (2da prioridad) por inasistencias. 9/8 se realiza agendamiento para el día 13/8 16:00hrs c/dr. RAMOS, es evaluado y se deriva a oftalmología, se prioriza IC (14/8). P) consultar Dr. Ramos x atenciones</t>
  </si>
  <si>
    <t>1 mes</t>
  </si>
  <si>
    <t>HOV (DR. Ramos / Dr. Osman)</t>
  </si>
  <si>
    <t>14/8 se prioriza IC a oftalmo. P) CONSULTAR DR. RAMOS x atenciones CYC</t>
  </si>
  <si>
    <t>FALLECIDO 22/01/25</t>
  </si>
  <si>
    <t>HILDA LEDEZMA RIVERA</t>
  </si>
  <si>
    <t>CARCINOMA DE PARPADO</t>
  </si>
  <si>
    <t>En CURSO</t>
  </si>
  <si>
    <r>
      <t>Seguimiento Enf: Última atención 22/2/24 se evalua bp s/ signos malignidad, queda pendiente para presentar a comité oncológico. 3/6 se envia correo a Dr. Ramos informando que se debe presentar paciente a comité. Se cita a paciente para el 25/6 16:00hrs, se evalúa y se solicita TAC de cara,cabeza,cuello,orbita y maxilo c/c, se gestionan examenes de sangre. (se tomará el 17/7 08:00hrs, ERA UNA RX), el 16/8 se toma TAC. P) informe Corresponde citar con resultados. 21/8 estudio informado. 30/8 se realiza agendamiento para el día 5/9 16:00hrs, evaluada, se evaluó tac, se solicita eco tiroides y con resultado presentar a COR CYC como seguimiento. (30/9 aun no se toma eco). P) SEGUIMIENTO URGENTE x fx cadera.</t>
    </r>
    <r>
      <rPr>
        <sz val="11"/>
        <color rgb="FF00B0F0"/>
        <rFont val="Calibri"/>
        <family val="2"/>
        <scheme val="minor"/>
      </rPr>
      <t xml:space="preserve">--&gt; </t>
    </r>
  </si>
  <si>
    <t>Con Resultados</t>
  </si>
  <si>
    <t>P) resultado eco tiroides y con resultado presentar a COR CYC</t>
  </si>
  <si>
    <t>FALLECIDA 21/10/2024</t>
  </si>
  <si>
    <t>IRIS ROJAS CASTRO</t>
  </si>
  <si>
    <t>CARCINOMA ESPINOCELULAR BIEN DIFERENCIADO QUERATINIZANTE</t>
  </si>
  <si>
    <t>Seguimiento Enf: Tomo conocimiento del caso, paciente vista por Dr. Osman en marzo/24, se solicita biopsia que se informa el 9/4 con carcinoma espinocelular bien diferenciado, el 23/4 se realiza gestión para IC a Cabeza y Cuello con Dr. Ramos autorizado por Dr. Osman, se prioriza IC y se da hora 26/4, evaluado por Dr. Ramos quien entrega resultado de bp y familiares requieren tiempo para decidir por lo que se indica citar en 2 semanas para control, 10/5 Se cita a pcte con Dr. Ramos para 15/5 15:30hrs para decisión de acepto/rechazo atencion + control medico. el 15/5 asiste a control, evaluada x dr. Ramos, se solicita TAC cabeza cuello cerebro c/c + exs de sangre. 7/6 Se realiza priorización de informe TAC cerebro con Valeria imagenología, corresponde citar con resultados c/Dr. Ramos. Hoy 24/6 se recibe informe de resultado. 5/7 se realiza agendamiento para el 8/7 11:00hrs c/dr. Ramos, es evaluada y se indica presentar a COR, en espera de resolución Cx vascular. 26/8 se guarda cupo para informe comité el 28/8 16:30hrs, luego PRESENTAR A COR CYC. 30/8  se presenta a comité, se indica CPE. 30/8 se cita para el día 5/9 15:30hrs para entrega resolución comité. (P) IPD CPYAD), se entregó IPD a GES. P) seguimiento controles por CPYAD</t>
  </si>
  <si>
    <t>con resultados</t>
  </si>
  <si>
    <t>HOV (Dr. Ramos / Dr. Osman)</t>
  </si>
  <si>
    <t>P) seguimiento controles por CPE</t>
  </si>
  <si>
    <t>REV (JUNIO)</t>
  </si>
  <si>
    <t xml:space="preserve">fallecida </t>
  </si>
  <si>
    <t xml:space="preserve">JOSE ARANCIBIA PEREZ </t>
  </si>
  <si>
    <t>Seguimiento Enf: Paciente evaluado en 22-12-2023 por Dr. Osman, que evidencia hda. Op.sin signos recidiva, indica CONTROL EN 6 MESES (Junio/2024) CON DR. OSMAN. 6/6 se llama a paciente, responde esposa, se cita para control el 21/6 15:00hrs, se evalúa a usuario, corresponde control en 1 año. (CITAR EN JUNIO/2025). evaluado el 06/03 dr. OSman indica alta por dermatologia</t>
  </si>
  <si>
    <t>1 año</t>
  </si>
  <si>
    <t>P) alta</t>
  </si>
  <si>
    <t>RAFAEL LÓPEZ ZEPEDA</t>
  </si>
  <si>
    <t>TU de celulas Hurtle (bethesda IV) en BOCIO.</t>
  </si>
  <si>
    <r>
      <t>Seguimiento Enf: 25/10 tomo conocimiento de caso, usuario fue evaluado en consulta cabeza y cuello, se evidencio lesón tumoral celulas Hurtle en bocio, se solicitó TAC de cuello c/c. Me comunico con imagenología y con módulo oncológico quienes no cuentan con orden en cuestión. Me comuncio con esposa de usuario quien me confirma ella tiene orden, le entrego indicaciones para que la traiga a modulo oncológico. P) CITAR c/RESULTADOS (TAC CUELLO) con DRr OYARZUN (28/10 trae orden, se prioriza) 07/11 tomado estudio, 18/11 se recibe resultado, se realiza agendamiento para el día 21/11 15:30hrs c/Dr RAMOS, fue evaluado se le solicitó PAAF de ad</t>
    </r>
    <r>
      <rPr>
        <sz val="11"/>
        <rFont val="Calibri"/>
        <family val="2"/>
        <scheme val="minor"/>
      </rPr>
      <t xml:space="preserve">enopatias cervicales (Pend) e IC a box ottorrino para NFL (25/11 priorizado, se recibe hora 29/11 11:00hrs c/Dra Sanchez). P) Citar c/resultados (PAAF--&gt; 30/12 se entrega orden a modulo) --&gt; 17/01 se recibe eco tiroides, tirads6, pend paff ( se toma 21/01). --&gt; 31/01 se recibe resultado  de eco, se cita para el 07/02 14:00hrs c/Dr RAMOS. </t>
    </r>
    <r>
      <rPr>
        <b/>
        <sz val="11"/>
        <color theme="4"/>
        <rFont val="Calibri"/>
        <family val="2"/>
        <scheme val="minor"/>
      </rPr>
      <t>evaluado por dr. no evoluciona en SIDRA, solicita IC cardio, priorizada 10/02/</t>
    </r>
    <r>
      <rPr>
        <b/>
        <sz val="11"/>
        <color rgb="FFFF0000"/>
        <rFont val="Calibri"/>
        <family val="2"/>
        <scheme val="minor"/>
      </rPr>
      <t>/ 31-3 p)ecg + control con praclinicos con cardiologo para pase</t>
    </r>
  </si>
  <si>
    <r>
      <rPr>
        <sz val="11"/>
        <color theme="1"/>
        <rFont val="Calibri"/>
        <family val="2"/>
        <scheme val="minor"/>
      </rPr>
      <t xml:space="preserve">P) IC cardio priorizada 10/02 VER FECHA DE HORA 13/03. </t>
    </r>
    <r>
      <rPr>
        <sz val="11"/>
        <color rgb="FFFF0000"/>
        <rFont val="Calibri"/>
        <family val="2"/>
        <scheme val="minor"/>
      </rPr>
      <t>SOLICITAR URGENTE UN ECG</t>
    </r>
  </si>
  <si>
    <t>REV (FEBRERO)</t>
  </si>
  <si>
    <t>FALLECIDO MAYO 29</t>
  </si>
  <si>
    <t>LUZ CAMPUSANO ESPINOSA</t>
  </si>
  <si>
    <t>LINFONODOS CERVICALES</t>
  </si>
  <si>
    <r>
      <t>Seguimiento Enf: 5/4 paciente conversada en reunión Imagenología, en seguimiento por Dr. Ramos, se cita para el día 11/4 con Dr. Ramos, se evalua ganglio disminución de 5 a 4 mm, control en 6 meses (Octubre/2024). 30/9 se realiza agendamiento para el 4/10 15:30hrs c/Dr. RAMOS, evaluada persiste adenopatia, se solicita eco cuello y Citar c/resultados. 04/11 se hace seguimiento para que usuario traiga estudio y se suba a ficha clinica. P) Con estudio citar c/Dr RAMOS. (18/11 aun pend). 03/12 se avisa nuevamente que traiga estudio. 05/12 trae estudio. 06/12 se cita para el día 11/12 14:30hrs c/Dr RAMOS pero se ancela poli. 13/12 se realiza reagendamiento para el día 18/12 15:30hrs c/Dr OYARZUN, evaluada se indican exs preoperatorios para cirugía. 24/12 se realiza estudios, informados. P) INT QX vs citar c/Dr oyaruzn.</t>
    </r>
    <r>
      <rPr>
        <sz val="11"/>
        <color rgb="FF00B0F0"/>
        <rFont val="Calibri"/>
        <family val="2"/>
        <scheme val="minor"/>
      </rPr>
      <t xml:space="preserve">31/12 se da pase para cx. P) INT QX --&gt; 20/01 SE OPERA. P) seguimiento. </t>
    </r>
    <r>
      <rPr>
        <sz val="11"/>
        <color rgb="FFFF0000"/>
        <rFont val="Calibri"/>
        <family val="2"/>
        <scheme val="minor"/>
      </rPr>
      <t>CITART.</t>
    </r>
    <r>
      <rPr>
        <sz val="11"/>
        <color theme="3"/>
        <rFont val="Calibri"/>
        <family val="2"/>
        <scheme val="minor"/>
      </rPr>
      <t xml:space="preserve"> citada 16/04 la evalua doc ramos quien indica alta por lpoli cyc </t>
    </r>
  </si>
  <si>
    <t>HOV (DR. Ramos y Dr. Azúa)</t>
  </si>
  <si>
    <t>DE ALTA POR POLI DE CYC</t>
  </si>
  <si>
    <t>P) ECO TIROIDES PRIORIZAR</t>
  </si>
  <si>
    <t>MARIA MADARIAGA PIZARRO</t>
  </si>
  <si>
    <t>TU DESMOIDES</t>
  </si>
  <si>
    <t>Seguimiento Enf: Usuario en controles por TU Desmoides cervical con Dr. Azúa por CyC, previamente se solicitó estudio de eco partes blandas, la cual fue devuelta por no contactar con usuaria, se devuelve ordena  imagenología con número de usuaria actualizado.  24/6 ve a neurologo, se indica IC a Broncopulmonar, se prioriza IC, se recibe hora 31/7 (evaluada por dra. hurtado, indica TAC torax y espirometria). P) Citar c/Dr. Azúa con resultados. (se toma el 7/8) 14/8 se recibe resultado. 16/8 se realiza agendamiento para el 21/8 16:00hrs c/dr. AZÚA, es evaluada con recidiva de TU desmoides, se solicita RM cervical y citar a poli CyC. P) CITAR c/RESULTADOS. 15/10 recibo resultado RM cuello. P) CITAR c/DR RAMOS. 18/10 se realiza agendamiento para el día 22/10 16:30hrs c/Dr RAMOS, evaluado, según estudio se solicita resección simple, sin embargo indeciso de cirugía, se sugiere citar en 1 semana para confirmar. P) CITAR en 1 semana (29/10), citada 30/10 16:30hrs c/Dr RAMOS, evaluada acepta cirugía, se llenan documentos y se envia a u.preqx. 29/11 usuaria consulta x proceso, está ene valuaciones con dra cofre, tiene citación el 02/12 c/dra Hurtado para pase broncopulmonar y cumplir tto ATB para pase por anestesia. pendiente espirometria, usuaria la traera para pase. 27/12 desde u.preqx en evaluación, aun no programable. P) INT QX.  pcte operada y evaluada con resultado de bp el 21/07 donde se evidencia bo negativa, se da de alta de poli de CyC.</t>
  </si>
  <si>
    <t>HOV (Dr. AZÚA y DR. RAMOS)</t>
  </si>
  <si>
    <t>P)alta por CYC</t>
  </si>
  <si>
    <t xml:space="preserve">NOLVIA ELENA ALVARADO FLORES </t>
  </si>
  <si>
    <t>biopsia negativa alta por poli de cyc 05/08/2025</t>
  </si>
  <si>
    <t>Albertina Díaz Tapia</t>
  </si>
  <si>
    <t>Nódulo tiroideo neoplasia folicular</t>
  </si>
  <si>
    <t>TRATMAMIENTO</t>
  </si>
  <si>
    <r>
      <t>Seguimiento Enf: Paciente en controles c/dr. Ramos desde Enero/2024, le solicíto eco cervical, el 16/4 se cita a paciente con eco tiroidea lista para día 18/4 a las 15:00hrs, se evalua eco ok y labs ok, se planifica tiroidectomia total, se envia ficha y consentimiento a Unidad PreQx. 21/10 usuario está citado preoperatorio c/Dr Oyarzun el 23/10, fue evaluado y se solicita actualizar eco de tiroides, se prioriza orden de reetapificación. P) CITAR c/RESULTADOS. 8/11 se recibe resultado y se agenda para el 11/11 16:30hrs, pero se cancela poli. 18/11 se reagenda paciente para el 20/11 16:30hrs c/Dr RAMOS, evaluada eco tiroideos ok, plan tiroidectomia, 26/11 EVALUADA SE da pase para cx. P) INT QX.</t>
    </r>
    <r>
      <rPr>
        <sz val="11"/>
        <color rgb="FF00B0F0"/>
        <rFont val="Calibri"/>
        <family val="2"/>
        <scheme val="minor"/>
      </rPr>
      <t xml:space="preserve"> / </t>
    </r>
    <r>
      <rPr>
        <b/>
        <sz val="11"/>
        <color theme="4"/>
        <rFont val="Calibri"/>
        <family val="2"/>
        <scheme val="minor"/>
      </rPr>
      <t>OPERADA EL 07/04. p) RESULTADO DE BIOPSIA. 26-05 BP AUN PENDIENTE. 03/06 BP LISTA NEGATIVA. EVALUADA EL 13/06 POR DR. RAMOS DA LATA DE POLI CYC</t>
    </r>
  </si>
  <si>
    <t>ALTA POLI CYC SEGUIMIENTO CON ENDOCRINO</t>
  </si>
  <si>
    <t>ALEJANDRA TIRADO TIRADO</t>
  </si>
  <si>
    <t>neoplasia folicular TIRADS 4</t>
  </si>
  <si>
    <r>
      <t>Seguimiento Enf: 22/8 tomo conocimiento de caso, usuaria estuvo en atenciones por cabeza y cuello a fines de 2023 e inicios 2024, me comunico vía telefónica con usuaria para consultar por su proceso, le pregunto por última atención en la que se indicó tiroidectomía vs lobectomia y biopsia, me informa que ningun procedimiento se realizó porque se encontraba en espera de compra de servicio, se realizó toma de examenes (calcitonina sérica en abril/2024), se rescata resultado de examen. 23/8 se realiza agendamiento para el día 28/8 16:00hrs c/dr. RAMOS, evaluada, se le llena ficha para tiroidectomia total y se envian documentos a u.preqx. P) INT. QX. 21/10 usuaria citada el 23/10 c/dr Oyarzun preoperatorio, evaluada se solicita actualizar exs sangre para programar intervención. P) INT Q</t>
    </r>
    <r>
      <rPr>
        <sz val="11"/>
        <rFont val="Calibri"/>
        <family val="2"/>
        <scheme val="minor"/>
      </rPr>
      <t>X. --&gt; 06/01 se da pase para cx, p) INT QX</t>
    </r>
    <r>
      <rPr>
        <sz val="11"/>
        <color rgb="FF00B0F0"/>
        <rFont val="Calibri"/>
        <family val="2"/>
        <scheme val="minor"/>
      </rPr>
      <t xml:space="preserve">. </t>
    </r>
    <r>
      <rPr>
        <b/>
        <sz val="11"/>
        <color theme="4"/>
        <rFont val="Calibri"/>
        <family val="2"/>
        <scheme val="minor"/>
      </rPr>
      <t>operada el 25/01-/2025 bp llega el 07/03/2025. evaluada por Dr. Oyarzun indcia seguimiento por endocrinologa. con IC A endocrino. 26/05 REAJUSTE DE TTO.  SACRA DE BAJO CONTROL??</t>
    </r>
  </si>
  <si>
    <t xml:space="preserve">HOV (DR. RAMOS/OYARZUN) </t>
  </si>
  <si>
    <t>operada P) seguimiento ALTA</t>
  </si>
  <si>
    <t xml:space="preserve">CARLOS ARMANDO ALFARO </t>
  </si>
  <si>
    <t>TUMOR FOSA NASAL DERECHA</t>
  </si>
  <si>
    <t>REPRESENTAR</t>
  </si>
  <si>
    <r>
      <t>Seguimiento Enf: Paciente evaluado Noviembre/2023 por Dr. Ramos con dg CA piel fosa nasal D° sin signos recidiva, indica control en 6 meses (Mayo/2024) con TAC control (no informado en Sinapse, se consulta a Cami TENS por orden, p) respuesta). 27/5 se recibe resultado de TAC tórax, pendiente citar con Dr. Ramos. 11/6 se cita para hoy 16:00hrs, esposa confirma asistencia, 12/6 paciente fue evaluado sin embargo P) resultado de tac cerebro cara cuello, se gestiona orden de examen. 28/6 se realiza agendamiento para el 2/7 16:30hrs. Se evalua TAc, s/indicacion de periocidad controles. 19/7 se consulta a Dr. Ramos, se indica control en 6 meses ( CITAR EN ENERO/2025)</t>
    </r>
    <r>
      <rPr>
        <sz val="11"/>
        <color rgb="FF00B0F0"/>
        <rFont val="Calibri"/>
        <family val="2"/>
        <scheme val="minor"/>
      </rPr>
      <t xml:space="preserve"> 03/01 se realiza agendamiento para el día 07/01 14:30hrs c/Dr OYARZUn, evaluado se indica IC a dermato (08/01 se prioriza, citada 14/01), control CYC en SOS, mantener controles x ORL. 14/01 evaluado x Dr. osman indica exeresis de lesion.</t>
    </r>
    <r>
      <rPr>
        <b/>
        <sz val="11"/>
        <color theme="4"/>
        <rFont val="Calibri"/>
        <family val="2"/>
        <scheme val="minor"/>
      </rPr>
      <t xml:space="preserve"> P) AGENDAR CON DERMATOLOGO Y ORL. evaluado el 01/07 con dermatologo, le da alta</t>
    </r>
  </si>
  <si>
    <t>HOV (Dr.OSMAN Y OTORRINO)</t>
  </si>
  <si>
    <t>ALTA X DERMATO</t>
  </si>
  <si>
    <t>alta por dermatologia</t>
  </si>
  <si>
    <t>MARÍA CORTÉS PIZARRO</t>
  </si>
  <si>
    <t xml:space="preserve">NODULO TIROIDEO TIRADS 4 </t>
  </si>
  <si>
    <r>
      <t xml:space="preserve">Seguimiento Enf: 3/9 tomo conocimiento de caso, usuaria tiene evaluaciones previas por policlínico cabeza y cuello, se recibió resultado de PAAF que evidenció neoplasia folicular, se le solicitó toma de eco tiroideos la cual se encuentra tomada, sin embargo al mantener contacto telefónico con usuaria me informa que no se ha tomado estudio de calcitonina, ni tampoco cuentan con orden ni se lo tomó particular. (4/9 se consulta por orden calcitonina, el 9/8 llego a toma muestra, se priorizará) P) CITAR c/DR. RAMOS. 16/9 se cita para el 26/9 16:00hrs, evaluada, se llena documentos y se envia set qx (el 26/9) a u.preqx para tiroidectomia total. 11/11 evaluada x anestesista, se da pase anestesista. P) INT. QX// </t>
    </r>
    <r>
      <rPr>
        <sz val="11"/>
        <color rgb="FFFF0000"/>
        <rFont val="Calibri"/>
        <family val="2"/>
        <scheme val="minor"/>
      </rPr>
      <t>ag 1.3</t>
    </r>
  </si>
  <si>
    <t>OPERADA EN SEGHUIMIENTO POR ENDOCRINO</t>
  </si>
  <si>
    <t>OLGA FARIAS VEGA</t>
  </si>
  <si>
    <t>CBC ALA NASAL D° // PARATIROIDES</t>
  </si>
  <si>
    <t>03/06/2025 TOMO CONOCIMIENTO DE CASO, SE CITA CON DR. OSMAN PARA EVALUACION EL 03/06 QUIEN DECIDE AMPLIACION DE MARGENES. EVALUAD APOR DRA. PALMA QUIEN INDICA DERIVACION A CABEZA Y CUELLO. SOLICITA ECO TIORIDES</t>
  </si>
  <si>
    <t>HOV (DR. OSMAN // DR. OYARZUN)</t>
  </si>
  <si>
    <t>p) CITAR CON DR. OYARZUN // PRIORIZAR ECO TIROIDES</t>
  </si>
  <si>
    <t>MARISELA FERNÁNDEZ ARAYA</t>
  </si>
  <si>
    <t>Neoplasia folicular de lobulo tiroideo izq</t>
  </si>
  <si>
    <t>istia</t>
  </si>
  <si>
    <t>CON RESULTADO</t>
  </si>
  <si>
    <t>HOV (Dr. Ramos/ Oyarzun)</t>
  </si>
  <si>
    <t>seguimiento por endocrinologia</t>
  </si>
  <si>
    <t>REV(ENERO)</t>
  </si>
  <si>
    <t>PERFIDA ASTUDILLO ELGUETA</t>
  </si>
  <si>
    <t>CARCINOMA ESCAMOSO BIEN DIFERENCIADO</t>
  </si>
  <si>
    <t xml:space="preserve">pendiente </t>
  </si>
  <si>
    <t>Seguimiento</t>
  </si>
  <si>
    <t>Seguimiento Enf: Paciente evaluado por Dr. Osman el 18/10/2023, indica CONTROL EN 6 MESES. paciente en seguimiento por CA broncopulmonar, pcte informa que sufrio fx de cadera, esta hospitalizada en santiago en oproceso de recuperación, volvera a Combarbala a fines de marzo. 4/4 paciente agendada para 23/4, paciente evaluada x Dr. Osman, s/recidiva se indica control en 1 año. (23/4/2025)</t>
  </si>
  <si>
    <t xml:space="preserve">1 año </t>
  </si>
  <si>
    <t>P) CITAR EN ABRIL/2025 c/Dr OSMAN</t>
  </si>
  <si>
    <t>RAQUEL MORGADO TAPIA</t>
  </si>
  <si>
    <t xml:space="preserve">CANCER DORSO NASAL </t>
  </si>
  <si>
    <t>Seguimiento Enf: Paciente en controles c/ Dr. Osman se evalúa sin signso de recidiva, se aplica ac tac y control en 1 mes (Marzo/2024). Se agenda a paciente para día 19/4 a las 15:00 hrs c/Dr. Osman, sin embargo no asiste a control. 13/5 se llama a pcte para agendar para el dia 17/5 con Dr. osman a las 08:00hrs, pcte confirma asistencia. 12/6 se revisa citación, Dr. Osman solicitó TAC cara (informado 10/6). 13/6 se realiza citación para el día 21/6 14:00hrs, hija confirma asistencia. Paciente se evalua TAC, se indica control en 1 año (CITAR EN JUNIO/2025)</t>
  </si>
  <si>
    <t>P) CITAR EN JUNIO/2025 c/Dr OSMAN</t>
  </si>
  <si>
    <t>CUSTODÍA ROJAS ROJAS</t>
  </si>
  <si>
    <t>ADENOMA PLEOMORFO CUELLO</t>
  </si>
  <si>
    <r>
      <t>Seguimiento Enf: 01-08 tomo conocimiento de caso, usuaria estuvo en controles por policlínico cabeza y cuello en Enero/2024, con diagnóstico de Adenoma Pleomorfo, a usuaria se le realizó solicitud de pabellón, contaba con pase cardio el cual entregó (no disponible en sidra), sin embargo por no contar con recurso humano de cirujano cabeza y cuello no se concretó pabellón, posteriormente no tuvo controles. P) CITAR c/Dr. RAMOS. 16/9 se agenda para el día 26/9 16:30hrs c/Dr. RAMOS, evaluada se llena ficha qx y se envia a u.preqx para paratiroidectomia superficial D°. P) INT QX. (17/10 se actualizan exs preop + ECG) P) citar c/Dr Oyarzun. 18/10 se cita a usuaria c/Dr Oyarzun el 23/10 16:00hrs, evaluado pero por periodo de enfermedad (&gt;10 años), se solicita PAAF . P) CITAR c/RESULTADOS. (8/11 aun pend, 18/11 aun pend). 16/11 se realizó paaf, pendiente biopsia.//</t>
    </r>
    <r>
      <rPr>
        <sz val="11"/>
        <color rgb="FFFF0000"/>
        <rFont val="Calibri"/>
        <family val="2"/>
        <scheme val="minor"/>
      </rPr>
      <t xml:space="preserve">12-3-25 SE MANTIENE INDICACIÓN DE PAROTIDECTOMÍA SUPRAFACIAL. CONVERSO CON UNIDAD PRE QUIRURGICA QUE CONTINUEN PREPARACIÓN. </t>
    </r>
    <r>
      <rPr>
        <b/>
        <sz val="11"/>
        <color theme="4"/>
        <rFont val="Calibri"/>
        <family val="2"/>
        <scheme val="minor"/>
      </rPr>
      <t xml:space="preserve"> INGRESA A MQ3 CIRUGIA PROGRAMADA 19/06</t>
    </r>
  </si>
  <si>
    <t>P)  BP POSTOPERATORIA</t>
  </si>
  <si>
    <t>ALTA POR POLI DE CYC IDNCIADO POR DR RAMOS EL 01-10-2025</t>
  </si>
  <si>
    <t>ARMANDO CUELLAR ARCE</t>
  </si>
  <si>
    <t>CARCINOMA ESCAMOSO DE LENGUA</t>
  </si>
  <si>
    <t>sospechas/confirmación</t>
  </si>
  <si>
    <r>
      <t xml:space="preserve">Seguimiento Enf: 15/11 tomo conocimiento de caso, evaluado en consulta cabeza y cuello por lesión en lengua, </t>
    </r>
    <r>
      <rPr>
        <sz val="11"/>
        <rFont val="Calibri"/>
        <family val="2"/>
        <scheme val="minor"/>
      </rPr>
      <t>se solicita TAC cerebro cara y cuello (tramitado y priorizado por modulo oncologico), pendiente IC para cx menor (ya consultado a Ramos). P) Priorizar IC a cx menor y resultado de TAC para citar. --&gt; 15/01 se recibe TAC, además es evaluado x Dr. Oyarzun quien toma biopsia. P) citar c/resultado bp y tac(listo).</t>
    </r>
    <r>
      <rPr>
        <b/>
        <sz val="11"/>
        <color theme="4"/>
        <rFont val="Calibri"/>
        <family val="2"/>
        <scheme val="minor"/>
      </rPr>
      <t xml:space="preserve"> SE PRIORIZA BIOPSIA 04/02/2025. citado el 04/03 con Dr. Oyarzun. Indica presentar a COR. el 07/03 presentado a COR indica pase dental, cirugia y representar. 14/03 pase dental ok// </t>
    </r>
    <r>
      <rPr>
        <b/>
        <sz val="11"/>
        <color rgb="FFFF0000"/>
        <rFont val="Calibri"/>
        <family val="2"/>
        <scheme val="minor"/>
      </rPr>
      <t>1-4-25 usuario quiere mas tramadol, solo le dieron por 1 mes, le hago las consulas a dr oyarsun. p) respuesta//2-4-25 ya cuenta con atenciones kinesiologica precx.</t>
    </r>
    <r>
      <rPr>
        <b/>
        <sz val="11"/>
        <color theme="4"/>
        <rFont val="Calibri"/>
        <family val="2"/>
        <scheme val="minor"/>
      </rPr>
      <t xml:space="preserve"> SE HOSPITALIZA EL 25-04-2025 Y SE OPERA EL 28-09-2025. 03/06 BP (+) HACE 2 SEMANAS, DR. OYARZUN EN CONOCIMIENTO. 03/06 SE AGENDA PARA INFORME DE COMITE CON DR. RAMOS.  SE PRESENTA EL 06/06 Y SE REPRESENTA EL 13/06 PIDIENDO ADDENDUM DE BP PARA RESPALDAR QMT. 24/06 ADDENDUM OK, SE AGENDA EN INFORME DE COMITE A DR. RAMOS. P) REPRESENTAR A COR POR 3 VEZ // ENVIAR CARPETA DE ANTECEDENTES A RDT. REPRESENTADO ACOR INDICAN QUIMIOTERAPIA PALIATIVA, SE ENVIA CARPETA. PARA EVALUACION SOLICITAN RESULTADO DE PDL1</t>
    </r>
  </si>
  <si>
    <t>P)  RESULTADO PDL-L1</t>
  </si>
  <si>
    <t>BENITA DEL ROSARIO, CASTILLO GÓMEZ</t>
  </si>
  <si>
    <t>Cáncer de la piel</t>
  </si>
  <si>
    <t>pendiente (ultimo 2020)</t>
  </si>
  <si>
    <r>
      <t xml:space="preserve">Seguimiento Enf: El 05-2-2024 evaluado x Dr. M. R. el cual indica IC a endocrinología (lista) y cirugia CyC, se solicita toma de PAAF para nodulo tiroideo. El 21/3 se realiza procedimiento de PAAF (informado en synapse). Hoy (4/4) me comunico con anatopato aún pendiente bp informada en sistema. 11/4 se informa resultado PAAF, el 25/4 se recibe resultado citologico. 5/7 se realiza agendamiento para el día 9/7 15:30hrs, usuaria evaluada, se indica primero debe ser presentada a COR PB y luego retomar para tiroidectomia. P) resolución por PB (se guardó cupo para que confeccione comité) </t>
    </r>
    <r>
      <rPr>
        <b/>
        <sz val="11"/>
        <color theme="1"/>
        <rFont val="Calibri"/>
        <family val="2"/>
        <scheme val="minor"/>
      </rPr>
      <t xml:space="preserve">(CASO EN BAJOCONTROL PB pcte rechaza cirugia control en 3 meses c/ dr. azua). PCTE EVALUADA EN ABRIL QUIEN INDCIA CPE Y SEGUIMIENTO POR ENFERMERIA. </t>
    </r>
  </si>
  <si>
    <t>P) SOLO QUEDA EN CPE</t>
  </si>
  <si>
    <t>VER SI EVALUAN O SOLO QUEDA EN PB</t>
  </si>
  <si>
    <t>BERNARDA VALDIVIA ADAROS</t>
  </si>
  <si>
    <t>macronodulo tiroideo, BETHESDA IV LESIÓN FOLICULAR</t>
  </si>
  <si>
    <r>
      <t>Seguimiento Enf: 12/8 tomo conocimiento de caso,  paciente tuvo evaluaciones por cabeza y cuello derivada por un macronodulo tiroideo, fue evaluada y se le solicitó eco de etapificación (eco tiroide) la cual fue tomada y se encuentra informada.  P) CITAR c/Dr. RAMOS. 26/8 se realiza agendamiento para el día 29/8 15:30hrs c/Dr. RAMOS, evaluada, se evalua eco etapificación y se solicita TAC tórax y cuello c/c. P) CITAR c/resultados. (30/9 aún pend toma, se consulta modulo no la teine, se consulta imageonología) 1/10 8:30hrs se toma. 18/10  se realiza agendamiento para el día 24/10 16:00hrs c/Dr Ramos para evaluar resultado, evaluada se solicita derivar a otorrino para realizar NFL y con resultado informar a Dr Ramos para confección setqx para tiroidectomía total. P) hora c/otorrino y resultado NFL. 25/11 aun pendiente hora, se reconsulta a YASNa x agendamiento. 26/11 se recibe hora para el 29/11 11:00hrs c/Dra sanchez.</t>
    </r>
    <r>
      <rPr>
        <sz val="11"/>
        <color rgb="FF00B0F0"/>
        <rFont val="Calibri"/>
        <family val="2"/>
        <scheme val="minor"/>
      </rPr>
      <t xml:space="preserve"> 20/01 se realiza agendamiento para el día 23/01 16:00hrs c/Dr RAMOS, evaluada dr Ramos realiza set qx. P) INT QX.</t>
    </r>
    <r>
      <rPr>
        <b/>
        <sz val="11"/>
        <color theme="4"/>
        <rFont val="Calibri"/>
        <family val="2"/>
        <scheme val="minor"/>
      </rPr>
      <t xml:space="preserve"> P) PCTE PROGRAMABLE EVENTUAL Cx 09/06/2025. OPERADA EL 09/06 P) BP. BP LISTA EL 05/08 SE CITA PARA EL 18/08 CON OYARZUN </t>
    </r>
  </si>
  <si>
    <t>HOV (Dr. RAMOS/ DR OYARZUN)</t>
  </si>
  <si>
    <t>P)SE CITA EL 19/08 A LAS 14:30 CON OYARZUN</t>
  </si>
  <si>
    <t>REV (JULIO)</t>
  </si>
  <si>
    <t>HUGO ARANDA RAMIIREZ</t>
  </si>
  <si>
    <t>OBS: TU mejilla D°</t>
  </si>
  <si>
    <r>
      <t xml:space="preserve">Seguimiento Enf: 09/01 tomo conocimiento de caso, paciente previamente evaluado en consulta dermatología con lesión en mejilla derecha sospechosa, se realizó en pabellón cirugía menor, posteriormente con resultado de biopsia fue derivado a consulta cabeza y cuello. Evaluado en diciembre/2024, cirujano cabeza y cuello indicó estudio TAC maxilofacial de cara c/c, el cual se recibe informado con sospecha de aspecto neoproliferativa. P) CITAR c/DR OYARZUN (transf. cupo x consulta rep). 10/01 se realiza agendamiento para el día 14/01 14:30hrs c/Dr OYARZUN, evaluado, se solicita biopsia incisional y etapificación (RM de cabeza y cuello), citar c/resultados. 22/01 se recibe solicitud desde IMARED para informar de marcapaso que tiene usuario, me comunico con familiares para recabar información de marcapaso e informar a imagenología. P) resultado. P) biopsia 15/01 </t>
    </r>
    <r>
      <rPr>
        <b/>
        <sz val="11"/>
        <color theme="1"/>
        <rFont val="Calibri"/>
        <family val="2"/>
        <scheme val="minor"/>
      </rPr>
      <t>.</t>
    </r>
    <r>
      <rPr>
        <b/>
        <sz val="11"/>
        <color theme="4"/>
        <rFont val="Calibri"/>
        <family val="2"/>
        <scheme val="minor"/>
      </rPr>
      <t xml:space="preserve"> cardiologa d eHSP indica que no s epuede tomar RNM con marcapaso y deja indicaciones para cirugia. 10/03 BP OK, SE AGENDA PARA EL 12/03 DR. RAMOS revisa bp (-) pero solicita nuevo pabellon para bp. posiblemente 17/03//</t>
    </r>
    <r>
      <rPr>
        <b/>
        <sz val="11"/>
        <color rgb="FFFF0000"/>
        <rFont val="Calibri"/>
        <family val="2"/>
        <scheme val="minor"/>
      </rPr>
      <t xml:space="preserve"> 1-4-25 dejo en listado de cx menor con dr martinez//4-4-25 actualmente hospitalizado desde 2-4-25 en combarbala, dr perez de combarbala solicita reevaluacion ya que TU a avanzado a orbita ocular + una sobreinfeccion tratandolos con ATB EV. entrego caso a dr ramos p)respuesta de dr ramos.</t>
    </r>
    <r>
      <rPr>
        <b/>
        <sz val="11"/>
        <color theme="4"/>
        <rFont val="Calibri"/>
        <family val="2"/>
        <scheme val="minor"/>
      </rPr>
      <t xml:space="preserve"> PCTE DERIVADO DESDE HOSP COMBARBALA EL 09/04/25. HOSPITALIZADO EN HOV RECHAZA TOMARSE NUEVA BIOPSIA.</t>
    </r>
  </si>
  <si>
    <t>HOV (DR OYARZUN / DR OSMAN)</t>
  </si>
  <si>
    <t>P) RECHAZA TOMAR BP, BP TODAS NEGATIVAS</t>
  </si>
  <si>
    <t>HACER SEGUIMIENTO PARA SACAR DE BAJO CONTROL</t>
  </si>
  <si>
    <t>ANA DONOSO GALLEGUILLOS</t>
  </si>
  <si>
    <t>La florida, santiago?</t>
  </si>
  <si>
    <t>CA Epidermoide cien izq°</t>
  </si>
  <si>
    <t>Seguimiento en Hospital de origen (HOV)</t>
  </si>
  <si>
    <r>
      <t xml:space="preserve">Seguimiento Enf: 20/5 paciente tome conocimiento dias anteriores, paciente fue evaluado en Enero por Dr. Osman y se deriva a CyC, el 16/5 se prioriza IC a CyC. Paciente citada para el 6/6 11:30hrs con Dr. Ramos, se reagenda para el 10/6. Paciente evaluado por Dr. Ramos, se solicita TAC cabeza cuello cerebro c/c + laboratorios (ambos en modulo ya procesandose) P) citar con resultados c/Dr. Ramos (4/7 se toma, pend. informe 18/7 consulto a imagenología para priorzar. 6/8 se recibe resultado de tac. 9/8 se realiza agendamiento para el día 12/8 15:00hrs c/dr. RAMOS, es evaluada, se indica que se informe TAC tórax (20/8 se recibe informe), 30/8 se realiza agendamiento para cupo informe comité el 4/9 16:00hrs, luego presentar a COR CYC. 6/9 se presenta a comité, en resolución se indica seguimiento por Ovalle, se cita para el 13/9 15:00hrs c/dr. RAMOS, evaluada, se plantea seguimiento control en 6 meses. P) CITAR EN MARZO/2025 c/Dr RAMOS. </t>
    </r>
    <r>
      <rPr>
        <b/>
        <sz val="11"/>
        <color theme="4"/>
        <rFont val="Calibri"/>
        <family val="2"/>
        <scheme val="minor"/>
      </rPr>
      <t>SE CITA 22/05. EVALUADA POR DR. RAMOS INDICA TAC DE CEREBRO, CARA CUELLO Y TORAX C/C. P) EVALUAR CON EXAMENES. 16/06 TAC OK INFORMADO P) CITAR. CITADA HOY 24/06. EVALAUDA POR DR. RAMOS INDICA CONTROL EN 6 MESES</t>
    </r>
  </si>
  <si>
    <t>HOV (Dr. Osman // Dr. Ramos)</t>
  </si>
  <si>
    <t>P) CONTROL EN DICIEMBRE 2025</t>
  </si>
  <si>
    <t>DEIVID BUSTAMANTE ROJAS</t>
  </si>
  <si>
    <t>Neoplasia folicular, bethesda 4</t>
  </si>
  <si>
    <r>
      <t xml:space="preserve">Seguimiento Enf: 25/06 tomo conocimiento de caso,  usuario tuvo evaluación con Dr. Ramos en Febrero/2024, se indica usuaria con neoplasia folicular, se solicita eco de etapificación (informada) y control con resultados, usuario acude a módulo oncológico consultando por estado de atención. 5/7 se realiza agendamiento para el 8/7 11:30hrs, usuario evaluado, se plantea tiroidectomia total, se llena ficha clinica, se firma C.I. y se envía a U.preqx. (17/10 se actualizan exs preop + ECG) 21/10 usuario citado preoperatorio c/Dr Oyarzun el 23/10, evaluado se solicita actualizar eco cervical (se prioriza por modulo) y evaluación por hemato (citado el 28/10) para preparar Int. Qx. P) citar c/resultados. (tomada 5/11 pend informe). 18/12 evaluado x Dr Oyarzun, se solicita ev por hemato para pase (dra Caraballo vacaiones hasta enero/2025 X CONSULTA REPETIDA). </t>
    </r>
    <r>
      <rPr>
        <b/>
        <sz val="11"/>
        <color theme="4"/>
        <rFont val="Calibri"/>
        <family val="2"/>
        <scheme val="minor"/>
      </rPr>
      <t>se conversa caso con gestora de hemato y solicitamos examenes. p) CONTROL CON DRA. CARABALLO. DRA CARABALLO DA PASE OP. P) EVALUAR CON DRA. PALMA PARA COMENZAR CON LUGOL 25/06 DRA. INDICA ADMINISTRAR LUGOL 6 DIAS PREVIOS A CIRUGIA. SE OPERA Y SE CITA CON OYARZUN EL 13/08 SE EVALUA BP NEHATIVA CONTROL EN 21MES// CONTROL DEL 10-09-2025  IC A FNA PARA REHABILITACION. CONTROL EN 2 MESES. ATENDIDO EL 04/11/25 DOCTOR RAMOS EVALUA CON TERAPIA FINALIZADA INDICA LATA POLI CyC</t>
    </r>
  </si>
  <si>
    <t>HOV (Dr. Ramos/Oyarzun)</t>
  </si>
  <si>
    <t>P) CONTROL EN 2 MES</t>
  </si>
  <si>
    <t>ALTA POLI CyC</t>
  </si>
  <si>
    <t>HUGO CORTES RAMOS</t>
  </si>
  <si>
    <t xml:space="preserve">OBS MELANOMA PARPADO </t>
  </si>
  <si>
    <t>DETENDIO</t>
  </si>
  <si>
    <t>SE PESQUIZA IC EN SISTEMA P) PRIMERA CONSULTA</t>
  </si>
  <si>
    <t>DR. OSMAN</t>
  </si>
  <si>
    <t>P) CITAR URGENTE COMO CONSULTA NUEVA</t>
  </si>
  <si>
    <t>SE CITA PARA 19/08 CON OSMAN ALTA POR POLI DERMATOLOGIA</t>
  </si>
  <si>
    <t>JUAN LARENAS LARENAS</t>
  </si>
  <si>
    <t xml:space="preserve">  </t>
  </si>
  <si>
    <t>Seguimiento Enf: 19/4 paciente en controles por dra. Palma, se deriva a dr. Ramos quien lo evalua el 7/3/24, le solicita eco tiroidea y paaf de ser posible, se recibe informe con neoplasia de glandusal salivales con potencial maligno y eco tiroidea tirads 3, se presenta en reunión imagenología y con resultados listos se cita para control c/Dr. Ramos para el 26/4/24 a las 15:30hrs, es evaluado y se indica presentar a comité para el 3/5 ( no se presenta) . 6/6 se envía carpeta de antecedentes a Dr. Ramos para ser presentado a comité, se presenta a comité CyC, sin embargo se indica pendiente solucionar por comité TORAX y luego CyC y prostata para poder ser representado a comité CyC. 11/10 citado 18/10 c/dra hurtado x bronco. CASO EN BAJO CONTROL TORAX.</t>
  </si>
  <si>
    <t>HOV (Dr. Ramos / Dra. Palma)</t>
  </si>
  <si>
    <t xml:space="preserve">P) Resolución por comité torax. </t>
  </si>
  <si>
    <t>FALLECIDO</t>
  </si>
  <si>
    <t>JUAN CARLOS RIVERA ROJAS</t>
  </si>
  <si>
    <t>CARCINOMA CUERO CABELLUDO</t>
  </si>
  <si>
    <t>Seguimiento Enf: Paciente evaluada por Dr. Osman el 18/10 , herida sin signos de recidiva, se plantea control para 6 meses (Abril/2024). 4/4 se agenda a pcte para día 26/4 a las 15:00hrs, esposa confirma asistencia. Se evalua a paciente, se indica sin signos recidiva (no se especifica periocidad seguimiento) citar en 6 meses. 12/11 se realiza agendamiento para el día 26/11 10:00hrs c/Dr OSMAN, evaluado sin recidiva, control en 1 año (Noviembre/2025)</t>
  </si>
  <si>
    <t>DR, OSMAN</t>
  </si>
  <si>
    <t>P) CITAR EN NOVIEMBRE/2025 c/DR OSMAN</t>
  </si>
  <si>
    <t>evaluado 27/11 indica alta</t>
  </si>
  <si>
    <t xml:space="preserve">BEATRIZ ZEPEDA </t>
  </si>
  <si>
    <t>CARCINOMA DE CELULAS ESCAMOSA DE PIEL  (MEJILLA)</t>
  </si>
  <si>
    <t>Seguimiento Enf: Paciente evaluado por Dr. Osman el 29/12/2023 donde se evalúa TAC sin signnos de neoplasia, se estima CONTROL EN 1 AÑO (Diciembre/2024) . 29/11 se agenda para el día 03/12 10:00hrs c/Dr Osman, evaluada sin recidiva,, control en 1 años (Diciembre/2025)</t>
  </si>
  <si>
    <t>1 AÑO</t>
  </si>
  <si>
    <t>ALTA X DR. OSMAN</t>
  </si>
  <si>
    <t>VERONICA LASTRA VARGAS</t>
  </si>
  <si>
    <t>OBS TUMOR DE LENGUA</t>
  </si>
  <si>
    <t>PACIENTE CON OBS DE TUMOR DE LENGUA, SE INDICO 1) TAC DE CEREBRO, CARA, CUELLO, TORAX Y ADBOMEN CON CONTRASTE, CUENTA CON REUSLTADO DE BIOPSIA. SE PRESENTA A COMITE DE CYC Y DE TORAX DONDE SE SOLICITA BIOPSIA DE MASA PULMONAR A TRAVES DE FBC Y PET-CT YA TRAMITADO, Y RNM DE CEREBRO</t>
  </si>
  <si>
    <t>DR. OYARZUN / DR. RAMOS</t>
  </si>
  <si>
    <t>REPRESENTAR CON FBC / RNM CEREBELO Y PET-CT</t>
  </si>
  <si>
    <t>ROBINSON ROBLES VELIZ</t>
  </si>
  <si>
    <t xml:space="preserve">MONTE PATRIA </t>
  </si>
  <si>
    <t>LESION NODULAR MELANOCITICA</t>
  </si>
  <si>
    <t>ES EVALUADO EN JUNIO/ 'CON DR. RAMOS POR LESION NODULAR MELANOCITICA  QUIEN INDICA CX MENOR. HOY 18/11 AUN PENDIENTE</t>
  </si>
  <si>
    <t>PENDIENTE CIRUGIA MENOR</t>
  </si>
  <si>
    <t xml:space="preserve">04/02/2026 EGRESO DE POLICLINICO POR DR RAMOS. </t>
  </si>
  <si>
    <t xml:space="preserve">ALVARO GARCIA CARRION </t>
  </si>
  <si>
    <t xml:space="preserve">Ovalle </t>
  </si>
  <si>
    <t>MELANOMA</t>
  </si>
  <si>
    <t>ETAPIFICACION</t>
  </si>
  <si>
    <t>S/C</t>
  </si>
  <si>
    <t>CONTROL CON RESULTADOS, Solicito TAC de Cerebro, cara, cuello, toraz y abdomen</t>
  </si>
  <si>
    <t xml:space="preserve">CON RESULTADOS </t>
  </si>
  <si>
    <t>DR RAMOS</t>
  </si>
  <si>
    <t>FALLECIDO SHOCK SEPTICO COLANGITIS 26/02/2026</t>
  </si>
  <si>
    <t>CABEZA Y CUELLO</t>
  </si>
  <si>
    <t>N°</t>
  </si>
  <si>
    <t>DIAGNOSTICO</t>
  </si>
  <si>
    <t xml:space="preserve">PERIODICIDAD DE SEGUIMIENTO </t>
  </si>
  <si>
    <t xml:space="preserve">PROFESIONAL </t>
  </si>
  <si>
    <t>Fecha ultimo Control</t>
  </si>
  <si>
    <t xml:space="preserve">Fecha proximo Control </t>
  </si>
  <si>
    <t>Dias Disponibles</t>
  </si>
  <si>
    <t>Estado</t>
  </si>
  <si>
    <t>TAC</t>
  </si>
  <si>
    <t>REV</t>
  </si>
  <si>
    <t>CITAR</t>
  </si>
  <si>
    <t>CIRUGIA PENDIENTE</t>
  </si>
  <si>
    <t xml:space="preserve">ABEL TAPIA ROJAS </t>
  </si>
  <si>
    <t>Cancer conducto auditivo externo</t>
  </si>
  <si>
    <t xml:space="preserve">Cirugia y representar con biopsia, Se deriva al otorrino HLS para evaluación </t>
  </si>
  <si>
    <t>HLS</t>
  </si>
  <si>
    <t xml:space="preserve">EN CURSO </t>
  </si>
  <si>
    <t>Seguimiento Enf: Se realiza seguimiento de caso, paciente sin antenciones en 2024. 25/4 se llama a paciente, se encuentra operado en sept/23 por Dr.Vilchez/Dr.González actualmente en controles por oftalmología en HLS con Dr. Vilchez, último control en febrero donde se evalua cicatriz op sin signos de recidiva, se indica crema c/vaselina a aplicar 1 vez x semana + control en septiembre/2024 con TAC cerebro/cabeza/cuello de control. 3/9 se realiza seguimiento, usuaria tuvo última atencion con Dr. Vilches quien le mantuvo tratamiento (crema), usuario no maneja mayor información. P) Seguimiento Noviembre</t>
  </si>
  <si>
    <t>Otorrino HLS (Dr. Vilchez)</t>
  </si>
  <si>
    <t xml:space="preserve">P) control sept/2024 con oftalmo HLS (P) toma de TAC </t>
  </si>
  <si>
    <t>ADRIANA ESPINOSA (-)</t>
  </si>
  <si>
    <t>Rio hurtado</t>
  </si>
  <si>
    <t>CARCINOMA ESPINOCELULAR MEJILLA IZQUI</t>
  </si>
  <si>
    <r>
      <t>Seguimiento Enf: Paciente sin atenciones en 2024. Última evolución solicita eco de cuello (lista)oct-2023, PENDIENTE toma de bp, evaluar eco de cuello para ver si tomar o no TAC. Pendiente examenes con resultados para presentar a comité para ampliación de margenes (ex. listos). Dr. Osman cita para 6 meses más (Marzo/2024). Se agenda paciente para Jueve 21/3 c/ dr. ramos, 17/4 se consulta a a dr.Ramos, me indica que se debe priorizar ic a pabellón cx menor para que le tomen bp y posteriormente citar c/resultado. 24/4 se toma bp, 13/5 se recibe bp. 20/5 se cita para el 23/5 14:00hrs con Dr. Ramos para evaluación de biopsia. 24/5 se reagenda para 30/5 15:30hrs c/Dr. Ramos. Se evalua bp y eco pb cervical, se estipula presentar a COR CyC. 22/7 se agenda cupo para el 23/7 15:30hrs con Dr. Ramos para confeccion de comité CyC. 26/7 se presenta a COR CYC, se define: seguimiento oncologico en HOV.29/7 se cita usuario para el 1/8 15:00hrs entrega resolución, evaluada, corresponde control en 6 meses. P) CITAR EN FEBRERO/2025.</t>
    </r>
    <r>
      <rPr>
        <b/>
        <sz val="11"/>
        <color theme="4"/>
        <rFont val="Calibri"/>
        <family val="2"/>
        <scheme val="minor"/>
      </rPr>
      <t xml:space="preserve"> agendada el 11/02 NSP. p) reagendar//</t>
    </r>
    <r>
      <rPr>
        <b/>
        <sz val="11"/>
        <color rgb="FFFF0000"/>
        <rFont val="Calibri"/>
        <family val="2"/>
        <scheme val="minor"/>
      </rPr>
      <t>3-4-25 p) agendamiento.</t>
    </r>
    <r>
      <rPr>
        <b/>
        <sz val="11"/>
        <color theme="4"/>
        <rFont val="Calibri"/>
        <family val="2"/>
        <scheme val="minor"/>
      </rPr>
      <t xml:space="preserve"> AGENDADA PARA EL 05-05. EVALUADA POR DR. AZUA QUIEN INDICA EVALUACION ANUAL POR DERMATOLOGIA y C/6 MESES POR CyC. evaluada el 05/05 por dr azua ( remplazo de dr. ramos) e indica control en 1 año. 07/11 CONTROL CON DERMATO INDICA CONTROL EN 6 MESES</t>
    </r>
  </si>
  <si>
    <t>DR. RAMOS / DR. OYARZUN</t>
  </si>
  <si>
    <t>P) CITAR  6 MESES CYC Y DERMATO</t>
  </si>
  <si>
    <t xml:space="preserve">ALBA ESPERANZA FERNÁNDEZ CISTERNAS </t>
  </si>
  <si>
    <t>GANGLIOS CERVICALES INFLAMADOS</t>
  </si>
  <si>
    <t>SOSPECHA</t>
  </si>
  <si>
    <t>DETENIDA</t>
  </si>
  <si>
    <t>SIN ECO</t>
  </si>
  <si>
    <t>CUELLO MOVIL, SE PALPAN 2 GANGLIOS  CERVICALES IZQUIERDO AUMENTADOS DE TAMAÑO: NIVEL IIB Y III. DOLOROSOS A LA PALPACIÓN, CAVIDAD BUCAL SIN LESIONES. TIROIDES PALPABLE LEVEMENTE AUMANTADA DE VOLUMEN.
PLAN:
1) ECO DE CUELLO Y TIROIDES.</t>
  </si>
  <si>
    <r>
      <rPr>
        <b/>
        <sz val="11"/>
        <color rgb="FF000000"/>
        <rFont val="Calibri"/>
        <scheme val="minor"/>
      </rPr>
      <t>SIN ECO DE JULIO/2025</t>
    </r>
    <r>
      <rPr>
        <sz val="11"/>
        <color rgb="FF000000"/>
        <rFont val="Calibri"/>
        <scheme val="minor"/>
      </rPr>
      <t xml:space="preserve"> / LLAMAR PARA RETOMAR ATENCIONES</t>
    </r>
  </si>
  <si>
    <t>ALBERTO PAN ABREU</t>
  </si>
  <si>
    <t>TUMOR RINOFARINGE: SARCOMA DE KAPOSI</t>
  </si>
  <si>
    <t>25/06/2025 TOMO CONOCIMIENTO DE CASO CON BP POSITIVA , PENDIENTE VER HOSPITALIZACION O CONTROL CON OTORRINO. Evaluado por otorrino quien indcia solicitara priemro evaluacion por dr. Delgado y ver presentacion a cor. Evaluada dr. Delgado quien indcia tac de cuello, tyorax abdomen y pelvis, eda y colono. dR. DELGADO INDICA PRESENTAR A COMITE EN ESPERA DE EXAMENES. SE PRESENTA A COR EL 21/08 QUIEN INDICA DERIVACION A ONCOLOGIA MEDICA EN ESPERA DE EXAMENES CD4. SE RECEPCIONAN EXAMENES Y SE DERIVA A ONCOLOGIA OCN CARPETA DE ANTECEDENTES.</t>
  </si>
  <si>
    <t>HOV. (DR. SANCHEZ)</t>
  </si>
  <si>
    <t>P)EDA Y COLONO</t>
  </si>
  <si>
    <t>PREGUNTAR POR EDA Y COLONO</t>
  </si>
  <si>
    <t>ALEJANDRO VALDES CASTILLO</t>
  </si>
  <si>
    <t>CARCINOMA BASOCELULAR PIGMENTADO</t>
  </si>
  <si>
    <r>
      <t xml:space="preserve">Seguimiento Enf: Se trata de paciente con biopsia pendiente desde 2016, en evaluaciones por hematología, se solicita IC para dermatología para evaluar bp pendiente, se cita para el día 23/4 con Dr. Osman, quien evalua a pcte como dermatitis seborreica y cita para 3 meses. 22/7 se realiza agendamiento con Dr. Osman para el 6/8 14:00hrs, </t>
    </r>
    <r>
      <rPr>
        <sz val="11"/>
        <rFont val="Calibri"/>
        <family val="2"/>
        <scheme val="minor"/>
      </rPr>
      <t xml:space="preserve">es evaluado y se indica tto para desmacación de piel?, se cita para 3 meses pero por dermatitis seborreica??. 11/11 se realiza agendamiento para el 12/11 10:00hrs c/Dr OSMAN, evaluado con respuesta favorable de tto, control en 3 meses. (febrero/2025) --&gt; 31/01 se agenda para el 04/02 10:00hrs c/Dr OSMAN. PCTE EVALLUADA  p) control en mayo. </t>
    </r>
    <r>
      <rPr>
        <sz val="11"/>
        <color theme="4"/>
        <rFont val="Calibri"/>
        <family val="2"/>
        <scheme val="minor"/>
      </rPr>
      <t>SE CITA EL 08/07 NSP, SE REAGENDA EL 11/07 PERO NO LO ATIENDEN POR NO RECEPCIONAR LLEGADA, SE REAGENDAN PARA EL 15/07 LOE VALUA DOCTOR OSMAN/ LE DEJA KETOCONAZOL Y TERBIANFINA.</t>
    </r>
  </si>
  <si>
    <t>3 meses</t>
  </si>
  <si>
    <t>DR.OSMAN</t>
  </si>
  <si>
    <t>contorl en 3 meses/ ENERO 2026</t>
  </si>
  <si>
    <t>GES</t>
  </si>
  <si>
    <t>ALICIA GUZMAN GUZMAN</t>
  </si>
  <si>
    <t>CARCINOMA PAPILAR (CATEGORÍA V DEL SISTEMA BETHESDA)</t>
  </si>
  <si>
    <t>15/04 PACIENTE INGRESA A BC INDICADO POR DR. RAMOS POR BIOPSIA (+) HALLAZGOS MORFOLÓGICOS SUGERENTES DE CARCINOMA PAPILAR (CATEGORÍA V DEL SISTEMA BETHESDA). SE AGENDA CON DR. RAMOS 16/04 CONFIRMA BP (+) E INDICA ETAPIFICACION ECO DE CUELLO. 29/05 EVALUADA POR DRA. PALMA SOLICITA EXAMENES. EL 27/05 SE PRESENTA A COR ENDOCRINOLOGIA, SE INDICA CIRUGIA "TIROIDECTOMIA TOTAL". EL 03/06 SE AGENDA CON DR. RAMOS PARA ENTREGA DE RESOLUCION P) IC A CIRUGIA CyC PARA DERIVACIÓN. PACIENTE DERIVADA A HLS HOY 11/11 AUN EN ESPERA DE INTERVENCION QX</t>
  </si>
  <si>
    <t>DR. OYARZUN / Dr. RAMOS</t>
  </si>
  <si>
    <t>CONTROL POST CIRUGIA (19/08 AUN NO SE OPERA)</t>
  </si>
  <si>
    <t>AMADIEL CORTÉS ARAYA</t>
  </si>
  <si>
    <t>CARCINOMA BASOCELULAR NODULAR en dorso nasal // ESCAMOSO SIEN DERECHA</t>
  </si>
  <si>
    <t xml:space="preserve">Seguimiento Enf: 10/10 tomo conocimiento de caso, usuario evaluado en Junio/2024 por dermatólogo con lesión en dorso nasal la cual se indica biopsia, posteriormente se toma biopsia en septiembre/2024, se recibe resultado de biopsia positiva para CBC. P) CITAR c/Dr. OSMAN. 23/10 se realiza agendamiento para el dia 05/11 09:00hrs c/Dr OSman, evaluado sin recidiva, plan control 6 meses. P) CITAR EN MAYO/2025. EVALUADO POR DR. OSMAN QUIEN PESQUIZA LESIONES VERRUGOSAS TORACICAS, ENVIA PARA EGNDAMIENTOD E CX MENOR. SE REALIZA CX MENOR. LLEGA RESULTADO DE BIOPSIA, SE CITA CON OSMAN EL 13/11. DOCTOR INDICA TAC </t>
  </si>
  <si>
    <t xml:space="preserve">control febrero </t>
  </si>
  <si>
    <t>AMADO NUÑEZ BARRAZA</t>
  </si>
  <si>
    <t>CARCINOMA BSOCELULAR INFILTRANTE EN DERMIS RETICULAR ALA NASAL DERECHA</t>
  </si>
  <si>
    <t>tratamiento</t>
  </si>
  <si>
    <t>PRIMERA CONSULTA CON DOCTOR OSMAN EL 18/11/25 PARA EVALUAR RESULTADO DE BIOPSIA, CON RESULTADO (+9 CBC DOCTOR INDICA AMPLIACION DE MARGENES</t>
  </si>
  <si>
    <t>AMELIA DEL ROSARIO ARAYA</t>
  </si>
  <si>
    <t>CARCINOMA BASOCELULAR NODULAR INFILTRANTE EN DERMIS RETICULAR</t>
  </si>
  <si>
    <r>
      <t xml:space="preserve">Seguimiento Enf: Paciente en controles con dr. Osman en Marzo/24, se le solicita biopsia de punta nasal, el 22/4 se recibe informe de bipsia que indica Carcinoma basocelular nodular infiltrante en dermis reticular. 24/4 se llama a Yasna(jefaLE) para solicitar cambio prestación consulta especializada control para el 25/4 15:00hrs, se llama a pcte confirma asistencia. Paciente evaluada por Dr. Osman, se evalua bp, se indica imiquimod y control en 3 meses . 19/7 tuvo control con Dr. Osman, se evalua sin signos recidiva, se estipula control en 6 meses ( CITAR EN ENERO/2025) 31/12 se realiza agendamiento para el día 02/01 15:00hrs c/Dr OSman, </t>
    </r>
    <r>
      <rPr>
        <sz val="11"/>
        <color rgb="FF00B0F0"/>
        <rFont val="Calibri"/>
        <family val="2"/>
        <scheme val="minor"/>
      </rPr>
      <t>evaluada sin recidiva se estipula control en 1 año. (CITAR ENERO/2026)</t>
    </r>
  </si>
  <si>
    <t>P) CITAR EN ENERO/2026 c/Dr OSMAN</t>
  </si>
  <si>
    <t>AMINTA CARVAJAL CASTILLO</t>
  </si>
  <si>
    <t xml:space="preserve">CARCINOMA BASOCELULAR </t>
  </si>
  <si>
    <r>
      <t xml:space="preserve">Seguimiento Enf: Paciente en CPEEN CUIDADOS PALIATIVOS EXCLUSIVOS , paciente en controles telemedicina el 8/4, tendrá control el INSTITUTO DEL CANCER EL 25/04/24. 3/6 se realiza seguimiento, paciente recibió una sesión de RDT en Abril, en control en instituto del cáncer se estipula control a los 6 meses (Corresponde citación en Octubre/2024), se estipula mantener en controles 3 veces por semana en cesfam de residencia, paciente en buenas condiciones generales, sin sintomatología. P) Seguimiento sePTIEMBRE, tiene hora para noviembre 22 en InCancer, se solicitó control en CPYAD y tuvo atención x telemedicina para que retire receta, se mantiene en curaciones bisemanales en CESFAM punitaqui. P) SEGUIMIENTO EN DICIEMBRE/2024. </t>
    </r>
    <r>
      <rPr>
        <b/>
        <sz val="11"/>
        <color theme="4"/>
        <rFont val="Calibri"/>
        <family val="2"/>
        <scheme val="minor"/>
      </rPr>
      <t>27/05 /2025 PCTE CON CONTROLES DE CPYAD INDICAN PARCHE BUPRENORFINA Y RISPERIDONA. 18/08 ACTUALIZAN RECETA DE BUPRERNORFINA</t>
    </r>
  </si>
  <si>
    <t xml:space="preserve">3 MESES </t>
  </si>
  <si>
    <t>cuidados paliativos exclusivos</t>
  </si>
  <si>
    <t>ANA ARAYA CASTILLO</t>
  </si>
  <si>
    <t>CANCER DE LA GLÁNDULA LOBULO DERECHO, TIPO HISTOLÓGICO: CARCINOMA PAPILAR,
SUBTIPO FOLICULAR.P194</t>
  </si>
  <si>
    <t xml:space="preserve">PCTE CON NEOPLASIA FOLICULAR DETECTADA EN PAAF SE OPERA DE TIROIDECTOMIA DONDE EVIDENCIA CA D ELA GLANDULA LOBULO D° CARCINOMA PAPILAR. SE SOLICITA ECO DE CUELLO Y SE DEBE PRESENTAR EN COMITÉ DE TIROIDES. SE REVISA ECO SE COLICTA ECO ETAPIFICACION </t>
  </si>
  <si>
    <t xml:space="preserve">CONN RESULTADOS </t>
  </si>
  <si>
    <t>SE DEBE PRESENTAR EN COMITÉ TIROIDES</t>
  </si>
  <si>
    <t>ANA GALINDO PROAÑO</t>
  </si>
  <si>
    <t>CARCINOMA BASOCELULAR ULCERADO, PIGMENTADO INFILTRANTE EN DERMIS RETICULAR</t>
  </si>
  <si>
    <t xml:space="preserve">PENDIENTE </t>
  </si>
  <si>
    <r>
      <t xml:space="preserve">Seguimiento Enf: 26/06 tomo conocimiento de caso, usuaria fue evaluada en primera instancia por Dr. Osman Cortés en febrero , se evalua lesión en ala nasal izquierda, se indica exeresis, se realiza excenteración el 23/5. Hoy se recibe resultado de biopsia informada 25/6, la cual indica CARCINOMA BASOCELULAR ULCERADO, PIGMENTADO INFILTRANTE EN DERMIS RETICULAR. Se realiza agendamiento para el 02/07 08:00hrs c/Dr. osman, es evaluada, se indica imiquimod y citar en 3 meses. 30/9 se realiza agendamiento para el 2/10 08:00hrs c/Dr. OSMAN, evaluado s/recidiva, se estipula control en 6 meses. P) CITAR EN ABRIL/2025 c/Dr. OSMAN. </t>
    </r>
    <r>
      <rPr>
        <b/>
        <sz val="11"/>
        <color theme="4"/>
        <rFont val="Calibri"/>
        <family val="2"/>
        <scheme val="minor"/>
      </rPr>
      <t>SE CITA EL 06/06  DR. INDICA CONTROL ANUAL</t>
    </r>
  </si>
  <si>
    <t>P) CITAR EN JUNIO 2026</t>
  </si>
  <si>
    <t>ANA GLADYS CORTÉS</t>
  </si>
  <si>
    <t>Carcinoma espinocelular queratinizante tipo queratoacantoma</t>
  </si>
  <si>
    <r>
      <t>Seguimiento Enf: 4/4 se recibe bp de granuloma en cara, compatible con Carcinoma espinocelular queratinizante tipo queratoacantoma. 11/4 se agenda para control dr. Ramos para el 18/4 ev. de bp, concluye carcinoma espinocelular, dr. Ramos solicita laboratorios + eco etapificación cuello y citar con resultados. 25/4 se consulta por orden eco, la tiene paciente, la traéra mañana. 10/5 Se cita a pcte con Dr. Ramos para 15/5 16:30hrs para firma de rechazo atenciones, presentar a comité para CPE y realizar IPD ingreso a CPYAD. Visto por Dr. Ramos, paciente rechaza tratamiento por salud y edad añosa, será presentada a comité CyC que rechaza tto.  23/5 se envia IPD ingreso a CPYAD recepcionado en GES. 31/5 se presenta a comité para CPE, se acepta resolución, paciente ya ingresada, se sube a derivaciones. 27/9 se realiza seguimiento, usuaria en BCG, lúcida y sin dolor, familiares al tanto de acudir a CPYAD en caso de requerirlo. P) SEGUIMIENTO Diciembre/2024.</t>
    </r>
    <r>
      <rPr>
        <b/>
        <sz val="11"/>
        <color theme="1"/>
        <rFont val="Calibri"/>
        <family val="2"/>
        <scheme val="minor"/>
      </rPr>
      <t xml:space="preserve"> </t>
    </r>
  </si>
  <si>
    <t>en CPE P) SEGUIMIENTO MAYO 2025</t>
  </si>
  <si>
    <t>REV (MAYO)</t>
  </si>
  <si>
    <t>seguimiento</t>
  </si>
  <si>
    <t>ANA VÉLIZ GONZÁLEZ</t>
  </si>
  <si>
    <t>PUNITAQUI</t>
  </si>
  <si>
    <t>CARCINOMA ESCAMOSO MODERADAMENTE DIFERENCIADO DE LENGUA.</t>
  </si>
  <si>
    <t>causal medica (CPE)</t>
  </si>
  <si>
    <t>Seguimiento Enf: 26/06 tomo conocmiento de caso, usuario en atenciones previas por Maxilo-facial con Dr. Ziller, se evalúa en Octubre/2023, donde se evidencia lesión y se solicita toma de biopsia para confirmar sospecha por lesión leucoplasia verrucosa en piso y borde de lengua izquierda. Posteriormente acude usuaria en Junio/2024 con Dr. Ziller, se solicita toma de biopsia la cual se realiza el 06-06. Se recibe resultado de biopsia informada el 25-06-2024 con resultado de CARCINOMA ESCAMOSO MODERADAMENTE DIFERENCIADO. 2/7 se realiza IC a CyC, 3/7 se prioriza IC para que sea citada con Dr. Ramos.  Se recibe hora para el 8/7 10:30hrs, usuaria evaluada se solicita TAC cara,cuello y cerebro y exs labs. (31/7 se tomó, 14/8 informada). 16/8 se realiza agendamiento para el 20/8 15:30hrs, es evaluada, se indica IPD ingreso CPYAD (Pend.) y guardar cupo para presentar a COR CYC. 27/9 se agenda cupo comite el 30/9 14:30hrs luego presentar a comité CYC (para cuidados paliativos exclusivos) (30/9 se tramita IPD ingreso a CPYAD). 11/10 presentada a comité CYC, se define CPE. P) CITAR c/DR RAMOS. 14/10 se cita para el 18/10 15:30hrs entrega resolución c/dr RAMOS, evaluada, mantener en controles por CPYAD (seguimiento diciembre). 02/12 tuvo contro, y quedaron con repetición de receta, celocoxib, tramadol en gotas, pregabalina, zopiclona, estuvo resfriada co ndolor lumbar, en recuperación, con dolor en cuello, febrero/2025 receta. P) seguimiento Febrero/2024. PACIENTE CON CPE SE ATIENDE CON POLI DOLOR EL 13/08 EVALUAN CASA, Y DERIVAN ASISTENTE SOCIAL, CON CUIDADOS POR SOBRINA POLITICA.</t>
  </si>
  <si>
    <t>P) SEGUIMIENTO DICIEMBRE.</t>
  </si>
  <si>
    <t xml:space="preserve">cpe </t>
  </si>
  <si>
    <t>ANA ZEPEDA ALFARO</t>
  </si>
  <si>
    <t>Cirugía y representar con biopsia</t>
  </si>
  <si>
    <t xml:space="preserve">VISTA EN POLICLINICO EL DIA 04/02/2026  SE SOLICITA PABELLON PARA PLASTIA, CONSENTIMIENTO INFORMADO T TTO ATB EXAMENES DE LABORATORIO PENDIENTES  </t>
  </si>
  <si>
    <t>p) control  TAC</t>
  </si>
  <si>
    <r>
      <t>ANDRÉS SEGUNDO</t>
    </r>
    <r>
      <rPr>
        <b/>
        <sz val="12"/>
        <rFont val="Calibri"/>
        <family val="2"/>
        <scheme val="minor"/>
      </rPr>
      <t> </t>
    </r>
    <r>
      <rPr>
        <sz val="12"/>
        <rFont val="Calibri"/>
        <family val="2"/>
        <scheme val="minor"/>
      </rPr>
      <t>LÓPEZ</t>
    </r>
    <r>
      <rPr>
        <b/>
        <sz val="12"/>
        <rFont val="Calibri"/>
        <family val="2"/>
        <scheme val="minor"/>
      </rPr>
      <t> </t>
    </r>
    <r>
      <rPr>
        <sz val="12"/>
        <rFont val="Calibri"/>
        <family val="2"/>
        <scheme val="minor"/>
      </rPr>
      <t>ALCAYAGA</t>
    </r>
  </si>
  <si>
    <t>CARCINOMA ESPINOCELULAR auditivo izquierdo</t>
  </si>
  <si>
    <t>CIRUGIA Y REPRESENTAR CON BIOPSIA</t>
  </si>
  <si>
    <r>
      <t>Seguimiento Enf: Paciente presentada en comité oncológico 15/3, se indica cirugia y representar con biopsia. Además del 26/2 se solicitan imágenes TAC cuello, cerebro, tórax y abdomen c/contraste (listo) y reevaluar c/resultados. Pcte evaluado x dra sanchez, se realiza derivación a HLS para intervención qx, pcte evaluado en HLS, se indica representar a comité oncologico para definir si CX o QMT (por CA T3 avanzado), paciente continuara con atenciones otorrino en HLS. el 7/5 asiste a control con Dra. Sanchez, se tomó biopsia en HLS, llegó bp a HSP el 22/5, el 4/6 se prioriza resultado de bp. Se presentó a comite oncológico el 3/5 y se decidio RT/QMT paliativa en espera de resultado bp, se consulta 19/6 aún pendiente. 10/7 se recibe resultado de biopsia, se envía correo a HLS. 9/8 se recibe contrarreferencia desde HCVB, usuario con TU irresecable, recibio 20 sesiones RDT entre el 8/7 y 6/8, se indica controles por Otorrino en HOV. Me comunico con Ingreso ORL (María) para agendar control correspondiente, citado 12/8 09:00hrs, es evaluada, se indica control en 2 meses para TAC. P) CITAR EN OCTUBRE/2024 c/dra. Sánchez</t>
    </r>
    <r>
      <rPr>
        <sz val="11"/>
        <color rgb="FF00B0F0"/>
        <rFont val="Calibri"/>
        <family val="2"/>
        <scheme val="minor"/>
      </rPr>
      <t xml:space="preserve"> --&gt; visto 11/12 x Dra Sanchez se estipuló control en 3 meses (febrero/2025), asistió a CPYAD enero/2025. P) coordinar agendamiento febrero x ORL//</t>
    </r>
    <r>
      <rPr>
        <sz val="11"/>
        <color rgb="FFFF0000"/>
        <rFont val="Calibri"/>
        <family val="2"/>
        <scheme val="minor"/>
      </rPr>
      <t xml:space="preserve">3-4-25 p) tac indicado por dra sancgez, con resultado citar. </t>
    </r>
    <r>
      <rPr>
        <b/>
        <sz val="11"/>
        <color theme="4"/>
        <rFont val="Calibri"/>
        <family val="2"/>
        <scheme val="minor"/>
      </rPr>
      <t>03/06 TAC INFORMADO P) CITAR NUEVAMENTE PARA EVALUACION DE INFORME. EVALUADA POR DRA SANCHEZ EL 09/06 INDICA CONTROL EN 6 MESES</t>
    </r>
  </si>
  <si>
    <t>HOV (Dra. Sanchez ORL) y HLS</t>
  </si>
  <si>
    <t>P)ORL (dra sanchez) y mantener CPYAD.</t>
  </si>
  <si>
    <t>ANDRÉS VILLALOBOS VILLALOBOS</t>
  </si>
  <si>
    <t>TU laringe</t>
  </si>
  <si>
    <t xml:space="preserve">NO </t>
  </si>
  <si>
    <r>
      <t>Seguimiento Enf: 28/5 Tomo conocimiento de caso, consulta nueva, se trata de paciente en atenciones por otorrino Dra. Salcedo por usuario de TQT, se controló el 4/4 donde se solicita toma de TAC cabeza cerebro con contraste (informado desde 10/4), posteriormente el 2/5 evaluado por Dra. Sanchez quien solicita laringoscopia + toma de biopsia, se cita a control el 23/5 para evaluación preoperatoria la cual se da pase operatorio. Hoy 28/5 llamo a otorrino para consultar por caso, me responde María (TENS) quien me indica que está con fecha de pabellón lista para 30/5. 11/6 se realiza seguimiento, paciente se operó y se tomo biopsia, hoy se llama a anatomia patológico y se prioriza biopsia. 3/7 se recibe resultado biopsia informado 26/6, se informa a otorrino de resultado, será citado prox semana (11/7 prob.) para ev de biopsia y NFL. 15/7 fue citado 8/7 pero NSP. Se reagendará por Otorrino. 1/8 fue citado y evaluado, se cambió TQT, se estima control en 1 mes. P) CITAR EN SEPTIEMBRE/2024. 27/9 se consulta, me informa TENS de ingreso que usuario se le entregó bp y fue derivado para INT QX en HLS con Dr. Scarton. 27/9 se realiza seguimiento, usuario evaluado en HLS por Dr. BERMEO, tiene citación 14/10 para evaluar resultados (RMN + exs preop), se definirá si le tomarán biopsia o si tendrá intervención QX para decanulación. El 06/1 tiene citación en HLS para operación, tiene examenes listos, int qx decanulación, tuvo RM sin hallazgos patologicos. P) Seguimiento Febrero/2025//</t>
    </r>
    <r>
      <rPr>
        <sz val="11"/>
        <color rgb="FFFF0000"/>
        <rFont val="Calibri"/>
        <family val="2"/>
        <scheme val="minor"/>
      </rPr>
      <t xml:space="preserve">3-4-25 usuario refiere que el 26-3-25 dra salcedo le retiro canula, lo cito para semanas mas (no veo registro clinico). </t>
    </r>
    <r>
      <rPr>
        <b/>
        <sz val="11"/>
        <color theme="4"/>
        <rFont val="Calibri"/>
        <family val="2"/>
        <scheme val="minor"/>
      </rPr>
      <t>14/04 EVALUADO POR ORL QUIEN REALIZA NFL , DERIVA A FONO Y CONTROL EN 6 MESES. CONTROL CON FONO OK</t>
    </r>
  </si>
  <si>
    <t>HOV ORL (Dra. Salcedo + Dra. Sánchez)</t>
  </si>
  <si>
    <t>controo con dra salcedo</t>
  </si>
  <si>
    <t>ANIBAL RIVERA ARAYA</t>
  </si>
  <si>
    <t>CARCIONOMA BASOCELULAR DE PUNTA NASAL</t>
  </si>
  <si>
    <t>pendiente (último 2019)</t>
  </si>
  <si>
    <r>
      <t xml:space="preserve">Seguimiento Enf: 23/1/24 Paciente evaluado por Dr. Osman a quien paciente comunica rechazo de ampliación de márgenes, al EF sin signos de recidiva. El 22/3 ev por Dr. Osman se indica control en 1 mes (Abril/2024). Se cita para día 19/4 c/dr. Osman 15:00hrs, se evalua paciente cuadro controlado se deja doxiciclina y metronidazol. control en 3 meses (Julio/2024). pcte rechazó cx por CyC --&gt; corresponde presentar a comité como rechazo para cierrre. P) </t>
    </r>
    <r>
      <rPr>
        <sz val="11"/>
        <rFont val="Calibri"/>
        <family val="2"/>
        <scheme val="minor"/>
      </rPr>
      <t>consultar Dr. Ramos. 22/7 usuario fue citado c/dr. Osman el 19/7, no se estipula periocidad control. 31/7 se realiza seguimiento, usuario me indica que control por dermatología le corresponde en 6 meses más. 31/12 se realiza agendamiento para el 02/01 15:00hrs c/Dr OSMAN, evaluado se indica tratamiento tópico y control en 3 meses (Citar ABRIL/2025).</t>
    </r>
    <r>
      <rPr>
        <sz val="11"/>
        <color rgb="FF00B0F0"/>
        <rFont val="Calibri"/>
        <family val="2"/>
        <scheme val="minor"/>
      </rPr>
      <t xml:space="preserve"> </t>
    </r>
    <r>
      <rPr>
        <b/>
        <sz val="11"/>
        <color theme="4"/>
        <rFont val="Calibri"/>
        <family val="2"/>
        <scheme val="minor"/>
      </rPr>
      <t>20/05 PACIENTE CITADO EL 23/07 POR DERMATOLOGO QUIEN SOLICITA CX MENOR</t>
    </r>
  </si>
  <si>
    <t>3 MESES</t>
  </si>
  <si>
    <t>P) Cx MENOR</t>
  </si>
  <si>
    <t>PENDIENTE CX MENOR</t>
  </si>
  <si>
    <t>ANITA CORTES MORGADO</t>
  </si>
  <si>
    <t>CATEGORIA III, BETHESDA</t>
  </si>
  <si>
    <t>SE RESCATA RESULTADO DE PAAS PENDIENTE EVALUAR CIRUJANO DE CYC</t>
  </si>
  <si>
    <t>CITAR CON OYARZUN</t>
  </si>
  <si>
    <t>AQUIRO OLIVARES CONTRERAS</t>
  </si>
  <si>
    <t>CARCINOMA ESPINOCELULAR DE CARA</t>
  </si>
  <si>
    <t xml:space="preserve">cirugia ampliación de margenes + representar con biopsia </t>
  </si>
  <si>
    <t>hov</t>
  </si>
  <si>
    <t>INT QX</t>
  </si>
  <si>
    <r>
      <rPr>
        <sz val="11"/>
        <color rgb="FF000000"/>
        <rFont val="Calibri"/>
        <scheme val="minor"/>
      </rPr>
      <t xml:space="preserve">Seguimineto Enf: Paciente en evaluación por Dr. Ramos, el 18/12 se entrega resolución comité, se llena ficha y se envian datos a unidad preqx, el 4/1/24 recibe pase anestesico. 17/4 se consulta dr.ramos, pcte con set qx listo, probablemente para segunda fecha de cx (aún sin definir), dr.scarton quiere eco de etapificación para disección gangloionar de cuello. Se solicitan nuevos estudios el19/4. (23/4 se rescata bp para orden eco etapificación y se entrega a Cami TENS). 13/5 se recibe resultado eco etapificación y se cita con Dr. Ramos para el 16/5 16:00hrs. Pcte fue indicado a operar el 25/5 sin embargo no pudo asistir por cuadro respiratorio. 4/6 se conversa en reunión con dr. martinez, se operara el 22/6, sin embargo no se opera, 19/7 se consulta a Dr. RAmos, usuario será considerado en próxima fecha de cirugía. P) INT. QX. (PENDIENTE CONSULTAR DR. RAMOS). 9/10 se agenda para el 10/10 c/Dr Oyarzun para evaluar int. qx, evaluado se solicita etapificar (se gestionan ordenes eco tiroides + TAC cuello), se tramitan ordenes, con resultados citar c/Dr. OYARZUN. 08/11 TAC cuello listo, se da hora 11/11 08:30hrs para toma de eco tiroides(NSP pero reagendar LLAMAR A DON AQUIRO) 29/11 se gestiona citación para eco tiroides el 03/12 08:30hrs. </t>
    </r>
    <r>
      <rPr>
        <sz val="11"/>
        <color rgb="FF00B0F0"/>
        <rFont val="Calibri"/>
        <scheme val="minor"/>
      </rPr>
      <t xml:space="preserve">03/01 se recibe resultado eco partes blandas, se realiza agendamiento 07/01 16:30hrs c/Dr OYARZUN, pero NSP. 20/01 se realiza seguimiento, se intenta reagendar pero don Aquiro con problemas judiciales citado el 23/01 y con madre hospitalizada que requiere de sus cuidados. Se difiere agendamiento 2 semanas. </t>
    </r>
    <r>
      <rPr>
        <b/>
        <sz val="11"/>
        <color rgb="FF4472C4"/>
        <rFont val="Calibri"/>
        <scheme val="minor"/>
      </rPr>
      <t xml:space="preserve">P) Citar en Febrero/2025 a poli CyC. SE REALIZA RESCATE DE PCTE EN MODULO, QUIEN INDICA INICIARA EXAMENS Y EVALUACION. PCTE INDICA QUE POSTERGARA CIRUGIA POR 6 MESES EN LE. FIRMA POSTERGACIÓN. PACIENTE DECIDE RETOMAR CONSULTAS. SE TOMA EXAMENES Y SE PIDE TAC, SE TOMA TAC 14/08 P) INFORME// EVALUADO CON DR RAMOS SE INDICA: Se discute caso con Dr. oyarzun, se planificara para cirugía de ampliación de margenes + resección de 2 lesiones cutaneas faciales nuevas. LLEGA BOPSIA, SE CITA  A POLI 11/02 A PACIENTE, DR. RAMOS EVALUA E INDICA REPRESENTACION A COMITE. </t>
    </r>
  </si>
  <si>
    <t>Con RESULTADOS</t>
  </si>
  <si>
    <t>REPRESENTAR A COMITE</t>
  </si>
  <si>
    <t>COMITE // AMPLIACION MARGENES</t>
  </si>
  <si>
    <t>BELKO BRUNA AGUIRRE</t>
  </si>
  <si>
    <t>Monte patria</t>
  </si>
  <si>
    <t>TU de fosa nasal IZQ /TU de base de craneo</t>
  </si>
  <si>
    <t>HOV /HSP</t>
  </si>
  <si>
    <r>
      <t>Seguimiento Enf: 14/5 tomo conocimiento de caso, se trata de paciente 15 años que tuvo atenciones por NCX en HSP (sin registro) por TU de base de craneo alto grado, atendido ambulatorio se intento derivar a HCVB sin embargo por residencia Monte Patria corresponde a HOV, visto por Dra. Salcedo el 25/04, previamente deriva a poli otorrino donde s ele toma biopsia confirmado TU ala nasal. Se recuperan archivos los cuales indicaron tanto de HOV ORL y HSP NCX la derivación a HCVB pero en espera de caso SIGGES. Hoy 22/5 se recibe hora de citación para el 17/6 16:00hrs con neuroCx en HCVB, se prioriza internamente citación para fecha próxima, se cita a paciente para 03/06/2024 en HCVB con NeuroCx Dr. Huidobro, se llama a madre quién confirma asitencia. 6/6 se realiza seguimiento, paciente evaluado el 3/6, se solicita estudio para evaluar vascularización cerebral a ser tomado el 10/6, posteriormente me indica que será intervenido Qx el 19/6. 15/7 se realiza seguimiento, fue operado 19/6 con éxito, fue dado de ALTA el 24/6, tiene control postop. el 24/7 en HCVB. 23/9 usuario presentado a comité el 13/9 se indica evaluación dental en HOV y RDT curativa, se gestiona IC a dental y se prioriza, se recibe hora para el 24/9., es evaluado, se da pase dental y se envia a Dr. TUDELA. P) INICIO RDT EN HCVB.  iniciaria RDT el 19/11. 26/12 acude madre de usuario post terminar RDT, se derivo a onco HOV, se solicita atención por otorrino Dra Salcedo. P) seguimiento.</t>
    </r>
    <r>
      <rPr>
        <sz val="11"/>
        <color rgb="FF00B0F0"/>
        <rFont val="Calibri"/>
        <family val="2"/>
        <scheme val="minor"/>
      </rPr>
      <t xml:space="preserve"> 23/01 acude madre de belko con orden de RM cerebro a tramitar en MAYO/JUNIO 2025 porque tiene control en Julio/2025 en HCVB.  </t>
    </r>
    <r>
      <rPr>
        <b/>
        <sz val="11"/>
        <color theme="4"/>
        <rFont val="Calibri"/>
        <family val="2"/>
        <scheme val="minor"/>
      </rPr>
      <t>SE GESTIONA RNM DE CEREBRO POR UNIDAD DE ONCOLOGIA SEMANA DEL 23/05</t>
    </r>
  </si>
  <si>
    <t>HOV (Dra. Salcedo) / HCVB (Dr. Huidobro)</t>
  </si>
  <si>
    <r>
      <t xml:space="preserve">P) </t>
    </r>
    <r>
      <rPr>
        <sz val="11"/>
        <color theme="1"/>
        <rFont val="Calibri"/>
        <family val="2"/>
        <scheme val="minor"/>
      </rPr>
      <t xml:space="preserve"> control en Julio/2025 en HCVB (RNM TRAMITADA) </t>
    </r>
  </si>
  <si>
    <t>VER SI SE TOMO RNM</t>
  </si>
  <si>
    <t xml:space="preserve">BENITA GONZALEZ TOLEDO </t>
  </si>
  <si>
    <t>Carcinoma basocelular</t>
  </si>
  <si>
    <r>
      <t>Seguimiento Enf: Paciente con atención 1/3/24 con Dr. Osman, prox control en 3 meses(Junio/24). 5/6 se realiza seguimiento para citar, sin embargo la usuaria sufrió caida y se fracturó su pelvis por lo que me refiere hija.22/7 se realiza aseguimiento, usuaria aún delicada por caída, familiar difiere atención por estado de salud. P) Seguimiento Septiembre y P) CITAR c/Dr. OSMAN. 30/9 se realiza agendamiento 2/10 10:00hrs c/Dr. OSMAN, pero NSP, P) REAGENDAR. 11/11 se reagenda hora para el 15/11 15:00hrs c/Dr OSMAN, pero NSP. 20/12 se realiza reagendamiento para el día 03/01/25 15:00hrs c/dr Osman (se avisa a pcte en caso de inasistencia se egresará (3ra)</t>
    </r>
    <r>
      <rPr>
        <sz val="11"/>
        <color rgb="FF00B0F0"/>
        <rFont val="Calibri"/>
        <family val="2"/>
        <scheme val="minor"/>
      </rPr>
      <t xml:space="preserve">, evaluada , se reindica tto con imiquimod y control en 3 meses (Abril/2025). </t>
    </r>
  </si>
  <si>
    <t>agendada 18/12 15:00 hrs</t>
  </si>
  <si>
    <t xml:space="preserve">BETSABETH VILLALON </t>
  </si>
  <si>
    <t xml:space="preserve">NODULO TIROIDEO BETHASDA IV </t>
  </si>
  <si>
    <r>
      <t>Seguimiento Enf: Paciente en seguimiento por Dr. Ramos, tenia PENDIENTE TRAER BIOPSIA DE LA FALP PARA CONTROL la cual no logra obtener, Dr. Ramos solicita nueva Eco Tiroidea, (pcte tramita x si solo), 11/4 me comunico con iamgenología para sacar copia y priorizar por oncología. P)cita y resultado. (22/4) 27/5 Rev aún pendiente. 5/6 se consulta nuevamente hoy, se prioriza para toma de eco tiroidea proxima semana (de 10 a 14 Junio). 3/7 se recibe resultado eco tiroidea. 12/7 se realiza agendamiento para el 19/7 15:00hrs, es evaluada, se indica citar con eco tiroides en 5 meses (CITAR EN DICIEMBRE/2024). 13/12 se realiza agendamiento para el 18/12 16:30hrs (sin eco tiroides en sistema) c/Dr RAMOS, evaluado se indica citar con resultado de eco tiroides. P) Citar c/resultados.</t>
    </r>
    <r>
      <rPr>
        <sz val="11"/>
        <color rgb="FF00B0F0"/>
        <rFont val="Calibri"/>
        <family val="2"/>
        <scheme val="minor"/>
      </rPr>
      <t xml:space="preserve"> 03/01 se recibe resultado, se realiza agendamiento para el día 07/01 16:30hrs c/Dr RAMOS, evaluada s/cambios de estudio previo, control en 6 meses (Julio/2025)</t>
    </r>
  </si>
  <si>
    <t>P) CITAR EN JULIO/2025 c/Dr RAMOS // P) ECO NO TIENE ORDEN</t>
  </si>
  <si>
    <t>ORDEN DE ECO</t>
  </si>
  <si>
    <t>CAMILA BONILLA VILLALOBOS</t>
  </si>
  <si>
    <t>tirads 3</t>
  </si>
  <si>
    <r>
      <t xml:space="preserve">Seguimiento Enf: Paciente en seguimiento en controles por dr.Ramos, controlado con eco cuello/tiroide en diciembre/2023, paciente evaluado 11/4, se solicita eco de control anual (abril/2025), se deja IC a neurología(priorizada 15/4 y citada 18/4) y se deja IC a pabellón cx menor para retirar quiste epidermico y tomar bp, se prioriza y se da hora para 18/4, se toma bp, informada el 30/4. 5/7 se cita para el 9/7 16:30hrs, es evaluada y se indica control en 6 meses para seguimiento x tirads-3. P) citar c/dr OYARZUN/RAMOS// </t>
    </r>
    <r>
      <rPr>
        <sz val="11"/>
        <color rgb="FFFF0000"/>
        <rFont val="Calibri"/>
        <family val="2"/>
        <scheme val="minor"/>
      </rPr>
      <t xml:space="preserve">citar con resultado de eco de tiroides. </t>
    </r>
    <r>
      <rPr>
        <b/>
        <sz val="11"/>
        <color theme="4"/>
        <rFont val="Calibri"/>
        <family val="2"/>
        <scheme val="minor"/>
      </rPr>
      <t xml:space="preserve">02-05 ECO TIROIDES NO TOMADA//Plan: Control en 6 meses (Pendiente firnar orden ya en enero 2026 para que quede control de eco de febrero 2026) </t>
    </r>
  </si>
  <si>
    <t>P) citar en febrero 2026 ( pendiente firmar orden de eco )</t>
  </si>
  <si>
    <t>CONTROL EN MARZO 2026</t>
  </si>
  <si>
    <t>CAMILA FERNANDA 	
GABLER  PIZARRO</t>
  </si>
  <si>
    <t>CARCINOMA PAPILAR DE TIROIDES</t>
  </si>
  <si>
    <t>16/04 TOMO CONOCIMIENTO DE CASO PCTE CON MASA CERVICAL D° DERIVADA A CONSULTA CON DRA. RAMOS, COMO CONSULTA NUEVA , PCTE SOSPECHA CA SE SOLICITA PAFF. 19/06 PAFF (+) SE AGENDA CON DR. Ramos para el dia 24/06. evaluada por ramos024/06 indica presentar a comite de endocrino, IC A DRA. PALMA Y ACTIVA GES. p) PRESENTAR A COMITE p) ORDEN DE ECO ++ IPD IMPRESO. SE DERIVA A CIRUGIA EN HLS. PACIENTE DIJO QUE NO SE IBA A OPERAR EN CONTACTO TELEFONICO CON GESTORA DE TIROIDES</t>
  </si>
  <si>
    <t>P) SE DERIVA A HLS PARA Cx</t>
  </si>
  <si>
    <t>NO SE QUIERE OPERAR</t>
  </si>
  <si>
    <t>CARLOS  ROBLES ÁVILA</t>
  </si>
  <si>
    <t>Carcinoma basocelular piel dorso nasal</t>
  </si>
  <si>
    <t>Seguimiento Enf: Paciente último control el 29-09 con Dr. Ziller, indica control en 3 meses (enero/2024), pero sin controles en 2024. 11/4 se llama a some odontología para agendar hora, se contacta a paciente en Argentina y que se acercarán cuando vuelvan a Ovalle a solicitar hora c/dr. Ziller. 10/6 se realiza seguimiento, paciente aún en Argentina según esposa, acudirá a solicitar atención por su cuenta. P) Seguimiento Agosto/Septiembre</t>
  </si>
  <si>
    <t>HOV (Dr. Ziller)</t>
  </si>
  <si>
    <t xml:space="preserve">P) Seguimiento </t>
  </si>
  <si>
    <t>PCTE EN ARGENTINA NO CONTESTA TELEFONO</t>
  </si>
  <si>
    <t>CARLOS GALLEGUILLOS GOMEZ</t>
  </si>
  <si>
    <t>CARCINOMA ESPINOCELULAR (A) Y CARCINOMA BASOCELULAR (B)</t>
  </si>
  <si>
    <t>Seguimiento hospital de origen</t>
  </si>
  <si>
    <r>
      <t>Seguimiento Enf: 1/7 tomo conocimiento de caso, usuario tuvo controles con Dr. Osman en febrero/2024, se evidencia lesión en rostro con 2 años de evolución, se solicita extirpación en pabellón cx menor, usuario posteriormente visto el 5/6 donde se realiza procedimiento y se toma biopsia. Se recibe resultado de biopsia, corresponde citar con Dr. Osman. Se agenda para el 09-07 11:00hrs para ev. bp, es evaluado y se indica derivar a CyC, se prioriza IC a CyC c/Dr. Ramos. 18/7 usuario no puede ser citado porque cuida a un familiar, será reagendado. 23/7 fue citado c/dr. Ramos, es evaluado se solicita TAC cerebro,cara y cuello c/c y examenes laboratorio. P) Citar c/resultados 21/8 estudio informado. 23/8 se realiza agendamiento para el 28/8 15:30hrs c/dr. RAMOS, evaluado, se indica presentar a COR para resección amplia + parotidectomia y disección. P) guardar cupo y presentar a COR CYC. 6/9 se guarda cupo comité para el 9/9 16:30hrs (se hace informe) P) presentar a COR CYC. 13/9 es presentado a comité, se define cirugía + pase dental y representar con resultado, se sube resolución a sidra, se cita para entrega resolución el 16/9 16:00hrs, sin embargo se cancela poli. 16/9 se reagenda para el 23/9 16:00hrs, evaluado pero sin indicaciones, se entrega resolución, se hace set qx y se entrega a u.preqx. (reseccion amplia + paratidectomia superficial + disección cervical D°)P) INT. QX 20/11 se avisa que se operará el 25/11 por equipo cyc hov. 09/12 se recibe biopsia postoperatoria. 10/12 visto x dr. oyarzun, falta biopsia de parotida, control en 2 semanas o con biopsia completa, luego presentar a COR CYC. 23/12 se prioriza biopsia parotida+disección y se envía correo. 30/12 se recibe resultado biopsia complementaria(parotida), se sube a ficha.  P) Citar c/resultados para comité CYC c/Dr OYARZUN.</t>
    </r>
    <r>
      <rPr>
        <sz val="11"/>
        <color rgb="FF00B0F0"/>
        <rFont val="Calibri"/>
        <family val="2"/>
        <scheme val="minor"/>
      </rPr>
      <t xml:space="preserve"> 03/01 se cita c/dr OYARZUN para el día 07/01 15:00hrs (bp lista), evaluado se indica presentar a COR CYC. 10/01 se realiza agendamiento para el 14/01 15:00hrs c/Dr OYARZUN  entrega comité., evaluado se solicita IC a derma (se prioriza pend hora) e IC a kinesiología (priorizada, HORA 22/01). Corresponde control en 3 meses por CyC c/dr Oyarzun y mantener en atenciones x dermatología según seguimiento. </t>
    </r>
    <r>
      <rPr>
        <b/>
        <sz val="11"/>
        <color theme="4"/>
        <rFont val="Calibri"/>
        <family val="2"/>
        <scheme val="minor"/>
      </rPr>
      <t>MANTENER CONTROL CON MED INTERNA. IC A ORL. CONTROL CYC EN 6 MESES Y/O SOS</t>
    </r>
  </si>
  <si>
    <t>P) CITAR EN enero con CyC /control con osman FEBRERO 2025</t>
  </si>
  <si>
    <t>CARLOS HUMBERTO LEÓN</t>
  </si>
  <si>
    <t>TUMOR CONJUNTIVAL</t>
  </si>
  <si>
    <t xml:space="preserve">Seguimiento Enf: Paciente evaluada en enero/2024 por Dra. Salcedo, se indica audifono OI° y prox control en 6 meses( julio/2024) para entrega audifono OD° P) CONSULTAR A OTORRINO. 6/8 consulto a otorrino, me informan que usuario debe acudir a solicitar la hora con admisión.  LLAMAR A PCTE Y  VER CONTROLES POR TUMOR DE OJO D° OPERADO </t>
  </si>
  <si>
    <t>HOV (Dra. OFTALMO)</t>
  </si>
  <si>
    <t>P) LLAMAR Y PEDIR AGENDAMIENTO PARA CONTROL CON OFTALMO</t>
  </si>
  <si>
    <t>CARLOS NUÑEZ NUÑEZ</t>
  </si>
  <si>
    <t xml:space="preserve"> NO</t>
  </si>
  <si>
    <t>Cirugia en Hospital de origen</t>
  </si>
  <si>
    <t xml:space="preserve">CITAR A ENTREGA DE RESOLUCION DE COMITE </t>
  </si>
  <si>
    <t>DR. OYARZUN / DR RAMOS</t>
  </si>
  <si>
    <t>P) CITAR CON CYC</t>
  </si>
  <si>
    <t>DERIVADO A CYC</t>
  </si>
  <si>
    <t xml:space="preserve">CARMEN MUÑOZ VICENTE </t>
  </si>
  <si>
    <t>MELANOMA T4bN1aM0, III C DE CUERO CABELLUDO</t>
  </si>
  <si>
    <t xml:space="preserve">15/04/2025 DERIVADO DESDE BRADFORD HILL PARA SEGUIMIENTO EN HOSPITAL DE ORIGEN. SE CITA CON OYARZUN 27/05 QUIEN INDICA SEGUIMIENTO CADA 6 MESES CON DERMATOLOGIA Y CYC, CON PET-CT ANUAL. DR. OYARZUN EVALUA PET-CT EL 13/08 DONDE EVIDENCIA NODULO SOSPECHOSO, SE PIDE PAAF. SE RECIBE PAAF Y SE CITA CON DR. OYARZUN QUIEN INDICA PRESENTAR A COR. 12/11 SE AGENDA CON DR. RAMOS PARA REALIZAR INFORME COMITE.  14/11/25 SE PRESENTA A COR DONDE SE INDICA RNM CEREBRO Y RETAPIFICAR </t>
  </si>
  <si>
    <t>CITAR CON EXAMENES  (rnm CERECRO Y CUELLO)</t>
  </si>
  <si>
    <t>CITAR CON RNM</t>
  </si>
  <si>
    <t>CARMEN PASTENE PASTENE</t>
  </si>
  <si>
    <t>NODULO TIROIDEO</t>
  </si>
  <si>
    <t xml:space="preserve">SIN BP </t>
  </si>
  <si>
    <t>CONFIRMACION</t>
  </si>
  <si>
    <t>PACIENTE OPERADA DE TU DE PULMON, SE DERIVA A POLI DE CYC PARA EVALUAR NODULO TIROIDEO, SE CITA CON DR. RAMOS QUIEN INDICA ECCO DE TIROIDES Y PAAF</t>
  </si>
  <si>
    <t>CITAR CON RESULTADO DE PAAF</t>
  </si>
  <si>
    <t>CARMEN PIZARO JOFRE</t>
  </si>
  <si>
    <t>CHAÑARAL ALTO</t>
  </si>
  <si>
    <t>CBC PARPADO SUPERIOR IZQ</t>
  </si>
  <si>
    <t>TOMO CONOCIMIENTO DE CASO  EN MARZO 2025 EN BAJO CONTROL GLOBAL D EBP (+), SE AGENDA CON DR. OSMAN PARA L 10/04/25. DR EVALUA E INDICA CONYROL EN 3C MESES. P) CONTROL EN 3 MESES. SE EVALUA EL 24/06/2025 DOC INDCIA CONTROL EN 6 MESES</t>
  </si>
  <si>
    <t>CONTROL</t>
  </si>
  <si>
    <t>P) CONTROL EN 6 MESES</t>
  </si>
  <si>
    <t>CAROLINA ÁLVAREZ GAMBOA</t>
  </si>
  <si>
    <t>CARCINOMA BASOCELULAR NODULAR ULCERADO, INFILTRANTE EN DERMIS RETICULAR</t>
  </si>
  <si>
    <t>Seguimiento Enf: 26/06 tomo conocimiento de caso, usuaria tuvo atenciones con dr. osman en Marzo/2024 donde se evidencia lesión en cuero cabelludo en región , se solicita extirpación con toma de biopsia, la cual se realiza el 6/6 y se solicita control con biopsia. Hoy 26-06 se recibe resultado de biopsia, la cual informar CARCINOMA ESPINOCELULAR MODERADAMENTE DIFERENCIADO, ULCERADO, INFILTRANTE EN DERMIS RETICULAR. 01/07 se realiza agendamiento para el día 9/7 11:00hrs para evaluar biopsia, es evaluada, sin signos recidiva, se indica control en 3 meses (CITAR EN OCTUBRE/2024). 30/9 se realiza agendamiento para el 2/10 10:00hrs c/Dr. OSMAN, evaluada s/recidiva, prox control 6 meses. P) CITAR EN ABRIL/2025 c/Dr. OSMAN. CITADA EL 27/05 DR. EVALUA SIN RECIDEIVA E INDICA EXCERESIS DE  VERRUGA FACIAL</t>
  </si>
  <si>
    <t>P)CONTROL EN 1 AÑO</t>
  </si>
  <si>
    <t xml:space="preserve"> </t>
  </si>
  <si>
    <t xml:space="preserve">CASTULO LEDEZMA FUENTES </t>
  </si>
  <si>
    <r>
      <t xml:space="preserve">Seguimiento Enf: Paciente resolución comité se decide seguimiento, ademas de controlar ganglios con PAAF(-) y control en 6 meses con Eco cuello (Abril/2024). Se cita para día 11/4 16:00hrs c/dr. Ramos para evaluación. 11/5 SE REVISA AGENDA DR. RAMOS, PCTE NO ATENDIDO. 5/6 se consulta por orden eco cuello a imagenología, nunca se hizo orden. Se gestiona orden de eco cuello y se entrega a modulo oncologico. (21/8 aún no se toma, se consulta a imgenología, será citado a la brevedad, fue citado pero no acudió </t>
    </r>
    <r>
      <rPr>
        <sz val="11"/>
        <rFont val="Calibri"/>
        <family val="2"/>
        <scheme val="minor"/>
      </rPr>
      <t>P) citar con resultados (30/9 aun no se toma), 30/9  reagendado para el 1/10 en imagenología pero NSP?? sin estudio en sistema. P) seguimiento vs consultar imagenologia. --&gt; 15/01 se entrega orden nuevamente a modulo. P) Citar c/resultados</t>
    </r>
    <r>
      <rPr>
        <sz val="11"/>
        <color rgb="FF00B0F0"/>
        <rFont val="Calibri"/>
        <family val="2"/>
        <scheme val="minor"/>
      </rPr>
      <t xml:space="preserve">. </t>
    </r>
    <r>
      <rPr>
        <b/>
        <sz val="11"/>
        <color theme="4"/>
        <rFont val="Calibri"/>
        <family val="2"/>
        <scheme val="minor"/>
      </rPr>
      <t xml:space="preserve">EN MARZO SE ENVIA CORREO SOLICITANDO PRIORIZACION DE ECO. </t>
    </r>
  </si>
  <si>
    <t>CITAR CON RESULTADOS</t>
  </si>
  <si>
    <t>DR. RAMOS</t>
  </si>
  <si>
    <t xml:space="preserve">P) TOMA ECO CUELLO Y CITAR C/DR. RAMOS </t>
  </si>
  <si>
    <t>ECO!!!!!</t>
  </si>
  <si>
    <t>CECILIA CAMPOS CAMPOS</t>
  </si>
  <si>
    <t>Nódulo tiroideo izq tirads 4b, (obs nodulo coloideo)</t>
  </si>
  <si>
    <t>SE DEBE PRESENTAR A COMITE ONCOLOGICO Y AGENDAR EN CUPO DE INFORME. SIN ENDOCRINOLOGA, PACIENTE OCN BIOPSIA (+) POSTOP SE DERIVA CON IC A ENDOCRINOLOGIA. 26/02 SE SOLICITA PRIORIZACION CONYASNA PARA PRIMERA CONSULTA</t>
  </si>
  <si>
    <t>DR, RAMOS</t>
  </si>
  <si>
    <t>REV (MARZO)</t>
  </si>
  <si>
    <t>PRESENTACION COMITE TIROIDES</t>
  </si>
  <si>
    <t xml:space="preserve">CECILIA EGAÑA CODOCEO </t>
  </si>
  <si>
    <t>Neoplasia folicular de Tiroides</t>
  </si>
  <si>
    <t>PACIENTE CON RESULTADO DE PAAF EVALAUDA EL 18/11 POR DR. RAMOS CON NEOPLASIA FOLICULAR. S EINDICA TIROIDECTOMIA TOTAL, SE REALIZA SET Qx Y SE ENVIA A PREQUIRURGICA</t>
  </si>
  <si>
    <t>CITAR POST INT QX</t>
  </si>
  <si>
    <t xml:space="preserve">CELINDA SANTANDER CONTRERAS </t>
  </si>
  <si>
    <t xml:space="preserve">CARCINOMA BASOCELULAR SIEN IZQUIERDA </t>
  </si>
  <si>
    <r>
      <t xml:space="preserve">Seguimiento Enf: Paciente evaluado el 10/4 por dr. Osman, se pesquizan 3 lesiones en frente, dorso nasal y ala nasal, se deja imiquimod y control en 1 mes (Mayo/2024). 13/5 se llama a paciente para agendar hora c/dr. Osman, me comunica que ya tiene cita para el 22/5. (27/5) paciente fue atendido x dr.Osman se deja RP x 3 meses (citar en Agosto/2024) , se indica pabellón cx menor, se prioriza IC. 29/5 se recibe hora citación para 12/6 10:00hrs pabellón cx menor c/Dr. Osman. P) resultado bp (18/7 se consulta a anatopato, me informan que no se encuentra biopsia en su laboratorio, usuaria me dice que si se tomó . P) CITAR EN AGOSTO/2024. 30/9 se realiza agendamiento para el 2/10 08:00hrs c/dr. OSMAN, evaluada se deriva a Cqmbo para continuar atenciones. 21/10 se realiza consulta espontanea, usuaria no desea continuar atenciones en HSP, quiere continuar c/Dr OSman. P) CITAR EN NOVIEMBRE/2024. 27/11 se cita para el día 06/12 10:00hrs c/dr Osman, evaluada se deriva a cabeza y cuello y se prioriza IC. 10/12 visto por dr. Oyarzun, se solicita bp incisional, tac maxilofacial+cuello y examenes. </t>
    </r>
    <r>
      <rPr>
        <sz val="11"/>
        <color rgb="FF00B0F0"/>
        <rFont val="Calibri"/>
        <family val="2"/>
        <scheme val="minor"/>
      </rPr>
      <t xml:space="preserve">26/12 se tomó estudio, pend. informe --&gt; 15/01 se recibe informe, aun no se toma bp. CONSULTAR DR OYARZUN. </t>
    </r>
    <r>
      <rPr>
        <b/>
        <sz val="11"/>
        <color theme="4"/>
        <rFont val="Calibri"/>
        <family val="2"/>
        <scheme val="minor"/>
      </rPr>
      <t>llame a oftalmo para pedir hora, sin oftalmologa, el jueves 17/04 se hablara caso con Dra. Gonzalez. PCTE EVALUADO POR DR. OYARZUN QUIEN DERIVA NUEVAMENTE A OFTALMOLOGA, ES EVALUAD APOR DRA. GONZALEZ A QUIEN LE DICE QU ENO SE TOMARA BP POR LATO RIESGO DE CIRUGIA. sE REAGENDA CON RAMOS A QUIEN INDICA QUE NO SE OPERARA POR DECISIOND E PACTE EL 24/06/2025. SE DERIVA A cpe</t>
    </r>
  </si>
  <si>
    <t>DR. OYARZUN  /  DR. RAMOS</t>
  </si>
  <si>
    <t>P) RECHAZA TOMAR BP, REPRESENTAR CPE??</t>
  </si>
  <si>
    <t>COMITÉ</t>
  </si>
  <si>
    <t>CIRILO PIZARRO FERREIRA</t>
  </si>
  <si>
    <t>CARCINOMA BASOCELULAR DE PARPADO INFERIOR IZQ°</t>
  </si>
  <si>
    <r>
      <t>Seguimiento Enf: 31/7 tomo conocimiento de caso, me comunico vía telefónica con hija de usuario, le consulto por atenciones de su Carcinoma de parpado, me refiere que fue operado en 2020 y se le hizo exeresis de su globo ocular, posteriormente inició con cataratas que le afectan la visión de su otro ojo, me informa que posterior a la cirugía no recibió seguimiento, usuario realiza sus actividades normalmente, usuario desea continuar sus atenciones por seguimiento. 30/8 citado para el día 5/9 16:30hrs, sin embargo NSP. P) reagendar. 30/9 se reagenda para el día 3/10 15:00hrs c/Dr. RAMOS, evaluado s/recidiva, se solicita TAC TAP y citar c/resultados. (8/11 aun pend toma, 18/11 aun pend)) P) seguimiento.</t>
    </r>
    <r>
      <rPr>
        <sz val="11"/>
        <color rgb="FF00B0F0"/>
        <rFont val="Calibri"/>
        <family val="2"/>
        <scheme val="minor"/>
      </rPr>
      <t xml:space="preserve"> --&gt; 15/01 aun pendiente, P) gestionar orden.</t>
    </r>
    <r>
      <rPr>
        <sz val="11"/>
        <color theme="1"/>
        <rFont val="Calibri"/>
        <family val="2"/>
        <scheme val="minor"/>
      </rPr>
      <t xml:space="preserve"> --&gt; </t>
    </r>
    <r>
      <rPr>
        <sz val="11"/>
        <color rgb="FF00B0F0"/>
        <rFont val="Calibri"/>
        <family val="2"/>
        <scheme val="minor"/>
      </rPr>
      <t>17/01 se gestiona orden y se entrega a modulo. P) CITAR c/RESULTADOS.</t>
    </r>
    <r>
      <rPr>
        <b/>
        <sz val="11"/>
        <color rgb="FF00B0F0"/>
        <rFont val="Calibri"/>
        <family val="2"/>
        <scheme val="minor"/>
      </rPr>
      <t xml:space="preserve"> Cita 10/02 10:00 c/ dr. ramos. Pcte NSP P) reagendar. SE LLAMA A PCTE, CONTESTA FAMILIAR QUIEN INDICA QUE NO ASISTIRA HASTA VE A CARDIOLOGO PRIEMRO POR MARCAPASO. SE CONSIGUE HORA OCN CARDIOLOGO, PEOR NO ASISTE, p) LLAMAR Y VER SI SEGUIRA OCN CONTROLES.</t>
    </r>
  </si>
  <si>
    <t>P) TAC DE DIC/2024 OK NO ASISTE A CONTROLES. LLAMAR Y VER SI SEGUIRA CON SEGUIMIENTO</t>
  </si>
  <si>
    <t>SE CONSIGUE HORA CON CARDIO, NSP</t>
  </si>
  <si>
    <t xml:space="preserve">NO GES </t>
  </si>
  <si>
    <t>CLARA JOFRÉ JAIME</t>
  </si>
  <si>
    <t>CARCINOMA BASOCELULAR NODULAR ULCERADO, PIGMENTADO, INFILTRANTE</t>
  </si>
  <si>
    <t>CONFIRMACIÓN / ETAPIFICACIÓN</t>
  </si>
  <si>
    <t>Seguimiento Enf: 13/6 Tomo conocimiento de caso, usuaria fue evaluada por Dr. Osman  en febrero/2024, se cita para extirpación y toma de biopsia para el día 16/5 se realiza procedimiento. Se recibe resultado de biopsia de fosa nasal D°, la cual informa "Carcinoma basocelular nodular ulcerado, pigmentado infiltrante, me comunico vía telefónica con hija de paciente la cuidadora principal, se realiza citación para el día 28/Junio 15:00hrs, es evaluada, se indica sol nigh repair y control en 3 meses ( CItar en Septiembre/2024). 30/9 se realiza agendamiento para el 2/10 09:00hrs c/Dr. OSMAN, evaluada sin recidiva, se mantiene ac tac e imiquimido, prox control en 6 meses. P) CITAR EN ABRIL/2025 c/Dr. OSMAN. EVALUADA EL 29/05 POR DR. OSMAN QUIEN INDCIA CONTROL EN 1 AÑO</t>
  </si>
  <si>
    <t>CITAR CON DR OSMAN</t>
  </si>
  <si>
    <t>citar c/ oyarzun</t>
  </si>
  <si>
    <t>CLARA MILLA HIDALGO</t>
  </si>
  <si>
    <t>CA espinocelular en labio inferior</t>
  </si>
  <si>
    <r>
      <t>Seguimiento Enf: 13/11 tomo conocimiento de caso, usuario en controles por policlínico dermatología, asistió en Julio/2024 por lesión en labio inferior, la cual se estipuló para toma de biopsia, se realizó procedimiento y se recibe resultado de biopsia informado positiva para carcinoma espinocelular. 25/11 se cita para el dia 06/12 10:00hrs c/Dr OSMAN, evaluada se deriva a CYC (PEND IC) y se solicita TAC cabeza y cuello. P) priorizar IC a CYC. 09/01 se prioriza IC a box cabeza y cuello c/dr oyarzun, pend. hora. --&gt; se recibe hora 15/01 c/dr Oyarzun. evaluada, se indica estudios etapificación, Camila solicita revisión de bp a anatopato (pend bp complementaria), EDA. P) citar c/resultados</t>
    </r>
    <r>
      <rPr>
        <sz val="11"/>
        <color rgb="FF00B0F0"/>
        <rFont val="Calibri"/>
        <family val="2"/>
        <scheme val="minor"/>
      </rPr>
      <t>.</t>
    </r>
    <r>
      <rPr>
        <sz val="11"/>
        <color theme="1"/>
        <rFont val="Calibri"/>
        <family val="2"/>
        <scheme val="minor"/>
      </rPr>
      <t xml:space="preserve"> </t>
    </r>
    <r>
      <rPr>
        <b/>
        <sz val="11"/>
        <color theme="4"/>
        <rFont val="Calibri"/>
        <family val="2"/>
        <scheme val="minor"/>
      </rPr>
      <t>bp complementaria lista. 05/03 evaluada por Dr.Oyarzun indica presentar a COR CyC e IC  broncopulmonar, anestesia, cardio (con eco cardio) para pase operatorio. P) resolucion / 11/03 se entrega resolucion. 14/03 se realiza IPD poli dolor e ic para pase dental//</t>
    </r>
    <r>
      <rPr>
        <b/>
        <sz val="11"/>
        <color rgb="FFFF0000"/>
        <rFont val="Calibri"/>
        <family val="2"/>
        <scheme val="minor"/>
      </rPr>
      <t>31-3-25 , YA CUETNA CON PASE DE BRONCO,</t>
    </r>
    <r>
      <rPr>
        <b/>
        <sz val="11"/>
        <color theme="4"/>
        <rFont val="Calibri"/>
        <family val="2"/>
        <scheme val="minor"/>
      </rPr>
      <t xml:space="preserve"> SE SOLICITA PRIORIZACION DE CARDIO A LISTA DE ESPERA. P) pase carido evaluada el 14/04 se deriva a eco stres con dobutamina. 14/04 se prioriza con correo. SE TOMA ECO STRES/ CON DOBUTAMINA, SE REEVALUA POR CARDIOLOGO QUIEN ENTREGA PASE OPERATORIO. SE SUBE SET Qx A MQ1, EVENTUAL FEHCA DE CIRUGIA 30/06. SE SUBE PACIENTE A COMITE CON RESUTLADO DE BIOPSIA. SE REPRESENTA EL 08/08 DONDE SE INDICA SEGUIMIENTO EN HOSPITAL DE ORIGEN. SE CITA CON DR. OYARZUN QUIEN EVALUA EL 28/10 QUIEN INDICA REHABILITACION ORAL Y CONTROL EN 6 MESES PARA EVALUAR CIRUGIA ESTETICA</t>
    </r>
  </si>
  <si>
    <t>DR. OYARZUN</t>
  </si>
  <si>
    <t>CLAUDIA COFRÉ NARANJO</t>
  </si>
  <si>
    <t>Neoplasia folicular tiroides TIRADS 4 operada.</t>
  </si>
  <si>
    <t>RESULTADOS DE EXAMENES</t>
  </si>
  <si>
    <r>
      <rPr>
        <sz val="11"/>
        <rFont val="Calibri"/>
        <family val="2"/>
        <scheme val="minor"/>
      </rPr>
      <t>Seguimiento Enf: 31/01 tomo conocimiento de caso, usuaria previamente evaluada en consulta cabeza y cuello por neoplasia folucular de tiroides que tuvo conducta de resolución quirúrgica el 20/01, posteriormente cirujano notifica caso. P) resultado de biopsia postoperatoria y citar c/Dr RAMOS.//</t>
    </r>
    <r>
      <rPr>
        <sz val="11"/>
        <color rgb="FFFF0000"/>
        <rFont val="Calibri"/>
        <family val="2"/>
        <scheme val="minor"/>
      </rPr>
      <t xml:space="preserve"> 28-3 bp lista de feb, citar , avisar a fono katherine anexo 531770 ya que usuaria es de lejos, para citarla el mismo dia. </t>
    </r>
    <r>
      <rPr>
        <b/>
        <sz val="11"/>
        <color theme="4"/>
        <rFont val="Calibri"/>
        <family val="2"/>
        <scheme val="minor"/>
      </rPr>
      <t>se llama paciente para citar con DR. Ramos el 16/04 pcte indica que no puede asistir y solicita hora pra la proxima semana. EVALUADA POR DR. RAMOS QUIEND ERIVA A FONOAUDIOLOGO. PCTE EVALUADA POR FONO Y EN TERAPIAS, SE INDICA QUE DEBE ASISTIR A PEDIR REGAENDAMIENTOS CON FONO. PCTE PIDE HORA OCN OYARZUN POR AUMENTO DE VOLUMEN DE CUELLO Y DOLOR. EVALUADA EL 02/07 POR DR. RAMOS QUIEN INDCIA TAC DE CUELLO Y TORAX CON CONTRASTE, INTERCONSULTA NF Y LAB. SE LLAMA PARA CONTROL CON RESULTADO DE TAC PCTE RECHAZA HORA</t>
    </r>
  </si>
  <si>
    <t>P) CITAR CON RESULTADO DE TAC OK</t>
  </si>
  <si>
    <t>RECHAZA HORA // atencion lunes - miercoles - viernes</t>
  </si>
  <si>
    <t>1) Pendiente NFL control
2) Solicitaré a servicio de Radiología realizar adendum
3) Biopsia ya reportada sin signos de malignidad.
4) Pendiente seguimiento por fonoaudiologico.</t>
  </si>
  <si>
    <t>CLAUDIA LÓPEZ PORTILLA</t>
  </si>
  <si>
    <t>Nodulos tiroideos TIRADS 3</t>
  </si>
  <si>
    <t>etapificación</t>
  </si>
  <si>
    <r>
      <t xml:space="preserve">Seguimiento Enf: Paciente en seguimiento por Dr. Ramos, se le indicó toma de hormonas tiroideas, eco tiroidea. Se citó para 28/3 pero se suspende por pabellón. Paciente con eco tiroidea y examenes listos (18/4), se cita con dr. Ramos el 2/5, se evalua eco tiroidea que evidencia eco tirads 3 y se propone control con eco tiroidea cada 6 meses (Noviembre/2024). 11/11 se cita para el dia 14/11 16:00hrs c/Dr RAMOS, evaluado sin cambios eco tiroides (tirads3) se estima control en 6 meses (Mayo/2025) </t>
    </r>
    <r>
      <rPr>
        <b/>
        <sz val="11"/>
        <color theme="4"/>
        <rFont val="Calibri"/>
        <family val="2"/>
        <scheme val="minor"/>
      </rPr>
      <t>CITADA 16/06 EVALUAD APOR DR. RAMOS INDCIA CONTROL CON ECO DE TIROIDES. SE TOMA ECO Y SE CITA 04/11 CON DR. RAMOS CON QUIEN EVALUA E INDICA CONTROL EN 6 MESES CON ECO DE TIORIDES</t>
    </r>
  </si>
  <si>
    <t>EN 6 MESES</t>
  </si>
  <si>
    <t>P) CITAR C/ ECO DE TIROIDES EN MAYO 2026</t>
  </si>
  <si>
    <t>CRISTINA CARVAJAL ASTUDILLO</t>
  </si>
  <si>
    <t>CARCINOMA BASOCELULAR SUPRACILIAR DERECHO</t>
  </si>
  <si>
    <t>Seguimiento Enf: 19/3/24 se realiza seguimiento de caso, paciente vista por Dr. Osman 21/01 con plan de exeresis e IC para Cx menor iniciada. Se llama a LE para priorizar IC, se da hora para atención proximo miercoles 27/3 a las 8 am c/Dr. Osman, se agendara y avisara a paciente. 27/3 Se realiza procedimiento, herida con leves sintomas recidiva, se cita para 1 mes, el 23/4 se cita a paciente para el 10/5 a las 15:00hrs con Dr. Osman. 27/5 paciente fue evaluado sin signos recidiva, se indica citar en 6 meses ( Noviembre/2024). 04/12 se realiza agendamiento para el día 13/12 15:00hrs c/Dr OSMAN, evaluada sin recidiva, control en 1 año (Diciembre/2025)</t>
  </si>
  <si>
    <t>P) CITAR EN DICIEMBRE/2026</t>
  </si>
  <si>
    <t>EDIO GALLARDO GALLARDO</t>
  </si>
  <si>
    <t>CARCINOMA ESCAMOSO DE CUERDAS VOCALES (GLÓTICO)</t>
  </si>
  <si>
    <t>Corresponde Radioterapia Curativa + adjuntar pase dental.</t>
  </si>
  <si>
    <r>
      <t xml:space="preserve">Seguimiento Enf: 13/9 tomo conocimiento de caso, usuario en atenciones por otorrinolaringología, con lesión en ambas cuerdas vocales, se le tomó biopsia la cual se recibe resultado que informa positivo para malignidad (CA escamoso). Se da aviso vía telefónica a médico tratante para que se gestione citación para entrega de resultado. P) verificar citación c/Dra Salcedo, 23/9 evaluado por Dra Salcedo, se cumple evaluacion por nutrición y según resultado bp se presentará a comité CYC el 27/9. 27/9 usuario presentado, se indica en resolución colonoscopia + biopsia, evaluación gastroenterología ( ya realizada)+ RM abdomen y representar. P) REPRESENTAR A COMITÉ CON RESULTADOS. (PRIORIZAR COLONOSCOPIA). 8/10 la colono + eda tomadas no se tomar bp, ayer 7/10 se tomó RM abdomen en Serena (Imared). Con resultados avisar a Dra Salcedo para representar. (priorizar IC a digestivo, enviar a isabel.. 17/10 fue evaluado por digestivo y se aperturó sospecha por CA colorectal. Se presentará a comité el 18/10.(no sepresentada, faltaba RM (lista)) (23/10 se da aviso a dra salcedo para que se represente caso a comité CyC, se deberia presentar el 25/10. 25/10 usuaria es presentada a comité CyC, se define Radioterapia curativa y se envia correo a gestoras HLS para derivcación, se informa a paciente que retire carpeta de antecedentes. P) seguimiento RDT </t>
    </r>
    <r>
      <rPr>
        <sz val="11"/>
        <color rgb="FF00B0F0"/>
        <rFont val="Calibri"/>
        <family val="2"/>
        <scheme val="minor"/>
      </rPr>
      <t>03/01 se realiza seguimiento, aún no recibe RDT, se envía correo a HLS para consultar novedades x derivcación a RDT en HCVB. 09/01 acude usuario a modulo informando que recibió citación para el día 15/01 en HCVB para simulación RDT. 23/01 seguimiento, usuario consulta en modulo informa que recibirá RDT 25 sesiones y lo llamarán en 3/4 semanas. (deberian llamarlo en febrero, pend consultar.) --&gt; 30/01 se recibe citación para el 4/02 en HCVB primera sesión (1 de 25). 31/01 se envia correo a HCVB para solicitar comprobante citación ya que usuario requiere aporte monetario para trasladarse.//</t>
    </r>
    <r>
      <rPr>
        <sz val="11"/>
        <color rgb="FFFF0000"/>
        <rFont val="Calibri"/>
        <family val="2"/>
        <scheme val="minor"/>
      </rPr>
      <t>3-4-25 USUARIO TRAE EPICRISIS , DAR HORA CON OTORRINO. evaluado el 10/04 procimo control en 3 meses con nueva NSF</t>
    </r>
  </si>
  <si>
    <t>DRA. SALCEDO</t>
  </si>
  <si>
    <t xml:space="preserve"> P) control JULIO/2025</t>
  </si>
  <si>
    <t xml:space="preserve">REV (JULIO) </t>
  </si>
  <si>
    <t>NUEVA NFL PARA CONTROL</t>
  </si>
  <si>
    <t>Edith González Muñoz</t>
  </si>
  <si>
    <t>Nodulo coloideo tipo 2 / linfonodo intraparotideo izq reactivo.</t>
  </si>
  <si>
    <t>Sospecha/Confirmación</t>
  </si>
  <si>
    <r>
      <t xml:space="preserve">Seguimiento Enf: 4/6  paciente tuvo atenciones en 2023 por Dr. Oyarzún en Junio/2023, paciente en estudio por TU de parótida izquierda, con lesión en parotida izq°. Hoy 4/6 se realiza contacto vía telefónica para consultar por situación de paciente, me refiere que en relación a la operación de safenactomia izquierda no se puede operar ya que es la cuidadora principal de su esposo que se encuentra postrado, por lo que difiere intervención quirúrgica. En relación a CyC el Dr. Oyarzún le indicó toma de imagen ecotomografía partes blandas la cual se informó el 29/6/2023, me refiere que se encuentra con disposición para retomar atenciones por CyC y que se encuentra con dolor e inflamación en aumento de lesión parótida izquierda. 12/7 se cita para el día 19/7 15:30hrs, evaluada, se solicita eco de parotida y citar c/resultados. (23/8 aún no se toma, la tramitó ella misma, se priorizar por UGCO, se tomará 28/8P) CITAR c/RESULTADOS. 16/9 se recibe resultado, se cita para el 26/9 15:30hrs c/Dr. RAMOS, evaluado, se solicita RNM de cuello c/c. P) CITAR c/RESULTADOS (8/11 aun pend) </t>
    </r>
    <r>
      <rPr>
        <b/>
        <sz val="11"/>
        <color theme="8"/>
        <rFont val="Calibri"/>
        <family val="2"/>
        <scheme val="minor"/>
      </rPr>
      <t>SE LLAMA A PCTE NO HA TRAMITADO RNM POR MARIDO ENFERMO, TRAMITARA EN MARZO+ CREA</t>
    </r>
  </si>
  <si>
    <t>P) CITAR c/RESULTADOS (RNM CUELLO C/C)</t>
  </si>
  <si>
    <t>LLAMAR Y EVALUAR SI SE HARA RNM</t>
  </si>
  <si>
    <t xml:space="preserve">EDUARDO ARAYA ARAYA </t>
  </si>
  <si>
    <t>CARCINOMA ESPINOCELULAR DORSO NASAL</t>
  </si>
  <si>
    <r>
      <t>Seguimiento Enf: Paciente evaluado el 26/3 por Dr. Osman, el cual evalua dos lesiones costrosas, se deja imiquimod y control en 3 meses . 5/6 se cita a paciente para el 28/6 con Dr. Osman. Se evalúa, se da solución night repair y citar en 3 meses. P) CITAR EN SEPTIEMBRE/2024. 10/9 se realiza agendamiento para el 17/9 con Dr. Osman, evaluado se indica imiquimod  por 3 meses. 04/12 se cita para el día 20/12 15:00hrs c/Dr OSMAN, evaluado se aplica ac tac y control en 3 meses. (Marzo/2025)</t>
    </r>
    <r>
      <rPr>
        <b/>
        <sz val="11"/>
        <color theme="4"/>
        <rFont val="Calibri"/>
        <family val="2"/>
        <scheme val="minor"/>
      </rPr>
      <t>p) CITAR. SE AGENDA EL 2/07 Y DR. OSMAN INDICA Cx MENOR. DOCTOR REALIZA CX MENOR EL 08/10 . pENDIENTE BIOPSIA</t>
    </r>
  </si>
  <si>
    <t>P) BP DE CX MENOR</t>
  </si>
  <si>
    <t xml:space="preserve">EDUARDO RODRIGUEZ BRICEÑO </t>
  </si>
  <si>
    <t xml:space="preserve">CARCINOMA BASOCELULAR OJO DERECHO </t>
  </si>
  <si>
    <t>Seguimiento Enf: En comité oncologico de diciembre se estipula seguimiento por HOV y control en 6 meses (Mayo/2024). Se cita a paciente a control para el 17/6 12:00hrs,  se evalua sin signos de recidiva, se solicita estudio TAC cerebro,cara,cuello c/c de control, se consulta por orden la cual la tiene la paciente, se le indica a hija de usuario que traiga orden, la trae. Además se solicita IC a gastroenterología, se prioriza IC. 26/6 se gestionará orden de tac para toma (11/7 se toma, pend. informe, se avisa el 6/8 para priorizar.). 10/8 se recibe resultado. 16/8 se realiza agendamiento para el 20/8 15:00hrs, es evaluado, TAC s/recidiva, se indica control en 6 meses. P) CITAR EN FEBRERO/2025. evaluado por dr. azua el 05-05 indica control en 6 meses</t>
  </si>
  <si>
    <t xml:space="preserve">PENDIENTE TAC </t>
  </si>
  <si>
    <t>ELIANA ANGEL TAPIA</t>
  </si>
  <si>
    <t>CARCINOMA BASOCELULAR  NODULAR</t>
  </si>
  <si>
    <t>Seguimiento Enf: 5/7 Tomo conocimiento de caso, usuario en controles con Dr. Osman Cortés visto en Marzo/2024, se evaluó lesión en sien derecha pigmentada, se solicita exeresis la cual se realiza en Junio. Hoy se recibe resultado de biopsia la cual indica Carcinoma basocelular nodular. 22/7 me comunico con usuaria para citar, me indica que hoy la llamaron para control el 7/8 11:00hrs c/Dr. Osman, evaluada sin signos recidiva, se indica fotoprotección y control en 3 meses. 04/12 se realiza agendamiento para el día 17/12 10:00hrs c/Dr OSMAN, evaluda sin recidiva, control en 6 meses (Junio/2025)</t>
  </si>
  <si>
    <t>P) CITAR EN JUNIO/2026 c/DR OSMAN</t>
  </si>
  <si>
    <t>ELÍAS DEL ROSARIO HONORES BOLADOS</t>
  </si>
  <si>
    <t xml:space="preserve">PUNITAQUI </t>
  </si>
  <si>
    <t>METASTASIS DE CA TIROIDES.</t>
  </si>
  <si>
    <t>S/CD</t>
  </si>
  <si>
    <r>
      <t>Seguimiento Enf: 07/10 tomo conocimiento de caso, usuario evaluado el 26/9 por Dr. Ramos por adenopatias mediasticias multiples y cervicales para biopsia, con ganglio cervical palpable de 2,5 cms, se plantea en u.preqx para biopsia ganglionar cervical izq. P) INT QX (se operará el 7/11). P) priorizar biopsia. 26/12 se prioriza resultado de biopsia. 27/12 se recibe resultado de bp negativa para mtt ganglionar, con posible CA de tiroides, pero falta IHQ.. P) CITAR c/RESULTADOS (bp)</t>
    </r>
    <r>
      <rPr>
        <sz val="11"/>
        <color rgb="FF00B0F0"/>
        <rFont val="Calibri"/>
        <family val="2"/>
        <scheme val="minor"/>
      </rPr>
      <t xml:space="preserve"> 15/01 se prioriza biopsia IHQ, con resultado (pend) citar c/Dr Oyarzun. --&gt; fue citado el 28/01 c/Dr RAmos, quien evalua biopsia y solicita eco etapificación y eco tiroides (consultar x ordenes). P) CIITAR c/RESULTADOS.. </t>
    </r>
    <r>
      <rPr>
        <b/>
        <sz val="11"/>
        <color theme="4"/>
        <rFont val="Calibri"/>
        <family val="2"/>
        <scheme val="minor"/>
      </rPr>
      <t>PCTE PRESENTADO A COMITE DE TIROIDES INDICAN CX. SE DERIVA A HLS</t>
    </r>
  </si>
  <si>
    <t>P) CONTRARREFERENCIA DESDE RADIOYODO</t>
  </si>
  <si>
    <t>ELIZABETH MALUENDA ORTIZ</t>
  </si>
  <si>
    <t>NODULO TIROIDEOS TIRADS 4 y COLOIDEO BETHESDA 4</t>
  </si>
  <si>
    <r>
      <t>Seguimiento Enf: 26/12 tomo conocimiento de caso, evaluada por Dr Oyarzun estudios de etapificación sugerentes de tirads 4 y bethesda 4. Le solicitaron ecografía actualizada la cual se encuentra informada, cuenta con NFL realizada. P) CITAR c/DR OYARZUN</t>
    </r>
    <r>
      <rPr>
        <sz val="11"/>
        <color rgb="FF00B0F0"/>
        <rFont val="Calibri"/>
        <family val="2"/>
        <scheme val="minor"/>
      </rPr>
      <t xml:space="preserve"> 03/01 se realiza agendamiento para el día 07/01 16:00hrs c/Dr OYARZUN, evaluada se solicita IC a anestesia y luego intervención qx. P) consultar u.preqx.</t>
    </r>
    <r>
      <rPr>
        <b/>
        <sz val="11"/>
        <color theme="4"/>
        <rFont val="Calibri"/>
        <family val="2"/>
        <scheme val="minor"/>
      </rPr>
      <t xml:space="preserve"> P) REEVALUACION CON MEDICINA INTERNA PARA PROGRAMAR CIRUGIA. SET QX EN MQ1</t>
    </r>
  </si>
  <si>
    <t>P) CIRUGIA</t>
  </si>
  <si>
    <t>ERNESTO JULIO TAPIA</t>
  </si>
  <si>
    <t>TUMOR MANDIBULAR</t>
  </si>
  <si>
    <r>
      <t xml:space="preserve">PACIENTE PRESENTADO A COR 26-09-2025: SE INDICO </t>
    </r>
    <r>
      <rPr>
        <b/>
        <sz val="11"/>
        <color theme="1"/>
        <rFont val="Calibri"/>
        <family val="2"/>
        <scheme val="minor"/>
      </rPr>
      <t>1) Con los siguientes exámenes: informe formal de biopsia
Cuidados paliativos servicio de origen.
Evaluación por oncología médica la serena
PDL1 a biopsia en servicio de origen.
Evaluar en comité de tórax la serena
Actualmente sin dolor que justifique RT paliativa. PACIENTE DERIVADO A HLS COMENZARA QMT EL 17/11 PRIMERA SESION</t>
    </r>
  </si>
  <si>
    <t>SEGUIMIENTO ENFERMERIIA</t>
  </si>
  <si>
    <t>PRIMERA QMT 17/11 P) SEGUIMIENTO ENFERMERIA</t>
  </si>
  <si>
    <t>ESPERANZA MICHEA BORQUEZ</t>
  </si>
  <si>
    <t>CARCINOMA ESPINOCELULAR MEJILLA IZQ</t>
  </si>
  <si>
    <t>seguimiento en hospital de origen</t>
  </si>
  <si>
    <t>EN MAYO TOMO COOCIMIENTO DE PACIENTE, EN CITADA A CONTROL CON DR. RAMOS Y ADEMAS CON DERMATOLOGO POR ADMISION. DR. OSMAN INDICA SEGUIMIENTO Y DR. RAMOS SOLICITA TAC DE CARA. SE TRAMITA TAC POR ONCOLOGIA. TAC OK, SE CITA PCTE CON DR. RAMOS. SE CITA PARA EL 12/08 DOC INDICA PRESENTAR A COR. SE PRESENTA A COMITE EL 17/11 SE INDICA SEGUIMIENTO. ES EVALAUDA POR DR. RAMOS EL 01/12 QUIEN ENTREGA RESOLUCION E INDICA OCNTROL EN 6 MESES</t>
  </si>
  <si>
    <t>CONTROL EN 6 MESES</t>
  </si>
  <si>
    <t>ESTELA BARRAZA MIRANDA</t>
  </si>
  <si>
    <t>CBC NODULAR INFILTRANTE EN DERMIS RETICULAR PUNTA NASAL</t>
  </si>
  <si>
    <t>PCTE RESCATADA DE BAJO CONTROL GLOBAL, CON DG DE CBC ALA NASAL, CONTROL PENIDENTE EN ABRIL. SE CITA EL 13/06 SE DEJA CONTROL EN 6 MESES. PCTE EVALUADA DOCTOR AGENDA PARA CX MENOR. HOY 25/02 SE REALIZA CX MENOR PENDIENTE CONTROL</t>
  </si>
  <si>
    <t>control</t>
  </si>
  <si>
    <t>P) CITAR EN DICIEMBRE 2025</t>
  </si>
  <si>
    <t>FERNANDO CARVAJAL CARVAJAL</t>
  </si>
  <si>
    <t>Carcinoma espinocelular + mucosa tipo conjuntival con neoplasia intraepitelial</t>
  </si>
  <si>
    <t xml:space="preserve">Seguimiento Enf: Tomo conocimiento de caso, consulta nueva, se estudia caso, se trata de paciente que se encuentra en seguimiento por Dra. Hurtado por EPOC + silicosis, y también en seguimiento por Oftalmología con Dra. González, quien evalua a paciente el 2/4 y solicita biopsia (informada 16/4), el 25/4 vuelve a ser evaluada por Dra. Gonzalez pero con biopsia pendiente de revisar. Llamo a oftalmología (531782) para consultar por usuario, informo que el paciente requiere citación para evaluar biopsia, me informan que será citada con Dra. González a la brevedad. 19/6 paciente fue evaluada, se indica IC a HLS para ev de cirugía oido derecho. 21/6 se envía correo a HLS para priorización de atención por oftalmología HLS. P) resp. hora (12/7 se reconsulta, 6/8 se reconsulta). 23/10 se realiza seguimiento, usuario fue evaluado 22/10 por oftalmologia HLS, le dejaron tratamiento ocular y control en 3 semanas en HLS. P) Consultar por agendamiento antes 12/11. </t>
  </si>
  <si>
    <t>HOV Oftalmo (Dra. Gonzalez) // OFTALMO HLS</t>
  </si>
  <si>
    <t>23/10 se realiza seguimiento, usuario le corresponde control antes del 12/11 c/oftalmo HLS.</t>
  </si>
  <si>
    <t>FLORA TAPIA DONOSO</t>
  </si>
  <si>
    <t>CARCINOMA BASOCELULAR NODULAR en mejilla izq°</t>
  </si>
  <si>
    <r>
      <t xml:space="preserve">Seguimiento Enf: 14/10 tomo conocimiento de caso, evaluada por  dermatólogo, con lesión en mejilla izquierda, se aplica imiquimido y se cita para toma de biopsia, se realizó procedimiento en Septiembre/2024, se recibe resultado de biopsia positiva para CBC. P) CITAR c/Dr OSMAN. 23/11 se realiza agendamiento para el día 05/11 10:00hrs c/Dr OSMAN, evaluada corresponde control 3 meses. P) CITAR EN FEBRERO/2025 c/dr Osman. --&gt; </t>
    </r>
    <r>
      <rPr>
        <sz val="11"/>
        <color rgb="FF00B0F0"/>
        <rFont val="Calibri"/>
        <family val="2"/>
        <scheme val="minor"/>
      </rPr>
      <t>31/01 se cita para el día 04/02 10:00hrs c/Dr OSMAN</t>
    </r>
    <r>
      <rPr>
        <sz val="11"/>
        <color theme="1"/>
        <rFont val="Calibri"/>
        <family val="2"/>
        <scheme val="minor"/>
      </rPr>
      <t xml:space="preserve">. </t>
    </r>
    <r>
      <rPr>
        <b/>
        <sz val="11"/>
        <color theme="4"/>
        <rFont val="Calibri"/>
        <family val="2"/>
        <scheme val="minor"/>
      </rPr>
      <t xml:space="preserve">evaluada por dr. osman control en 6 meses. AGENDO PARA EL 19/08 CON OSMAN. EVALUA PACIENTE E INDICA CONTROL EN 1 AÑO </t>
    </r>
  </si>
  <si>
    <t>CITAR EN AGOSTO</t>
  </si>
  <si>
    <t>FLORENCIA OPAZO OPAZO</t>
  </si>
  <si>
    <t>TUMOR CERVICAL IZQ</t>
  </si>
  <si>
    <r>
      <t xml:space="preserve">Seguimiento Enf: 29/10 tomo conocimiento de caso, ue evaluada en consulta cabeza y cuello con masa cervical izquierda con aumento progresivo, se solicitó estudioTAC cerebro,cara y cuello (tomado e informado). P) CITAR c/DR OYARZUN. 04/11 se cita para el día 05/11 16:00hrs c/Dr Oyarzun, pero se cancela poli. P) REAGENDAR. 08/11 se reagenda 11/11 15:00hrs, reagendada 12/11 15:00hrs, evaluado se solicita PAAF (tomada 29/11, pendiente bp.) y control c/estudio. </t>
    </r>
    <r>
      <rPr>
        <b/>
        <sz val="11"/>
        <color theme="4"/>
        <rFont val="Calibri"/>
        <family val="2"/>
        <scheme val="minor"/>
      </rPr>
      <t>se cita 10/02 10:30 c/ dr. ramos</t>
    </r>
    <r>
      <rPr>
        <sz val="11"/>
        <color theme="1"/>
        <rFont val="Calibri"/>
        <family val="2"/>
        <scheme val="minor"/>
      </rPr>
      <t xml:space="preserve">. </t>
    </r>
    <r>
      <rPr>
        <b/>
        <sz val="11"/>
        <color theme="4"/>
        <rFont val="Calibri"/>
        <family val="2"/>
        <scheme val="minor"/>
      </rPr>
      <t>PCTE EVALUADA POR DR. RAMOS QUIEN INDICA PAROIDECTOMIA SUPRAFACIAL IZQ//</t>
    </r>
    <r>
      <rPr>
        <b/>
        <sz val="11"/>
        <color rgb="FFFF0000"/>
        <rFont val="Calibri"/>
        <family val="2"/>
        <scheme val="minor"/>
      </rPr>
      <t xml:space="preserve">3-4-25 USUARIA CON UROLCULTIVO (+) POSTERIOR TRATAMIENTO DE CONTROLARA CON NUEVO UROCULTIVO PARA CITAR CON ANESTESIOLOGIA. </t>
    </r>
  </si>
  <si>
    <r>
      <rPr>
        <sz val="11"/>
        <color theme="1"/>
        <rFont val="Calibri"/>
        <family val="2"/>
        <scheme val="minor"/>
      </rPr>
      <t xml:space="preserve">P) </t>
    </r>
    <r>
      <rPr>
        <b/>
        <sz val="11"/>
        <color theme="1"/>
        <rFont val="Calibri"/>
        <family val="2"/>
        <scheme val="minor"/>
      </rPr>
      <t>RESOLUCION QX, SET Qx EN MQ1</t>
    </r>
  </si>
  <si>
    <t>FREDDY  ZAPATA CHELME</t>
  </si>
  <si>
    <t>carcinoma basocelular del cuero cabelludo</t>
  </si>
  <si>
    <t>Seguimiento Enf: Paciente evaluado por Dr. Osman el 8-2-2024 donde se realizo electrocoagulación de lesiones actínica rostro y cuero cabelludo, bajo anestesia local, proc sin incidentes. Se cita con Dr. Osman 15/5 14:00hrs pcte confirma asistencia. Se evalua biopsia, sin signos recidiva, se estipula control en 6 meses (Citar en Noviembre/2024) (20/12 se llama pero no contesta telefonos, tampoco hijos ni familiares. 23/12 se llama no contesta. P) pasar caso a sergio T. para VDI.</t>
  </si>
  <si>
    <t>P) CITADO PERO NO VIENE. // PCTE CON CA DE COLON</t>
  </si>
  <si>
    <t>NO CONTESTA TELEFONOS</t>
  </si>
  <si>
    <t>FREDY MESA MESA</t>
  </si>
  <si>
    <t>CARCINOMA BASOCELULAR en cigomatigo izq°</t>
  </si>
  <si>
    <t>Seguimiento en hospital de origen</t>
  </si>
  <si>
    <r>
      <t>Seguimiento Enf: 16/10 tomo conocimiento de caso, usuario evaluado por cirujano cabeza y cuello, acudió con biopsia extrasistema concordante a Carcinoma Basocelular, evaluado por Dr. RAMOS solicita presentar a comité CYC P) guardar cupo y presentar a COR CYC. 18/10 se guarda cupo para informe comité el 22/10 16:00hrs (realizado). P) Presentar a COR CyC. 25/10 se presenta  acomité, corresponde ampliación de márgenes. P) CITAR c/DR RAMOS entrega resolucion, citada el 30/10 15:30hrs c/dr RAMOS, es evaluado se entrega resolución, se llena ficha preqx y se envia a u.preqx. P) INT QX. 20/11 se avisa que se opera el 25/11 por equipo CyC HOV. 09/12 se recibe resultado de biopsia postop,</t>
    </r>
    <r>
      <rPr>
        <sz val="11"/>
        <color theme="1"/>
        <rFont val="Calibri"/>
        <family val="2"/>
        <scheme val="minor"/>
      </rPr>
      <t xml:space="preserve"> 17/12 evaluado por Dr. Oyarzun quien indica presentar a comité CYC. Además se solicita a anatomia patológica informe complementario, invasión perineural  e invasión linfovascular, me comunico con anatomía patológica y se envía correo con solicitud. P) PRESENTAR A COR CYC (con bp complementaria, 15/01 aun pend). 22/01 se recibe biopsia complementaria, corresponde guardar cupo informe comité (c/dr ramos) y presentar a COR CYC. --&gt; fue citado a cupo informe el 28/01 c/Dr Ramos, Dr Ramos hace comité y lo sube a plataforma. P) PRESENTAR A COR CYC. 31/01 es presentado a comité, se define seguimiento en hospital de origen. P) Citar c/Dr RAMOS entrega resolución. --&gt; se cita para el 06/02 14:00hrs c/DR RAMOS. COR INDCIA SEGUIMIENTO CONTROL EN 6 MESES.</t>
    </r>
    <r>
      <rPr>
        <b/>
        <sz val="11"/>
        <color theme="4"/>
        <rFont val="Calibri"/>
        <family val="2"/>
        <scheme val="minor"/>
      </rPr>
      <t xml:space="preserve"> SE AGENDA PARA 19/08 15:00 HRS. PACIENTE EVALUADO CON DR. RAMOS EN CONTROL EL 26-11 CON RESULTADO DE TAC, DOCTOR INDICA CONTROL EN 1 AÑO</t>
    </r>
  </si>
  <si>
    <t>CONTROL EN 1 AÑO</t>
  </si>
  <si>
    <t>FUHAD MOISES SELEME GAETE</t>
  </si>
  <si>
    <t>CA DE LARINGE</t>
  </si>
  <si>
    <t>QMT /RT CONCOMITANTE</t>
  </si>
  <si>
    <t>HCBV</t>
  </si>
  <si>
    <t>BP POSITIVA DE  …..... PCTE EVALUADO EL 02/07 POR DR. RAMOS QUIEN INDICA   I/C ORL PARA VALORACIÓN Y NFL , I/C UROLOGÍA,  EDA Y COLONOSCOPÍA. EVALUADO EL 09/07 POR DRA. SALCEDO (ORL) QUIEN HACE NFL OBSERVANDO cara lingual y laringe de epiglotis con lesion tipo edematosa en hemilaringe izquiera. SOLICITA PRIORIZAR  LDBJE toma de biopsia. SE TOMA NUEVA BP POR DR. OYARZUN YA QUE LA ANTERIOR DIO RESULTADO (-). DA RESULTADO EL 04/11 (+) PARA CA DE LARINGE SE PRESENTA A COMITE EL 07/11 SOLICITAN PASE DENTAL / SE REPRESENTA EL 14/11 CON PASE ENTAL E INDICAN QMT / RT CONCOMITANTE, SE ENVIA CARPETA Y SE DERIVA A HLS PARA DERIVACION AL HCVB</t>
  </si>
  <si>
    <t>CONTRAREFERENCIA</t>
  </si>
  <si>
    <t>CONTRAREFERENCIA DE clinica IRAM</t>
  </si>
  <si>
    <t xml:space="preserve">GABRIEL ALFONSO TOLEDO </t>
  </si>
  <si>
    <t>CARCINOMA ESPINOCELULAR  FRENTE Y A LA NASAL</t>
  </si>
  <si>
    <t>cirugia y representar con biopsia.</t>
  </si>
  <si>
    <r>
      <t>Seguimiento Enf: Pcte en controles con Dr. Osman, último control 16-2-2024 se evaluan 1) tu frente con cordante con carcinoma espinocelular moderadamente diferenciado 2) tu ala nasal CBC, se aplica ac tac y se agenda para pabellon cx menor. Se prioriza IC, pcte evaluado el 4/4 se realiza bp, se informa bp el 14/5. 5/6 paciente fue citado el 29/5 se evalua biopsia acrocordon?, se solicita IC a pabellón cx menor, se prioriza IC a pabellón cx menor. 25/6 se reconsulta por citación x correo. Se recibe cita para el 4/7 a las 9:30hrs y se toma bp. 15/7 se consulta a anatopato, tienen la bp, pend. informe. 24/7 citado el 2/8 09:00hrs c/Dr. Osman, sin embargo paciente NSP por lluvia, se realiza reagendamiento para resultado de biopsia el 16/8 15:00hrs, se cancela poli. 9/9 Se cita para el 24/9 14:00hrs c/Dr. Osman, 25/9 es evaluado, se solicita TAC cabeza cuello y tórax (se avisa a paciente que traiga orden a modulo) y se solicita IC a CyC (se prioriza IC y se envía correo). P) Agendamiento c/Dr. RAMOS con resultados (30/9 pend. toma). 08/11 estudio listo, se agenda para el 11/11 15:30hrs c/Dr Oyarzun, pero se cancela, se reagenda cupo para el 12/11 15:30hrs c/dr oyarzun, evaluado se solicita eco cervical etapificación (se rescata orden y se prioriza x modulo). P) resultado para presentar a comité oncológico.</t>
    </r>
    <r>
      <rPr>
        <sz val="11"/>
        <color rgb="FF00B0F0"/>
        <rFont val="Calibri"/>
        <family val="2"/>
        <scheme val="minor"/>
      </rPr>
      <t xml:space="preserve"> 03/01 se recibe resultado, se realiza agendamiento para el 07/01 15:30hrs c/dr OYARZUn, evaluado se solicita IC a broncopulmonar (08/01 se prioriza, citado 09/01 09:30hrs), IC a anestesia (u.preqx), luego int. qx. P) comité? 10/01 presentado a comité, se define cirugia y representar. Se cita 14/01 15:30hrs c/Dr Oyarzun entrega comité, evaluado se entrega resolución, usuario en primera instancia no desea operarse, se solicita RM cerebro y citar c/resultados para respuesta definitiva. P) citar c/resultados. 23/01 usuario acude con exs sangre, sin embargo no está orden de RM cerebro ni en modulo ni en imagenología ni la tiene usuario (se consulta a dr. oyarzun x orden faltante). --&gt; SOLICITAR A DR OYARZUN QUE HAGA ORDEN. </t>
    </r>
    <r>
      <rPr>
        <b/>
        <sz val="11"/>
        <color theme="4"/>
        <rFont val="Calibri"/>
        <family val="2"/>
        <scheme val="minor"/>
      </rPr>
      <t>pcte se toma RNM se agendac/ Dr. oyarzun pero suspende poli. 11/03 citada con Dr. Ramos indica IC con endocrinologa. P) priorizar//</t>
    </r>
    <r>
      <rPr>
        <b/>
        <sz val="11"/>
        <color rgb="FFFF0000"/>
        <rFont val="Calibri"/>
        <family val="2"/>
        <scheme val="minor"/>
      </rPr>
      <t xml:space="preserve">3-4-25 NO HAY IC, SOLICITAR CREACION DE IC. </t>
    </r>
    <r>
      <rPr>
        <b/>
        <sz val="11"/>
        <color theme="4"/>
        <rFont val="Calibri"/>
        <family val="2"/>
        <scheme val="minor"/>
      </rPr>
      <t>SE REALIZA IC A ENDOCRINO, SE AGENDA CON DRA PALMA, PIDE EXAMENES, 02/07 SE AGENDA CON RAMOS PARA VER TEMA Qx. INDICA SE REQUIERE ACTUALIZAR TAC PARA PROGRAMAR CIRUGÍA. (FIRMO ORDENES) Y PREIORIZAR EXAMENES INDICADOS POR DRA. PALMA. SE REVISA TAC INFORMADO SE AGENDA CON DR. OYARZUN 19/08</t>
    </r>
  </si>
  <si>
    <t xml:space="preserve">CONTROL </t>
  </si>
  <si>
    <t>REPRESENTAR A COMITÉ // CITAR EN 1 MES</t>
  </si>
  <si>
    <t>GABRIELA BUGUEÑO CISTERNA</t>
  </si>
  <si>
    <t>CARCINOMA BASOCELULAR NODULAR de BOZO</t>
  </si>
  <si>
    <t>Seguimiento Enf: 11/9 tomo conocimiento de caso, usuaria en atenciones con dermatólogo, fue evaluado en Mayo/2024 por observación de lesión en bozo facial, se planteó exeresis la cual fue realizada el 1 de Agosto en pabellón cirugía menor y se tomó muestra biopsia. Hoy se recibe resultado de biopsia positiva para CBC. P) Citar c/Dr. OSMAN. 23/9 se cita para el día 26/9 15:00hrs c/Dr. OSMAN, evaluada se indica solactive repair y control en 3 meses. P) CITAR EN DICEIMBRE/2024. 17/10 se recibe EDA sospechosa positiva para CA gástrico. 23/12 se realiza agendamiento para el 27/12 15:00hrs c/Dr OSMAN, evaluada sin signos recidiva, control en 6 meses (Junio/2025) EVALUADA EN 22/07 POR DR. OSMAN INDICA OCNTROL EN 1 AÑO</t>
  </si>
  <si>
    <t>GERMAN ROJAS ARAYA</t>
  </si>
  <si>
    <t>LESION EXOFITICA ENCIMA LABIO SUPERIOR BORDE IZQUIERDO</t>
  </si>
  <si>
    <t>TOMO CONOCIMIENTO DE CASO, PACIENTE EVALUADO POR DR. RAMOS EN CONSULTA DE CIRUGIA DOND DERIVA PARA BP DE LESION EXOFITICA POR ENCIMA LABI SUPERIOR BORDE IZQUIERDO. EN CIRUGIA MENOR P) AGENDAMIENTO</t>
  </si>
  <si>
    <t>P) CIRUGIA MENOR</t>
  </si>
  <si>
    <t>GERONIMO DEL ROSARIO PIZARRO (-)</t>
  </si>
  <si>
    <t>CARCINOMA ESPINOCELULAR PARPADO INFERIOR IZQUIERDO</t>
  </si>
  <si>
    <t xml:space="preserve">VER SI ASISTIO A CONTROL REVISION DE BPC GLOBAL </t>
  </si>
  <si>
    <t>P) EVALUAR CITACION CON OSMAN E INDICACIONES</t>
  </si>
  <si>
    <t>GLADYS ANGÉLICA DÍAZ ARCOS</t>
  </si>
  <si>
    <t xml:space="preserve">CANCER DE LENGUA </t>
  </si>
  <si>
    <t xml:space="preserve">Radioterapia curativa adyuvante </t>
  </si>
  <si>
    <t>HCB</t>
  </si>
  <si>
    <r>
      <rPr>
        <sz val="11"/>
        <color theme="1"/>
        <rFont val="Calibri"/>
        <family val="2"/>
        <scheme val="minor"/>
      </rPr>
      <t xml:space="preserve">Seguimiento Enf: Se realiza seguimiento, se decide en último comité realizar Radioterapia adyuvante, Controles con ORL (visto 29/2, prox control en 3 meses)., inicio RDT curativa adyuvante en HCVB el 25/3, CULMINA RDT 7/5/24, SE CONTRARREFIERE A HLS (SE ENVIA CORREO) Y A HOV, 13/5 Se cita con Dr. Ramos para 16/5 15:30hrs. 27/5 Se reciben RNM + exs listos , pendiente citar c/Ramos. 31/5 se prioriza IC a gastroenterología (p) hora). Se cita a paciente con Dr. Ramos para el 18/6 15:00hrs para ev. resultados, se evalua TAC, se evalua colonoscopia, </t>
    </r>
    <r>
      <rPr>
        <sz val="11"/>
        <rFont val="Calibri"/>
        <family val="2"/>
        <scheme val="minor"/>
      </rPr>
      <t>se indica IC a hematología (priorizada, hora 23/8) y se indica control en 6 meses (Citar en Diciembre/2024). 23/9 se toma colonoscopia. 29/11 se agenda para el 03/12 16:00hrs c/Dr RAMOS, evaluado sin recidiva, se solicita TAC cerebro,cara,cuello y torax. P)Citar c/resultados. 06/01 se prioriza informe TAC cerebro,cara y cuello. Con resultados citar a polli CyC. 09/01 se recibe tac informado. 20/01 se realiza agendamiento para el día 23/01 16:30hrs c/Dr RAMOS, evaluada se plantea posible recidiva por lo que Dr. RAmos solicita RMN cerebro y cuello c/c (orden la tiene usuaria, se llamara para que la traiga a modulo).</t>
    </r>
    <r>
      <rPr>
        <sz val="11"/>
        <color rgb="FF00B0F0"/>
        <rFont val="Calibri"/>
        <family val="2"/>
        <scheme val="minor"/>
      </rPr>
      <t xml:space="preserve"> </t>
    </r>
    <r>
      <rPr>
        <b/>
        <sz val="11"/>
        <color theme="4"/>
        <rFont val="Calibri"/>
        <family val="2"/>
        <scheme val="minor"/>
      </rPr>
      <t>se agenda para el 18/02, se suspende poli. se agenda pra el dia 26/02 con Dr. RAmos, se suspende poli por LM. Se vuelve a reagendar para el dia 04/03 con Dr. Ramos. Es evaluada, sin registro en sidra, pcte refiere estar en bcg, y control en 6 meses. el 11/03 solicita hora con otoriino, se gestiona hora con TENS, quien indica se comunicara con usuaria. PCTE SOLICITA HORA CON DR. RAMOS POR NODULO SOSPECHOSO, SE AGENDA EL 05/08  Y SOLICITA TAC DE CEREBRO, CABEZA CUELLO Y TORAX. DOCTOR EVALUA PET CT EL 18/11 E INDICA EVALUAR CON MAXILO. P) PRIORIZAR</t>
    </r>
  </si>
  <si>
    <t xml:space="preserve">PEND IC CON ZILLER </t>
  </si>
  <si>
    <t xml:space="preserve">GLADYS GONZALES ROBLES </t>
  </si>
  <si>
    <t>MELANOMA CAVIDAD NASAL</t>
  </si>
  <si>
    <t>Evaluar inmunoterapia paliativa en comité DAC de IV región en servicio de origen.
Cuidados paliativos servicio de origen</t>
  </si>
  <si>
    <r>
      <t xml:space="preserve">Seguimiento Enf: Paciente en espera de inicio RDT en Valparaiso, se indica control en 3 meses c/ Dra Rodriguez (junio). 5/4 asiste hija para terirar bloques de anatopato. P) Seguimiento Julio. 11/7 se realiza seguimiento, me indica que bloques no le sirvieron y que en control con onco en HLS le indicaron que su melanoma no es GEs y que acuda a clinica Indisa en Santiago donde se le repitió toma de biopsia, luego en clinica SAGA le solicita exs de sangre, escaner y resonancia, en espera de resultados para ver si es apta para recibir RDT en ese centro. 18/11 5to dosis de inmunoterapia es por el 28/11 cumple tratamiento, la verá Barrigas, postularon a ese tratamiento en clínica SAGA, desconoce cuantas sesiones (8 probable), esta ingresada en CPYAD pero no quiere atenciones por que Dra Garcia no la soporta,  solicita receta en Chagas para repetir receta (tramadol + pcte), calma dolor y sordera izq. 19/11 se gestiona atención por CPYAD. </t>
    </r>
    <r>
      <rPr>
        <b/>
        <sz val="11"/>
        <color theme="4"/>
        <rFont val="Calibri"/>
        <family val="2"/>
        <scheme val="minor"/>
      </rPr>
      <t>SE REALIZA SEGUIMIENTO MAYO, FAMILIAR DICE QUE NO HA TENIDO CONTROL POLI DOLOR, 23-05 SE LLAMA A POLI DOLOR SOLICITANDO SOBRECUPO. 6-05 SE ENVIA CORREO PIDIENDO HORA</t>
    </r>
  </si>
  <si>
    <t>2 meses</t>
  </si>
  <si>
    <t>CPYAD (Dra. Rodriguez)</t>
  </si>
  <si>
    <t>CPE . SEGUIMIENTO AGOSTO 2025</t>
  </si>
  <si>
    <t>no ges</t>
  </si>
  <si>
    <t>Gloria Díaz García</t>
  </si>
  <si>
    <t>nodulo hoperplasico mixto, tirads-4</t>
  </si>
  <si>
    <t xml:space="preserve">ETAPIFICACIÓN </t>
  </si>
  <si>
    <t>15-05-2024 (por CA Cervicouterino) / PENDIENTE CYC</t>
  </si>
  <si>
    <t>Corresponde seguimiento</t>
  </si>
  <si>
    <t>Seguimiento Enf: 6/6 tomo conocimiento de caso, paciente tuvo controles en noviembre/2023 por Dr. Ramos (CyC), se indicó laboratorios tiroideos informados en diciembre/2023 y eco tiroidea informada desde febrero/2023 que evidencia Tirads-4, se ingresa a bajo control CyC. Corresponde agendar con Dr. Ramos con agenda cupos disponibles, 7/6 se presenta caso a Dr. Ramos, me indica toma de paaf de tiroides y citar con resultados, se gestiona orden con módulo oncológico. Se toma muestra 19/6, P) resultado de PAAF y citar c/Dr. RAmos. 11/7 se recibe resultado de PAAF, corresponde citar c/Dr. RAMOS. 12/7 se realiza agendamiento para el 18/7 15:30hrs, es evaluada, se indica control anual con eco tiroidea. P) Citar en Julio/2025</t>
  </si>
  <si>
    <t>CITAR EN JULIO/2025 con eco tiroidea c/Dr. Ramos</t>
  </si>
  <si>
    <t>GONZALO  MICHEA MALLEGA</t>
  </si>
  <si>
    <t>CBC SOLIDO NODULAR INFILTANTE, MARGENES +</t>
  </si>
  <si>
    <t>PCTE CON CBC EN ALA NASAL EVALUADO POR DERMATOLOGO QUIEN DERIVA A CIRUJANO DE CYC. EL 23/12 EVALUADO POR DR. OYARZUN QUIEN INDICA TAC+ EXAMENES LAB PREOPERATORIOS</t>
  </si>
  <si>
    <t xml:space="preserve">REV (DICIEMBRE) </t>
  </si>
  <si>
    <t>CITAR CON INFORME TE TAC</t>
  </si>
  <si>
    <t>GUILLERMO BUGUEÑO TAPIA</t>
  </si>
  <si>
    <t>EL PALQUI</t>
  </si>
  <si>
    <t>OBS CA CUTANEO PABELLON AURICULAR</t>
  </si>
  <si>
    <t>SE PESQUIZA IC PENDIENTE A CX MENOR</t>
  </si>
  <si>
    <t xml:space="preserve">VER CX MENOR URGENTE </t>
  </si>
  <si>
    <t>GUSTAVO MUÑOZ ADAROS</t>
  </si>
  <si>
    <t>CARCINOMA BASOCELUAR MALAR IZQUIERDO</t>
  </si>
  <si>
    <r>
      <t>Seguimiento Enf: Evaluado el 23-2-2024 por Dr. Osman, se evalúa biopsia (CARCINOMA BASOCELULAR NODULAR CON COMPONENTE ESCAMOSO, INFILTRANTE EN DERMIS RETICULAR), indica imiquimod aplicar: L-M-V uso nochelan. El 23/4 se llama a paciente, me informa que se le habia dado control para 1 mes (marzo/24) sin embargo sin periodicidad en evolución médica, se cita para 31/5/24 a las 15:00hrs, familiar confirma asistencia. 31/5 dr. osman pide permiso administrativo, se llama para reagendar citación para 4/6 14:00hrs c/dr. Osman, familiar confirma asistencia. 5/6 paciente evaluado, se indica prednisona + clobetazol y se estipula control en 6 meses (Citar en Diciembre/2024) (20/12 se llama a esposa que consultará a usuario). 26/12 me comunico nuevamente con esposa, usuario no puede acudir, se difiere control para enero/2025. P) CITAR EN ENERO/2025 c/Dr OSMAN.</t>
    </r>
    <r>
      <rPr>
        <sz val="11"/>
        <color rgb="FF00B0F0"/>
        <rFont val="Calibri"/>
        <family val="2"/>
        <scheme val="minor"/>
      </rPr>
      <t xml:space="preserve"> 23/01 se llama pero no contestan numeros.</t>
    </r>
    <r>
      <rPr>
        <sz val="11"/>
        <color theme="4"/>
        <rFont val="Calibri"/>
        <family val="2"/>
        <scheme val="minor"/>
      </rPr>
      <t xml:space="preserve"> </t>
    </r>
    <r>
      <rPr>
        <b/>
        <sz val="11"/>
        <color theme="1"/>
        <rFont val="Calibri"/>
        <family val="2"/>
        <scheme val="minor"/>
      </rPr>
      <t>DIFIERE CONTROLES EN 4 OPORTUNIDADES</t>
    </r>
  </si>
  <si>
    <t>6 MES</t>
  </si>
  <si>
    <t>SE CITA PARA EL 01/07 NSP DIFIERE CONTROLES // 02/03 PCT NO CONTESTA TELEFONOS</t>
  </si>
  <si>
    <t>GUZMAN ALBURQUENQUE ARANCIBIA</t>
  </si>
  <si>
    <t>CARCINOMA SEBÁCEO en BOZO</t>
  </si>
  <si>
    <r>
      <t xml:space="preserve">Seguimiento Enf: 26/9 tomo conocimiento de caso, fue evaluado en Agosto/2024 con lesión tumoral en bozo, en resultado de biopsia se define carcinoma sebáceo, posteriormente fue evaluado y se indicó toma de TAC cabeza, cuello y tórax, exs laboratorios + IC a gastroenterología. Se prioriza IC con jefaLEconsultas (Yasna) y se envia correo correspondiente. Me contacto vía telefonica para informar a usuario de proceso y que traiga ordenes a modulo oncológico.. P) CITAR c/RESULTADOS. 13/11 se recibe resultado bp positiva para CA sebaceo (ya habia sido evaluada), fue vista el 06/11, Dr Osman ya evaluo TAC's + exs sangre, pendiente colonoscopia (se reconsulta IC priorizada, se recibe hora 04/12 08:30hrs c/Dr Rosendo. </t>
    </r>
    <r>
      <rPr>
        <b/>
        <sz val="11"/>
        <color theme="4"/>
        <rFont val="Calibri"/>
        <family val="2"/>
        <scheme val="minor"/>
      </rPr>
      <t>CITADO EN REITERADAS OPORTUNIDADES, NO VIENE</t>
    </r>
  </si>
  <si>
    <t>NO DESEA VENIR A CONTROLES</t>
  </si>
  <si>
    <t>HECTOR GUSTAVO CASTILLO</t>
  </si>
  <si>
    <t>CARCINOMA BASOCELULAR, NASAL IZQ</t>
  </si>
  <si>
    <t>Seguimiento Enf: A paciente se le indica resección de TU Julio/2023, el cual es intervenido en Octubre/2023 por Dr. Osman particular, con control postop. en Enero/2024 por Dr. Osman, paciente evoluciona favorablemente y se indica recontrol en 6 meses (Julio/2024). 12/4 se agenda a pcte c/dr. osman el 3/5/24 x exacerbación de síntomas. 28/5 sin registro de atención, paciente acude a reagendamiento, se reagenda para el 7/6, se indica imiquimod x 3 meses (Citar en septiembre/2024) 30/9 se realiza agendamiento para el 2/10 09:00hrs c/Dr. OSMAN, evaluado s/recidiva, se indica fotoprotección y citar en 6 meses. P) CITAR EN ABRIL/2025 c/Dr. OSMAN. SE LLAMAN EN 2 OPORTUNIDADES Y FAMILIARES NO QUIEREN ATENCVIONES POR EL HOSPITAL, PREFIEREN LLEVAR A PACIENTE POR EXTRASISTEMA</t>
  </si>
  <si>
    <t>P) CITAR EN ABRIL/2025 c/Dr. OSMAN</t>
  </si>
  <si>
    <t>NO QUIEREN ATENCIONES POR EL HOSPITAL FAMILIARES</t>
  </si>
  <si>
    <t xml:space="preserve">HELÉN ANTONIO BARRAZA ROJAS </t>
  </si>
  <si>
    <t xml:space="preserve">CARCINOMA BASOCELULAR NASAL OPERADO </t>
  </si>
  <si>
    <t>pendiente (último 2020)</t>
  </si>
  <si>
    <r>
      <t>Seguimiento Enf: Paciente evaluado Septiembre/2023 por Dr. Ramos,  con evaluación RMN sin signos de recidiva, se indica CONTROL EN 1 AÑO CON CYC (Sept-2024) e IC a Otorrino (lista x Dra. Sanchez) y IC a Oftalmo (20/2 suspendida). P) Citar en Septiembre/2024. 16/9 se realiza agendamiento para el 27/9 15:30hrs c/Dr. RAMOS, evaluado?? P) CONSULTAR DR. RAMOS x indicaciones</t>
    </r>
    <r>
      <rPr>
        <sz val="11"/>
        <rFont val="Calibri"/>
        <family val="2"/>
        <scheme val="minor"/>
      </rPr>
      <t>. 20/01 se realiza agendamiento para el día 21/01 15:30hrs c/Dr RAMOS (estudios listos), evaluado? sin evolución nuevamente, se consulta a d.r RAmos por indicaciones</t>
    </r>
    <r>
      <rPr>
        <sz val="11"/>
        <color rgb="FF00B0F0"/>
        <rFont val="Calibri"/>
        <family val="2"/>
        <scheme val="minor"/>
      </rPr>
      <t>.</t>
    </r>
    <r>
      <rPr>
        <b/>
        <sz val="11"/>
        <color theme="4"/>
        <rFont val="Calibri"/>
        <family val="2"/>
        <scheme val="minor"/>
      </rPr>
      <t xml:space="preserve"> PIDE RNM Y HORA EN OCTUBRE . paciente con tac ok </t>
    </r>
  </si>
  <si>
    <t>P) REALIZAR RNM Y CONTROL EN  OCTUBRE // tac ok</t>
  </si>
  <si>
    <t>CITAR CON TAC OK</t>
  </si>
  <si>
    <t>HILDA DONOSO ANGEL</t>
  </si>
  <si>
    <t>CARCINOMA BASOCELULAR DE PIEL REGION OCULAR</t>
  </si>
  <si>
    <t>Radioterapia curativa</t>
  </si>
  <si>
    <t>HCVB - HOV</t>
  </si>
  <si>
    <r>
      <t>Seguimiento Enf: Paciente recibio RDT desde 19-12-23 hasta 18-01-24. Se solicita RNM c/contraste de globo ocular y cerebro para Mayo/2024 y control con resultados. 13/5 se consulta, orden con CAMI TENS, hoy se cita a toma de exs. creatinina y luego se tomará RMN, pendiente seguimiento resultados y citar c/dr. Ramos c/resultados. 28/5 se consulta, el 22/5 se llevo orden a IMATEC, pendiente toma y citar c/resultado. 5/6 estudio informado el 4/6 en sidra. Se cita paciente para el 11/6 12:00hrs, paciente evaluado por Dr. Ramos, se estipula control en 6 meses (CITAR EN DICIEMBRE/2024). 29/11 se agenda para el 03/12 14:00hrs c/dr Ramos, evaluada con leve dolor occipital se solicita tac cerebro,cara y cuello c/c. 09/01 se recibe TAC informado. P) CITAR c/DR RAMOS. 20/01 se realiza agendamiento para el 23/01 15:00hrs c/Dr RAMOS, evaluada con recidiva se solicita PET-CT (en modulo).</t>
    </r>
    <r>
      <rPr>
        <b/>
        <sz val="11"/>
        <color rgb="FF00B0F0"/>
        <rFont val="Calibri"/>
        <family val="2"/>
      </rPr>
      <t xml:space="preserve"> </t>
    </r>
    <r>
      <rPr>
        <b/>
        <sz val="11"/>
        <color theme="4"/>
        <rFont val="Calibri"/>
        <family val="2"/>
      </rPr>
      <t xml:space="preserve">HORA PET-CT EL 14/04. p) INFORME. 13-05 EVALUADA POR DR. OYARZUN QUIEN EVALUA PET, INDICA CONTROL ONCOLOGICO ANUAL, CONTROL EN 2 MESES Y DERIVACION DE IC CON </t>
    </r>
  </si>
  <si>
    <t>P) CONTROL EN 2 MESES</t>
  </si>
  <si>
    <t>evaluar control con medico</t>
  </si>
  <si>
    <t>INES ALFARO ROJAS</t>
  </si>
  <si>
    <t>CARCINOMA BASOCELULAR</t>
  </si>
  <si>
    <t>SEGUIMIENTO ENF: 16/5 TOMO conocimiento de caso, se trata de paciente rural sin redes de apoyo, única red administrativa de la municipalidad que ve adultos mayores, fue evaluada por dr. Osman el 11/2023 con control a los 3 meses, sin embargo no tuvo control, se llama para agendar hora con Dr. Osman, se cita para el 14/6 con Dr. Osman a las 15:00hrs, usuario no pudo asistir por lluvias, 25/6 se realiza reagendamiento para el 12/07/2024 a las 15:00hrs, evaluada, se indica imiquimod y control en 3 meses (Citar en Octubre/2024). 12/11 se realiza agendamiento para el día 29/11 15:00hrs c/dr OSMAN, evaluado sin recidiva, control 6 meses(Mayo/2025)</t>
  </si>
  <si>
    <t>6 meses</t>
  </si>
  <si>
    <t>P) CITAR EN MAYO/2025 c/Dr OSMAN</t>
  </si>
  <si>
    <t>no tiene quien la traiga // SE LLAMA 15-09 Y REFIERE LA MISMA INFORMACION</t>
  </si>
  <si>
    <t>ISABEL SEGOVIA SEGOVIA</t>
  </si>
  <si>
    <t>LENTIGO MALIGNO MENTON</t>
  </si>
  <si>
    <t>10/06 PACIENTER SE PESQUIZA EN BAJO CONTROL GLOBAL CON BIOPSIA (+) ES agendada para el 10/06 CON OSMAN. LA EVALUA OSMAN Y ES DERIVADA A CYC. ES AGENDADA EL 16/06 CON DR. RAMOS QUIEN SOLICITA TAC de cerebro, cara, cuello y totax con contraste. TAC OK, SE CITA PARA EL 19/08 CON DR. RAMOS</t>
  </si>
  <si>
    <t>RAMOS INDICA COMITE!!!</t>
  </si>
  <si>
    <t>ISIDORA BARRAZA BARRAZA</t>
  </si>
  <si>
    <t>NODULO MULTINODULARES TIRADS-4 // COLOIDEO bethesda 2</t>
  </si>
  <si>
    <r>
      <t>Seguimiento Enf: 27/8 tomo conocimiento de caso, usuaria tuvo atenciones por policlínico cabeza y cuello derivada desde policlínico endocrinología, a usuaria se le solicitó toma de eco tiroides que evidencio nodulos TIRADS-4, posteriormente se le solicitó PAAF y quedó para control en 6 meses (Agosto). 30/8 se realiza agendamiento para el 4/9 15:30hrs, es evaluada con bocio difuso, se le solicita TAC cuello (traerá orden el 12/9 y se tomará exs) y contro</t>
    </r>
    <r>
      <rPr>
        <sz val="11"/>
        <rFont val="Calibri"/>
        <family val="2"/>
        <scheme val="minor"/>
      </rPr>
      <t>l con endocrino (x admisión). Con resultados citar c/Dr Ramos (30/9 aun no se toma tac). 29/10 se recibe resultado TAC Cuello. P) CITAR c/DR RAMOS. 30/10 se agenda para el 05/11 15:30hrs c/Dr RAMOS, sin embargo NSP. P) reagendar en horario am L-M-V. --&gt; fue citada el 28/01 c/Dr Ramos, se solicita eco tiroroides preoperatoria, se llena documento y envia a upreqx plan Tiroidectomia total. P) INT QX.</t>
    </r>
    <r>
      <rPr>
        <sz val="11"/>
        <color rgb="FF00B0F0"/>
        <rFont val="Calibri"/>
        <family val="2"/>
        <scheme val="minor"/>
      </rPr>
      <t xml:space="preserve"> </t>
    </r>
    <r>
      <rPr>
        <b/>
        <sz val="11"/>
        <color theme="4"/>
        <rFont val="Calibri"/>
        <family val="2"/>
        <scheme val="minor"/>
      </rPr>
      <t>EVALUADA POR ANESTESIA INDICA COMPENSAR PATOLOGIA OCN ENDOCRINOLOGA, EVALUADA POR DRA. PALMA INDICA TTO Y CONTROL EN UN MES.</t>
    </r>
  </si>
  <si>
    <t>P) INT QX (tiroidectomai total). CONTROL CON ENDOCRINO EN AGOSTO</t>
  </si>
  <si>
    <t>PENDIENTE CONTROL CON ENDDOCRINO PARA PASE ANESTESICO // NO ASISTE A 3 CONTROLES</t>
  </si>
  <si>
    <t>ISMAEL ROJAS ROJAS</t>
  </si>
  <si>
    <r>
      <t>Seguimiento Enf: Paciente evaluado el 15-2-2024 por Dr. Ramos, 8acude con estudio eco cervical (glandulas cervicals tirads 1), además SOLICITO PAAF DE NODULO PARATRAQUEAL y discute CASO CON DRA. CLARET PEREZ RADIOLOGO, se concluye que no se tomara PAAF x estado de paciente. 5/4 se agenda paciente para 11/4 c/Dr. Ramos, acude familiar y se revisa eco cuello y tiroides, se deja IC a maxilofacial (priorizada), derivación a cx plastica HLS (se recibe hora citacion con Dr. Scarton 18/6 14:30hrs) y control en noviembre/2024 c/ CYC. 1/7 se recibe correo de HLS solicitando examenes preoperatorios + ECG, se gestionan ordenes. 5/7 se tomó examenes, 11/7 se envía correo a HLS con resultados. 26/8 se consulta nuevamente, se solicita ev. por cardiología y pendiente por anestesista. Se realiza agendamiento para el 30/8 11:00hrs c/Dr. Lara, además se avisa que se contacten con hija para citación con anestesista. P) CITAR EN NOVEIMBRE/2024 c/ Dr. RAMOS. 11/11 se cita usuario para el día 14/11 15:00hrs c/Dr RAMOS, evaluado con colgajo retraido, se solicita TAC craneo, cabeza, cara y cuello (orden en modulo, 29/11 tomado, pend inf). P) citar c/resultados. 27/11 seguimiento usuario en espera cirugía plastica HLS se requiere evaluación por cardiologo, se solicita cupo. 20/12 se agenda para el 24/12 11:00hrs c/Dr Mavarez. P) enviar evolución a HLS Dr Scarton. 03/01 se recibe TAC informado, se cita el 07/01 16:00hrs c/Dr RAMOS, evaluado tac sin recidiva, control en 6 meses (Julio/2025). Tiene examenes el 27/01 , luego enviar resultados a HLS.</t>
    </r>
    <r>
      <rPr>
        <sz val="11"/>
        <color rgb="FF00B0F0"/>
        <rFont val="Calibri"/>
        <family val="2"/>
      </rPr>
      <t xml:space="preserve"> </t>
    </r>
    <r>
      <rPr>
        <b/>
        <sz val="11"/>
        <color theme="4"/>
        <rFont val="Calibri"/>
        <family val="2"/>
      </rPr>
      <t xml:space="preserve">Se envia correo para prgeuntar sobre cx recosntructiva a gestora hls hoy 20/03// </t>
    </r>
    <r>
      <rPr>
        <b/>
        <sz val="11"/>
        <color rgb="FFFF0000"/>
        <rFont val="Calibri"/>
        <family val="2"/>
      </rPr>
      <t>26-3 se envia correo solicitado informacion de cx//01-4-25 se llama a hsl para informacion de cx, lo retomaran, y lo citan con dr scarton, se avisa a hija.</t>
    </r>
  </si>
  <si>
    <t xml:space="preserve">P) CITAR EN JULIO/2025 c/Dr RAMOS / ev cardio lista x HLS. 27/01se toma exs preops y enviar a HLS (x dr scarton) </t>
  </si>
  <si>
    <t>P) ver operación en hls</t>
  </si>
  <si>
    <t>VER SI SIGUE ATENDIENDOSE POR CYC Y SOLICITAR IC POR OFTALMO</t>
  </si>
  <si>
    <t>ic a cardio para cirugia y anestesia..</t>
  </si>
  <si>
    <t>IVÁN CASTILLO MARÍN</t>
  </si>
  <si>
    <t xml:space="preserve">Carcinoma escamoso bien diferenciado </t>
  </si>
  <si>
    <t>Se</t>
  </si>
  <si>
    <t>P) CITAR EN FEBRERO/2025 c/eco tiroides.</t>
  </si>
  <si>
    <t>P)ECO TIORIDES !!! PARA CONTROL</t>
  </si>
  <si>
    <t>IVONNE ARAYA RAMOS</t>
  </si>
  <si>
    <t>TUMOR DE PALADAR BLANDO: TUMOR PLEOMORFO</t>
  </si>
  <si>
    <t>Masa predominantemente hipodensa y levemente metabólica con SUVmax: 3,6 en región parafaríngea derecha que determina abombamiento de la orofaringe, contacta íntimamente cabeza y rama mandibular y procesos pterigoídeos y desplaza hacia posterior del espacio carotídeo ipsilateral. Hipermetabolismo fisiológico en paladar blando, tejido linfoide orofaríngeo, arcada dentaria y piso de la boca.BIOPSIA B25-2979 21-07-25: ADENOMA PLEOMORFO
SE EXPLICA PATOLOGIA Y RESULTADOS DE EXAMENES. SE EXPLICA INTERVENCION QUIRURGICA. PACIENTE NO TIENE INTENCION DE OPERARSE. SE INFORMA A PACIENTE Y FAMILIARES RIESGOS Y COMPLICAIONES, ESTAN DE ACUERDO. SE MANTENDRA EN SEGUIMIENTO.
CONTROL EN 3 MESES (CLINICO)</t>
  </si>
  <si>
    <t>CONTROL 3 MESES</t>
  </si>
  <si>
    <t>CITAR EN DICIEMBRE</t>
  </si>
  <si>
    <t>IVONNE BOYD DIAZ</t>
  </si>
  <si>
    <t>CARCIONAMA ESPINOCELULAR DEL PARPADO IZ</t>
  </si>
  <si>
    <t>SIN SIGNOS DE RECIDIVA Y SEGUIMIENTO EN 6 MESES. CONTROL EL 12/08 EVALUAD APOR OSMAN INDICA CONTROL ANUAL</t>
  </si>
  <si>
    <t xml:space="preserve">6 MESES </t>
  </si>
  <si>
    <t>P) CITAR AGOSTO 2026</t>
  </si>
  <si>
    <t>JANS SAN MARTIN FLORES</t>
  </si>
  <si>
    <t>TUMOR SUPRACLAVICULAR DERECHO 5CM</t>
  </si>
  <si>
    <t xml:space="preserve">PCTE EVALUADO POR DR. MANUEL RODRIGUEZ EN CONJUNTO CON DR. OYARZUN DONDE SE INDICA UN ANGIOTAC. EL 23/12 PCTE EVALUADO CON RESULTADO POR DR. OYARZUN QUIEN INDICA CIRUGIA </t>
  </si>
  <si>
    <t>SE ENTREGA SET A PREQX</t>
  </si>
  <si>
    <t>JAVIERA TIRADO CASTILLO</t>
  </si>
  <si>
    <t>QUISTE BRAQUIAL IZQUIERDO</t>
  </si>
  <si>
    <t>PACIENTE CON EVALUACION POR CIRUJANO DE POLI DE CYC QUIEN SOLICITA TAC POR QUISTE BRAQUIAL IZQ. SE EVALUA TAC EN POLI EL 26/11 CON DR. RAMOS QUIEN INDICA NO TIENE IMÁGENES PATOLOGICAS. SOLO PENDIENTE CONTROL CON NEURO Y ORL</t>
  </si>
  <si>
    <t>EVALUACION POR ORL Y NEURO</t>
  </si>
  <si>
    <t>JILBERTO ROJAS TELLEZ</t>
  </si>
  <si>
    <t>Carcinoma Basocelular ana salas derecha</t>
  </si>
  <si>
    <t>Seguimiento en servicio de origen. Evaluación por endocrinología Ovalle</t>
  </si>
  <si>
    <r>
      <t>Seguimiento Enf: Paciente sin atenciones 2024, evaluado en 16-06-23 por Dr. Azua (CyC) que indica control en 1 año (Junio/2024) o SOS. 17/6 se cita a usuario para control anual para el día 18/6 15:30hrs, se evalua y se solicita toma de biopsia incisional con punch, se prioriza IC a pabellón cx menor. P) se da hora 19/6 16:00hrs y citar con resultados. 5/7 se recibe resultado biopsia que indica Carcinoma basocelular nodular y se cita a control para el 8/7 12:00hrs, es evaluado se solicitan estudios extensión (TAC cara,cerebro y cuello c/c, se tomará 31/7). 14/8 resultado informado. 16/8 se realiza agendamiento para el 21 /8 15:30hrs c/Dr. RAMOS, es evaluado, se evalua TAC c/ signos de recidiva, se plantea presentar a COR CYC. 30/8 se cita para cupo confección comité el 4/9 16:30hrs, luego presentar a COR CYC. 6/9 se presenta a comite, se realiza agendamiento para entrega resolución el 9/9 15:30hrs c/Dr. RAMOS, evaluado, se entrega resolución, se hace IPD CPYAD y se entrega a GES, se solicita eco tiroideos, RM cerebral y se envían documentos a u.preqx. P) Consultar por si citar c/resultados (30/9 aun no se toman estudios) 18/10 tuvo evaluación por anestesia (pase OK). 06/11 se prioriza IC a box urología. P) INT QX vs citar c/resultados (priorizar eco tiroides + RM cerebro). 07/11 usuario prog</t>
    </r>
    <r>
      <rPr>
        <sz val="11"/>
        <rFont val="Calibri"/>
        <family val="2"/>
        <scheme val="minor"/>
      </rPr>
      <t>ramable. 16/12 se recibe biopsia postop. P) agendar c/Dr OYARZUN. 20/12 se cita c/Dr OYARZUN 26/12 15:30hrs, pero se cancela. 24/12 se realiza reagendamiento para el 27/12 14:30hrs c/dr RAMOS, se evalua biopsia y se define presentar a COR CyC para seguimiento. P) guardar cupo y presentar a comité. 10/01 se cita para el dia 15/01 16:00hrs c/Dr RAMOS para comite, luego presentar CyC. Se cita nuevamente para el 21/01 16:00hrs para informe comite. P) PRESENTAR A COMITÉ CYC  x dr ramos. --&gt; 24/01 es presentado a COR CyC, se define seguimiento por hospital de origen. P) CITAR c/DR RAMOS entrega resolución. --&gt; fue citado 28/01 se entrego resolución e IC a endocrinología (30/01 se prioriza, hora el 04/02). /</t>
    </r>
    <r>
      <rPr>
        <sz val="11"/>
        <color rgb="FFFF0000"/>
        <rFont val="Calibri"/>
        <family val="2"/>
        <scheme val="minor"/>
      </rPr>
      <t>/5-2 DRA PALMA DERIVA NEFROLOGIA, SE PRIORIZA VIA CORRE IC A NEFRO</t>
    </r>
    <r>
      <rPr>
        <b/>
        <sz val="11"/>
        <color theme="4"/>
        <rFont val="Calibri"/>
        <family val="2"/>
        <scheme val="minor"/>
      </rPr>
      <t>. SE CITA CON DR. RAMOS 19/08 CON TAC LISTO Y EVALUACION POR NEFRO OK</t>
    </r>
  </si>
  <si>
    <t>CITAR ENERO 2026</t>
  </si>
  <si>
    <t>JIMENA  MARAMBIO VALDIVIA</t>
  </si>
  <si>
    <t>nodulos tiroideos</t>
  </si>
  <si>
    <t>Tomo conocimiento de caso hoy 24/04/25 paciente atendida en febrero/2025 por Dr- Oyarzun quien la evaluo por nodulos tiroideos y solicito eco de etapificacion, paff y reevaluar con resultado. Hoy 24/04 paciente acude a modulo de oncologia con resultado de biopsia y solicita hora con Dr. Oyarzun. se indica que se agendara segun disponibilidad y s eingresa a bajo control. PCTE CITADA, EVALUADA CON ECO DE ETAPIFICACION Y PRESENTADA A COMITE DE ENDOCRINO. SE CITACON DR. RAMOS APRA ENTREGA DE RESOLUCION. DERIVADA A HLS PARA CIRUGIA</t>
  </si>
  <si>
    <t>CONTRAREFERIDA??</t>
  </si>
  <si>
    <t>JOCELYN CORTÉS JOFRÉ</t>
  </si>
  <si>
    <t>NODULO TIROIDEO DERECHO TIRADS </t>
  </si>
  <si>
    <r>
      <t>Seguimiento Enf: Paciente fue presentada en reunión de radiología por hallazgo de nodulos tirads 4 heterogeneos, es evaluado por Dr. Ramos el 3/5 donde no se palpa tiroides, se solicita PAAF de tiroides. 20/5 estudio caso, PAAF de tiroide D° informado (11-06). 5/7 se realiza agendamiento para el día 10/7 16:00hrs, evaluada, se indica nueva toma de PAAF. Corresponde citar c/resultado paaf. 12/7 se rechaza orden x imagenología (3ra PAAF). 19/7 se consulta a Dr. Ramos, corresponde CITAR c/Dr. RAMOS. 22/7 se agenda para el 22/7 09:00hrs, para definir conducta, es evaluada, se indica citar en Diciembre/2024 con resultado eco tiroidea y se deja IC a endocrinología, se prioriza IC. 04/12 se retira orden imagenología y se prioriza x modulo P) CITAR EN DICIEMBRE/2024 (con eco tiroides)</t>
    </r>
    <r>
      <rPr>
        <sz val="11"/>
        <color rgb="FF00B0F0"/>
        <rFont val="Calibri"/>
        <family val="2"/>
        <scheme val="minor"/>
      </rPr>
      <t xml:space="preserve"> --&gt; 15/01 se toma eco tiroides, pend informe y citar c/Dr Oyaruzn. 23/01 se recibe resultado. P)CITAR c/DR OYARZUN. --&gt; fue citado el 28/01 vista x dr. Oyarzun, evaluada se estipula cirugía + ev. preop. P) INT QX. SE HACE  IC ANESTESIA P) EVALUACION</t>
    </r>
  </si>
  <si>
    <t>CONTROL EN DICIEMBRE CON BP</t>
  </si>
  <si>
    <t>JOHN VEGA DÍAZ</t>
  </si>
  <si>
    <t>Adenopatia cervical izq. Obs: linfoproliferativo</t>
  </si>
  <si>
    <t xml:space="preserve">Seguimiento Enf: 7/5 tomo conocimiento de caso, se trata de usuario en evaluaciones por Dr. Azúa, el cual presenta adenopatias cervicales izquierdas con observación de Linfoproliferativo, por lo que se le indica tomar bipsia adenopatia cervial con nasofibroscopia para el día sabado 11/5, hoy se gestiona IC a Otorrino para llevar a cabo procedimiento. Posteriormente será ingresado a piso MQ. 25/5 citado x otorrino. 30/5 no se lleva a cabo procedimiento el 29/5 porque se citó a paciente con poco tiempo de anticipación. 6/6 se recibe informe de NFL, corresponde citar con Dr. Ramos. 7/6 se entrega set qx (sin C.I.) a Deissy preqx, Corresponde citar con Dr. Ramos. Se cita a pcte para el 17/6 12:30hrs con Dr. Ramos, se evalua, se firma C.I. y se envía a preQx. P) Int. Qx. 24/7 se realiza procedimiento por Dr. Salas, sin embargo no se palpa nodulo se cancela pabellon y se solicita eco tiroides. 02/8 se realiza agendamiento para el 6/8 10:30hrs c/Dr. Ramos para definir conducta, es evaluado y se evalua eco, se define revaloración por hematología. 7/8 Se operará el 9/8, corresponde reevaluación por Hemato. 3/9 se toma ANNGIOTAC cuello, con resultado citar c/Dr. RAMOS. 11/9 resultado informado. 13/9 se habla con familiar, se hará biopsia. (30/9 aun pend. toma/resultado). 07/10 operado, pendiente resultado bp. 23/10 se prioriza resultado biopsia, prob. estará primeras semanas noviembre. 30/10 se recibe biopsia, se realiza agendamiento el día 05/11 16:30hrs c/Dr RAMOS, evaluado se define mantener en seguimiento 6 meses. P) CITAR EN MAYO/2025. SE CITA CON DR. RAMOS, EVALUA E INDICA ECO DE CUELLO PARA EVALUAR ALTA </t>
  </si>
  <si>
    <t>P) ECO DE CUELLO Y CITAR</t>
  </si>
  <si>
    <t>PENDIENTE TOMARSE ECO Y CONTROL</t>
  </si>
  <si>
    <t>JORGE ANDRADE CONTRERAS</t>
  </si>
  <si>
    <t>CARCINOMA BASOCELULAR MORFEIFORME ALA NASAL IZQUIERDA</t>
  </si>
  <si>
    <t>SE PESQUIZA EN BAJO CONTROL PENDIENTE EVALUAR CONTROL</t>
  </si>
  <si>
    <t>CITAR PARA CX MENOR</t>
  </si>
  <si>
    <t>JORGE GALVEZ SALINAS</t>
  </si>
  <si>
    <t>CARCINOMA BASOCELULAR DE BOZO  // CBC de mejilla</t>
  </si>
  <si>
    <t>pendiente(sin comité en plataforma?)</t>
  </si>
  <si>
    <t xml:space="preserve">Seguimiento en hospital de origen </t>
  </si>
  <si>
    <t>Seguimiento Enf: Paciente sin atenciones 2024, evaluado por Dr. Osman, evidencia hda op. Sin signos recidiva, indica control en 6 meses, (4/4) se agenda paciente para 5/4, evaluado x dr. Osman que indica CBC recidiva, iquimidod y control en 3 meses (Julio/2024). 22/7 se realiza agendamiento para el día 2/8 15:00hrs, usuario NSP porque no le han tomado biopsia. 5/8 se prioriza IC a pabellón cx menor, se recibe hora para el 21/8 para cx menor P) Citar c/resultados. 24/9 se recibe resultado de biopsia positiva para CBC en mejilla, se cita para el día 4/10 15:00hrs c/dr. OSMAN, evaluado se plantea cx menor. P) PRIORIOZAR IC. 8/10 se prioriza IC, se recibe hora 24/10hrs, evaluado se tomó bp de CBC y 12/11 se recibe resultado. 25/11 se cita para el 06/12 15:00hrs c/Dr OSMAN, evaluado sin recidiva, control 6 meses (Citar Junio/2025). EVALUADO POR DR. OSMAN EL 16/09 INDICA SHAMPO KETOCONAZOL Y CONTROL 6 MESES</t>
  </si>
  <si>
    <t>CITAR EN MARZO 2026</t>
  </si>
  <si>
    <t>AGENDADO EL 16-09</t>
  </si>
  <si>
    <t>priorizada</t>
  </si>
  <si>
    <t>JORGE GUERRA GUERRA</t>
  </si>
  <si>
    <t>OBS: TU de ala nasal (recidiva?)</t>
  </si>
  <si>
    <t>sospecha/confirmación</t>
  </si>
  <si>
    <t>Seguimiento Enf: 15/11 tomo conocimiento de caso, evaluado en consulta cabeza y cuello por lesión en ala nasal izquierda , se solicitó TAC (06/12 listo) e indicación a pabellón cirugía menor (se prioriza IC a cirugía menor y se envía correo a jefaLeprocedimiento(Leyla) para priorización correspondiente). P) toma de bp y resultado TAC para presentar a comité CYC.// 3-4-25 SE AGREGA A LISTADO PARA DR MARTINEZ PARA CX MENOR. PCTE NO ASISTE A LLAMADO. VOLVER A PRIORIZAR</t>
  </si>
  <si>
    <t>P) hora cx menor para bp y resultado TAC(06/12 listo) PRIORIZAR TOMA DE BP</t>
  </si>
  <si>
    <t xml:space="preserve">JORGE SEGOVIA ALVAREZ </t>
  </si>
  <si>
    <t>CARCINOMA BASOCELULAR DERMIS RETICULAR</t>
  </si>
  <si>
    <t>seguimiento en hospital de origen (HOV)</t>
  </si>
  <si>
    <r>
      <t>Seguimiento Enf: Paciente evaluada en 22-2-24 por Dr. Ramos, el cual evalua Eco tiroidea (Tirads 3), se indica CONTROL EN 6 MESES (Agosto/2024). 16/8 se realiza agendamiento para el 21/8 16:00hrs, es evaluado, se le solicita nueva eco tiroides (lista) y TAC tórax c/c (listo). P) Citar con resultados. 8/10 consulto a imagenologia por eco tiroides, usuario se la tomo particular, se da avisa que la traiga para agendar c/dr Ramos, usuaria trae informe. P) CITAR C/Dr. RAMOS. 28/10 se agenda con Dr Oyarzun el 30/10 16:30hrs, evaluado control con eco tiroides en marzo/2025. /</t>
    </r>
    <r>
      <rPr>
        <sz val="11"/>
        <color rgb="FFFF0000"/>
        <rFont val="Calibri"/>
        <family val="2"/>
        <scheme val="minor"/>
      </rPr>
      <t xml:space="preserve">/3-4-25 P) ECO VER QUE PASO CON ORDEN). </t>
    </r>
    <r>
      <rPr>
        <b/>
        <sz val="11"/>
        <color theme="4"/>
        <rFont val="Calibri"/>
        <family val="2"/>
        <scheme val="minor"/>
      </rPr>
      <t>HACER ORDEN DE ECO</t>
    </r>
  </si>
  <si>
    <t>PENDIENTE ECO Y CITAR URGENTE</t>
  </si>
  <si>
    <t>JOSE GARCIA FUENTES</t>
  </si>
  <si>
    <t xml:space="preserve">CARCINOMA BASOCELULAR MEJILLA DERECHA </t>
  </si>
  <si>
    <t>Seguimiento Enf: Paciente evaluado en 29/12/2023 por Dr. Osman, que indica herida de frente verrucosa facial resuelta, indica control en Mayo/2024. 22/4 se cita para el 10/5 a las 15hrs. Pcte evaluado por Dr. Osman, se estipula control en 6 meses ( Citar en Noviembre/2024). 12/11 se realiza agendamiento para el día 29/11 15:00hrs c/Dr OSMAN, evaluado sin recidiva, control anual. (noviembre/2025). EVALUADO EL 19/11 POR DOCTOR OSMAN, NO INDICA PROXIMO CONTROL</t>
  </si>
  <si>
    <t>CITAR NOVIEMBRE 2026</t>
  </si>
  <si>
    <t xml:space="preserve">JUAN CASTILLO ASTUDILLO	</t>
  </si>
  <si>
    <t xml:space="preserve">CANCER DE PALADAR </t>
  </si>
  <si>
    <t>30-02-2022</t>
  </si>
  <si>
    <t>3) Con presentación del caso en Comité Oncológico onco médica La Serena
Cuidados paliativos servicio de origen.</t>
  </si>
  <si>
    <r>
      <t>Seguimiento Enf: 22-2-24 visto por Dr. Ramos, CONTROL EN 3 MESES PARA SOLICITAR TAC CONTROL. 29/5 se consulta a modulo por orden (no la teienen), se consulta a paciente (no la tiene), se gestiona orden de TAC cara cuello cerebro y se envia a modulo para toma de exs. 6/6 se consulta por orden, está citado para el 13/6 10hrs(se toma, 25/6 aún pend. informe) . 11/7 se revisa resultado informado. 12/7 se realiza agendamiento para el 19/7 14:00hrs, es evaluado, se solicita RNM c/c cerebro y cara. P) Citar con resultados. (23/8 aun pend.). 30/9 se consulta por orden, no se tomó RNM porque tuvo movimiento involuntarios en toma de estudio, se necesita definri conducta, se realiza agendamiento para el 3/10 15:30hrs c/Dr. RAMOS para definir conducta, evaluado clinicamente estable, control en 6 meses.  P) CITAR EN ABRIL/2025 c/Dr RAMOS 26/11 se consulta x indicación a dr Ramos y se indica agendar c/dr Oyarzun. 29/11 se agenda para el día 03/12 14:00hrs con Dr. Oyarzun, evaluado se entrega orden PET-CT + tac maxilofacial. P) citar c/resultados.</t>
    </r>
    <r>
      <rPr>
        <sz val="11"/>
        <color rgb="FF00B0F0"/>
        <rFont val="Calibri"/>
        <family val="2"/>
        <scheme val="minor"/>
      </rPr>
      <t xml:space="preserve"> --&gt; 24/01 se recibe resultado PET-CT, además se prioriza informe TAC maxilofacial (tomado 12/12/24)y se envía  correo correspondiente. . P) CITAR c/DR OYARZUN --&gt; fue citado para el 29/01 con Dr oyarzun e indica presentar a COR CYC. P) Presentar a comité CyC. 31/01 es presentado a comité, se define representar caso en comité onco HLS (martes) para definir terapia sistémica. P) Citar c/Dr oyarzun entrega resolución. --&gt; Se cita para el día 05/02 15:30hrs c/Dr OYARZUN. </t>
    </r>
    <r>
      <rPr>
        <b/>
        <sz val="11"/>
        <color theme="4"/>
        <rFont val="Calibri"/>
        <family val="2"/>
        <scheme val="minor"/>
      </rPr>
      <t>DR EVALUA CONTROL 3-6 MESES C/TAC TORAC. REPRESENTA COMITE DE ONCO INDICA CPE P) PEDIR HORA POLI DOLOR. EVALUADO PRO DR. RAMOSINDCIA DOCTOR EN 6 MESES</t>
    </r>
  </si>
  <si>
    <r>
      <rPr>
        <sz val="11"/>
        <color theme="1"/>
        <rFont val="Calibri"/>
        <family val="2"/>
        <scheme val="minor"/>
      </rPr>
      <t>COR onco indica CPE</t>
    </r>
    <r>
      <rPr>
        <b/>
        <sz val="11"/>
        <color theme="1"/>
        <rFont val="Calibri"/>
        <family val="2"/>
        <scheme val="minor"/>
      </rPr>
      <t xml:space="preserve">  P)  SEGUIMIENTO </t>
    </r>
  </si>
  <si>
    <t>JUAN CORTES CORTES</t>
  </si>
  <si>
    <t>LIMARI</t>
  </si>
  <si>
    <t>Lesión neoplásica en el lóbulo derecho de la tiroides// TIRADS 4</t>
  </si>
  <si>
    <t>JUNIO TOMO CONOCIMIENTO DE PCTE POR DR. RAMOS QUIEN SOLICITA SEGUIMIENTO POR NODULO TIROIDEO Y PIDE ECO DE CUELLO. SE TOMA ECO DE CUELLO INDICAN TIRAD 4, DRA. ARAYA INDICA NECESIDAD DE PAFF. SE DEBE CITAR CON DR. RAMOS PARA EVALUACION Y ORDEN. Evaluado por ramos 02/07  indica  PAAF DE NODULO TIROIDEO SOSPECHOSO e I/C NEUROLOGÍA</t>
  </si>
  <si>
    <t>P) REPETIR PAAF (PEDIR ORDEN)  / p) IC a neuro</t>
  </si>
  <si>
    <t>JUAN CORTES GUAMAN</t>
  </si>
  <si>
    <t>CARCINOMA ESCAMOSO MODERADAMENTE DIFERENCIADO SUPRAGLOTICO</t>
  </si>
  <si>
    <t>Se pesquiza biopsia (+) por reporte de biopsias semanal, se llama a otorrino 26/05 por caso de pcte, desde poli de otorrino indican que estan esperando pase dental. 28/05 se entrega pase dental, el 29/05 se hace Comité por Dra Sanchez, no se puede presentar el 30/05 por no poder subir a plataforma de comite. Se presenta el 06/06 se indica cx. PACIENTE OPERADO POR SEGUNDA VEZ EL 18/08 EN HLS P) REEVALUAR GTT</t>
  </si>
  <si>
    <t>DRA. SANCHEZ (DERIVADO HLS)</t>
  </si>
  <si>
    <t xml:space="preserve">JUAN DOMINGO CAMPOS ROJAS </t>
  </si>
  <si>
    <t>CARCINOMA ESPINOCELULAR MODERADAMENTE DIFERENCIADO ULCERADO PREAURICULAR DERECHO</t>
  </si>
  <si>
    <t>SE AGENDA EN POLI CYC, SE DEBE PRESENTAR A COMITE PERO NO SE PRESENTARA HASTA QUE USUARIO ADCUDA A CONSULTA Y SE DEFINA SI CONTINUARA TTO.</t>
  </si>
  <si>
    <t>CITAR CON CYC</t>
  </si>
  <si>
    <t xml:space="preserve">JUAN GALLARDO ALARCON </t>
  </si>
  <si>
    <t xml:space="preserve">MELANOMA </t>
  </si>
  <si>
    <t>Se deriva a FALP</t>
  </si>
  <si>
    <t>Seguimiento Enf: Mantener controles en FALP, Recibe inmunoterapia con el fármaco: Pembrolizumab 400 mgs EV cada 21 día, por 12 meses (termina en agosto/2024). P) Seguimiento AGOSTO (23/8 se intenta llamar pero no contesta) P) SEGUIMIENTO. 03/12 seguimiento, usuario en controles por FALP, tiene seguimiento c/3 meses (le toca febrero/2025), seguirá por FALP. P) Seguimiento febrero/2025</t>
  </si>
  <si>
    <t>FALP</t>
  </si>
  <si>
    <t xml:space="preserve"> 03-12-2024</t>
  </si>
  <si>
    <t>P)SEGUIMIENTO</t>
  </si>
  <si>
    <t xml:space="preserve">JUAN JORQUERA RAMIREZ </t>
  </si>
  <si>
    <t xml:space="preserve">CARCINOMA DE LENGUA </t>
  </si>
  <si>
    <t>RT CURATIVA</t>
  </si>
  <si>
    <t xml:space="preserve">RD CURATIVA </t>
  </si>
  <si>
    <t>REPRESENTADO A COR DE RT 22-08-2025 Corresponde Cirugía y representar con biopsia. SE REPRESENTA PACIENTE SE INDICA RT/ SE DERIVA A CLINICA iram DONDE INICIARIA RD EL 18/11. PACIENTE CONTRAREFERIDO DESDE CLINICA IRAM, HOSPITALIZADO POR COMPLICACION DE RT CON ALTA Y TTO. ATB. EVALUADO POR DR. OYARZUN QUIEN INDICA PET-CT EN MARZO POST RT Y EVALUACION EN ABRIL.</t>
  </si>
  <si>
    <t>pet marzo</t>
  </si>
  <si>
    <t>JUAN OLIVARES LOPEZ</t>
  </si>
  <si>
    <t>NODULO DE TIORIDES</t>
  </si>
  <si>
    <t>NP</t>
  </si>
  <si>
    <t>MAYO TOMO CONOCIMIENTO DE CASO, PENDIENTE PEDIR ECO DE TIORIDES PARA SEGUIMIENTO ECOGRAFICO// EVALUADA EN CONTROL CON DR OYARZUN WL 10-09-2025: DADO CONDICION ACTUAL SE DECIDE MANTENER EN SEGUIMIENTO ECOGRAFICO Y NO REALIZAR PAAF. CONTROL EN 6 MESES Y/O SOS</t>
  </si>
  <si>
    <t>SEGUIMIENTO SOLO ECOGRAFICO Y CONTROL EN 6 MESES Y SOS</t>
  </si>
  <si>
    <t>JUAN PINTO BARRAZA</t>
  </si>
  <si>
    <t>Seguimiento Enf: 5/7 tomo conocimiento de caso, usuario en evaluaciones por Dr. Osman Cortés en Abril/2024, se evidencia lesion lesión tumoral en frente con obs de carcinoma, se indica exeresis la cual se realiza en Junio/2024. Hoy se recibe resultado de biopsia la cual evidencia Carcinoma basocelular nodular. 11/7 se realiza agendamiento para el 26/7 15:00hrs con Dr. Osman para ev. bp, es evaluado sin signos recidiva, se indica control en 3 meses. 12/11 se realiza agendamiento para el día 26/11 10:00hrs c/Dr OSMAN, evaluado sin recidiva, se indica control en 6 meses. (EN MAYO/2025)</t>
  </si>
  <si>
    <t>P) CX MENOR POR LESION EN ZONA MALAR</t>
  </si>
  <si>
    <t>JUAN RIVERA GALLARDO</t>
  </si>
  <si>
    <t xml:space="preserve">NODULO TIROIDEO ESTUDIADO BETHESDA  IV </t>
  </si>
  <si>
    <t>08/07/2025 TOMO CONOCIMIENTO DE CASO, DR. RAMOS INDICAR HACER SEGUIMIENTO QUIEN INDCIA TOMA DE PAAF. PENDIENTE CITAR CON RESULTADO. SE CITA PACIENTE DOCTOR INDICA RESOLUCION QX. SE REALIZA SET QX Y SE DERIVA A PREQUIRURGICA, ES EVALUADO POR DR. GALDAMEZ ANESTESISTA QUIEN INDICA EVALUACION POR OTORRINO / EVALUADO POR OTORRINO Y NUEVAMENTE POR ANESTESISTA QUIEN INDIC APROGRAMABLE</t>
  </si>
  <si>
    <t>DR. OYARZUN DR. RAMOS</t>
  </si>
  <si>
    <t>PASE ANESTESIA OK / PEND INTERVENCION Qx</t>
  </si>
  <si>
    <t>JUANA CORTES ACUÑA</t>
  </si>
  <si>
    <t>NODULO TIROIDEO DERECHO TIRADS 4</t>
  </si>
  <si>
    <t xml:space="preserve">P) SOLICITAR HEMOGLOBINA GLICADA Y DAR HORA CON RESULTADO </t>
  </si>
  <si>
    <t>KAREN CORTES JOFRE</t>
  </si>
  <si>
    <t>nodulo lobulo tiroide TIRADS 4, bethesda 1</t>
  </si>
  <si>
    <r>
      <rPr>
        <sz val="11"/>
        <color rgb="FF000000"/>
        <rFont val="Calibri"/>
        <scheme val="minor"/>
      </rPr>
      <t>Seguimiento Enf: 12/6 tomo conocimiento caso, usuaria estuvo en control con Dr. Ramos en Octubre/2023 derivada por bocio multinodular, se evalua y se palpa nódulo, se solicitan estudios de eco tiroides (informada) y toma de paaf (tomada). Actualmente usuaria acude a consultar a módulo oncológico para solicitar retomar atenciones. 5/7 se cita para el 10/7 16:30hrs, evaluada, se indica control en 6 meses. Corresponde citar en Enero/2025. 20/01 se realiza agendamiento para el 24/01 15:30hrs c/dr RAMOS, evaluada (sin evolución), se llama a usuaria quien cuenta con ordenes exs sangre + TAC que aún no entrega, entregará ordenes a modulo el viernes 31/01. P) Citar c/resultadso (TAC) orden entregada en imagenologia 11/02.</t>
    </r>
    <r>
      <rPr>
        <b/>
        <sz val="11"/>
        <color rgb="FF000000"/>
        <rFont val="Calibri"/>
        <scheme val="minor"/>
      </rPr>
      <t xml:space="preserve"> evaluada el 18-03 por Dr. Ramos indica INT Qx, avisa a enfermera prequirurgica. para cirugia. PACIENTE OPERADA CON CONTROL PO 03/12 EN ESPERA DE BIOPSIA. 22/01 BIOPS OK PENDIENTE CONTROL</t>
    </r>
  </si>
  <si>
    <t>CITAR BP LISTA</t>
  </si>
  <si>
    <t>LEONTINA ROJAS ROJAS</t>
  </si>
  <si>
    <t>TU DE PAROTIDA IZQ</t>
  </si>
  <si>
    <r>
      <t>Seguimiento Enf: 8/5 tomo conocimiento de caso, paciente evaluada el 2/5 por Dr. Ramos, control que se indica eco partes blandas y PAAF. 20/5 paciente conversada en reunion imagenologia del 17/5, se cita con Dr. Ramos para ev. de eco cervical para el 23/5 a las 15:30hrs. Se cita con dr. Ramos para 31/5 15:00hrs evaluacionr esultados. 3/6 paciente fue evaluado el 31/5 le solicita TAC con contraste (probablemente de cuello cabeza cerebro), llamo a paciente para que haga entrega de TAC en módulo onco. 6/6 se tramitó orden hoy, (18/6 se tomó, 28/6 se recibe resultado, se realiza citación para el 04/07 11:00hrs c/Dr. Ramos, usuaria evaluada, Dr. Ramos indica parotidectomia izq° con toma de bp, se llena ficha + C.I. P) Citar c/resultado bp. (30/9 aun no se toma) (17/10 se actualizan exs preop + ECG). P) CITAR c/DR OYARZUN 8/11 se cita usuaria el 11/11 16:00hrs, pero se cancela poli. 22/11 se reagenda para el día 26/11 16:00hrs c/Dr OYARZUN, evaluada se solicitan exs sangre para descartar enfermedad autoinmune (03/12 aun pend) y citar c/resultados.</t>
    </r>
    <r>
      <rPr>
        <sz val="11"/>
        <color rgb="FF00B0F0"/>
        <rFont val="Calibri"/>
        <family val="2"/>
        <scheme val="minor"/>
      </rPr>
      <t xml:space="preserve"> --&gt; 13/12 examenes listo, citar c/dr Oyaruzn. --&gt; Se cita para el 05/02 16:30hrs c/Dr OYARZUN</t>
    </r>
    <r>
      <rPr>
        <b/>
        <sz val="11"/>
        <color theme="4"/>
        <rFont val="Calibri"/>
        <family val="2"/>
        <scheme val="minor"/>
      </rPr>
      <t>. EVALUA PCTE DERIVA A MEDICINA INTERNA. el 20/02 evaluad apor dr. palacios quien solicita examenes para descartar enfermedad autoinmune. P) resultados// EVALUADA EN CONTROL CON BIOPSIA SE INDICO PLAN: MANEJO DE CICATRIZ - MASAJES - CONTROL EN 3 MESES PARA ALTA</t>
    </r>
  </si>
  <si>
    <t>Lilia Castillo Araya (MAMA SITA MECHE)</t>
  </si>
  <si>
    <t>CBC MEJILLA DERECHA // BRAZO IZQUIERDO</t>
  </si>
  <si>
    <t>SE PESQUIZA  BP POSITIVA EN BAJO CONTROL GLOBAL (MEJILLA Y BRAZO), SE CITA PACIENTE A CONTROL CON DR. OSMAN EN MAYO. EVALUADA NO DE INDICACION DE CONTROL. SE CITARA EN 3 MESES</t>
  </si>
  <si>
    <t>LORENZA CORTES VALDIVIA</t>
  </si>
  <si>
    <t xml:space="preserve">CARCINOMA ESPINOCELULAR BIEN DIFERENCIADO LABIO INFERIOR </t>
  </si>
  <si>
    <t>MAYO 2025 TOMO CONOCIMIENTO DE CASO EN BAJO CONTROL GLOBAL  SE CITA CON BP (+) CON DR, RAMOS. DOCTOR EVALUA E INDICA COMITÉ Y CIRUGIA. ES PRESENTADA A COR DE CYC INDICAN CX, PASE DENTAL, EVALUACIN POR FONO (REVISAR IC) programable para cirugia. EVENTAUL CIRUGIA EL DIA LUNES 30/06. SE RECIBE BP (+) SE PRESENTA A COMITE Y SE DECIDE PASE DENTAL Y EV POR CX DE TORAX. SE SOLICITA PASE DENTAL SE PRESENTA EL 07/11 COMITE INDICA ACTUALIZAR TAC, SE ACTUALIZA TAC PERO PENDIENTE INFORME POR FALTA DE RADIOLOGO. 18/11 INFORME LISTO SE AGENDA PARA INFORME DE COMITE CON DR. RAMOS QUIEN SUBE COMITE PARA EL 21/11. SE INDICA NUEVA BP. SE CITA EL 24/11 CON DR. RAMOS QUIEN ENTREGA RESOLUCION DE COMITE Y SOLICITA PAAF.  PCTE SE TOMA PAAF EL 12/01, SE PIRORIZA BIOPSIA PENDIENTE RESULTADO</t>
  </si>
  <si>
    <t>PENDIENTE TOMAR PAAF</t>
  </si>
  <si>
    <t>LORENZO CORTES JOFRE</t>
  </si>
  <si>
    <t>Carcinoma basocelular  en parpado derecho</t>
  </si>
  <si>
    <t>corresponde Bx de esta nueva lesión y representar</t>
  </si>
  <si>
    <t>Seguimiento Enf: Se hace seguimiento de caso, 24/4 se llama a familiar (hija) quien me indica que don Lorenzo nunca tuvo atención HLS por oftalmología, se revisan antecedentes de caso, en Octubre/2023 se solicito priorización a HLS por Franchesca P., en Noviembre/2023 se respondió por parte HLS que se agendaría sin embargo sin atenciones, se consulta en Oftalmología Ovalle donde me indican que se enviará correo a HLS por pacientes pendientes(don Lorenzo entre otros) y que tienen lista de espera. 25/4 se llama a oftalmología enf HLS, me indica que le envie correo para priorizar, SE REITERA SOLICITUD X CORREO 15/5. 10/6 se vuelve a consultar, se recibe hora de citación para el 27/Junio, hoy 12/6 me comunico con nieta (glenda) para comunicar citación, se consulta con gestora de CyC HLS para que confirmen asistencia. 15/7 se realiza seguimiento, usuario fue evaluado, se indicó INT. QX, se solicitaron exs preop, se reagendara para operación en HLS, usuario en BCG dentro de su condición, sin dolor. P) INT QX en HLS / Seguimiento en SEPTIEMBRE. 13/9 se contaca glenda porque usuarios no continuaron con exs preoperatorios por problemas familiares, se manda correo a gestoras HLS para retomar proceso. 16/9 se informa que se soliciten exs preop ´ECG en HOV y con resultados enviar para programar probablemente el 25/10. 07/10 se envian examenes a HLS. P) INT QX EN HLS. (23/10 se recibe info que usuario no será programado en octubre, quedará para noviembre.) 05/12 fue operado en noviembre, en control postop, en buenas condicones, lesion sana, control viernes 13/12 en HLS. P) Seguimiento ENERO.</t>
  </si>
  <si>
    <t xml:space="preserve">Oftalmología HLS </t>
  </si>
  <si>
    <t>SEGUIMIENTO POR ENFERMERIA</t>
  </si>
  <si>
    <t>LUCY GALLARDO GALLARDO</t>
  </si>
  <si>
    <t>ADENOMA PLEOMORFICO // neoplasia intraparotideo izq°</t>
  </si>
  <si>
    <r>
      <t>Seguimiento Enf: 14/10 tomo conocimiento de caso, usuaria evaluada previamente por cirujano cabeza y cuello, quien solicita estudio eco tiroides + parótida (tomada e informada) . P) CITAR c/DR RAMOS 18/10 se realiza agendamiento para el día 24/10 16:30hrs, evaluada se solicita TAC cuello c/c y citar c/resultados. (25/11 aun pend) 26/11 llamo a hija para que traiga orden TAC cuello (la trajo),30/12 se recibe resultado TAC. P) CITAR c/DR RAMOS..</t>
    </r>
    <r>
      <rPr>
        <sz val="11"/>
        <color rgb="FF00B0F0"/>
        <rFont val="Calibri"/>
        <family val="2"/>
        <scheme val="minor"/>
      </rPr>
      <t xml:space="preserve"> 03/01 se realiza agendamiento para el 07/01 15:00hrs c/dr RAMOS, evaluada, se solicita PAAF de parótida izq,  por sospecha adenoma pleomorfo en TAC. </t>
    </r>
    <r>
      <rPr>
        <sz val="11"/>
        <color rgb="FFFF0000"/>
        <rFont val="Calibri"/>
        <family val="2"/>
        <scheme val="minor"/>
      </rPr>
      <t>P) CITAR c/resultados (bp de PAAF).</t>
    </r>
    <r>
      <rPr>
        <b/>
        <sz val="11"/>
        <color theme="4"/>
        <rFont val="Calibri"/>
        <family val="2"/>
        <scheme val="minor"/>
      </rPr>
      <t xml:space="preserve"> 16/04 EVALUADA POR D.R RAMOS CON BP BENIGNA, SE DERIVA A PREQX PARA INTERVENCION QX</t>
    </r>
  </si>
  <si>
    <t>PACIENTE AUN EN ESPERA DE INTERVENCION Qx</t>
  </si>
  <si>
    <t>LUCY TAPIA CORTÉS</t>
  </si>
  <si>
    <t>NODULOS TIROIDES TIRADS 3</t>
  </si>
  <si>
    <r>
      <t>Seguimiento Enf: 11/9 tomo conocimiento de caso, en seguimiento por nodulos tiroideos tirads-3, usuaria consulta en modulo oncológico por atención, con aumento de volumen en cuello derecho, me comunico vía telefónica con usuaria para informar de disponibilidad de cupos.P) citar c/Dr. RAMOS. 30/9 se realiza agendamiento para el 4/10 15:00hrs c/Dr. RAMOS, evaluada, se palpa nodulo y se solicita eco tiroides + eco partes blandas cuello y citar c/resultados. 04/12 se priorizan ordenes y se entregan a modulo (30/12 pend toma) P) citar c/resultados.</t>
    </r>
    <r>
      <rPr>
        <sz val="11"/>
        <color rgb="FF00B0F0"/>
        <rFont val="Calibri"/>
        <family val="2"/>
        <scheme val="minor"/>
      </rPr>
      <t xml:space="preserve"> --&gt; 31/01 se recibe resultado eco tiroides. P) Citar c/Dr RAMOS. --&gt; se cita para el 06/02 14:30hrs c/Dr RAMOS</t>
    </r>
    <r>
      <rPr>
        <sz val="11"/>
        <color theme="1"/>
        <rFont val="Calibri"/>
        <family val="2"/>
        <scheme val="minor"/>
      </rPr>
      <t>.</t>
    </r>
    <r>
      <rPr>
        <b/>
        <sz val="11"/>
        <color theme="4"/>
        <rFont val="Calibri"/>
        <family val="2"/>
        <scheme val="minor"/>
      </rPr>
      <t xml:space="preserve"> evaluada por dr. ramos control en 1 año con eco tiroide. entrega orden de EDA </t>
    </r>
  </si>
  <si>
    <t xml:space="preserve">CITAR en 1 año con eco tiroides /Dr RAMOS </t>
  </si>
  <si>
    <t>LUIS ARREDONDO ROJAS</t>
  </si>
  <si>
    <t>Cancer basocelular de punta nasal</t>
  </si>
  <si>
    <t>pendiente(solo tiene comité Urología)</t>
  </si>
  <si>
    <t>Seguimiento Enf: Paciente en controles con Dr. Ramos, última evaluación 2/11/2023  CBC nasal sin evidencia clinica de lesión, se cita a CONTROL EN 1 AÑO (Noviembre/2024) CON CYC. 11/11 se realiza agendamiento para el día 14/11 15.30hrs c/Dr RAMOS, evaluado sin recidiva, se solicita TAc control (en modulo). 27/11 se toma TAC, pend informe, 04/12 se prioriza informe. 06/12 informe listo, se cita para el día 11/12 15:00hrs c/dr RAMOS, pero se cancela poli. 13/12 se reagenda para el día 18/12 16:00hrs c/Dr RAMOS, evaluado con TAC sin recidiva, me comunico con hija de usuaria quien refiere que estipuló control en 1 año (no lo dice en evolución de dr ramos). P) CITAR EN DICIEMBRE/2025</t>
  </si>
  <si>
    <t>P) CITAR EN DICIEMBRE/2025  c/Dr RAMOS</t>
  </si>
  <si>
    <t>LUISA JOFRÉ CORTÉS</t>
  </si>
  <si>
    <t xml:space="preserve">Carcinoma escamoso bucal izquierda </t>
  </si>
  <si>
    <t>Representar con bp para definir ampliación de margenes. Seguimiento HOV</t>
  </si>
  <si>
    <t>CONTROL EN 6 MESES CON EXAMEN IMAGENOLOGICO ECO DOPPLER DE EEII</t>
  </si>
  <si>
    <t>P) EVALUAR  con resultado de tac</t>
  </si>
  <si>
    <r>
      <rPr>
        <sz val="11"/>
        <color rgb="FF000000"/>
        <rFont val="Calibri"/>
        <scheme val="minor"/>
      </rPr>
      <t xml:space="preserve">CITAR  // </t>
    </r>
    <r>
      <rPr>
        <b/>
        <sz val="11"/>
        <color rgb="FF000000"/>
        <rFont val="Calibri"/>
        <scheme val="minor"/>
      </rPr>
      <t>VER IC A TMT</t>
    </r>
  </si>
  <si>
    <t>MAGALY BUGUEÑO CONTRERAS</t>
  </si>
  <si>
    <t>CBC PUNTA NASAL</t>
  </si>
  <si>
    <t>2) ECO DOPPLER VENOSO DE EXTREMIDADES INFERIORES ( INSUFICIENCIA VENOSA SUPERFICIA</t>
  </si>
  <si>
    <t>P) CONTROL EN ABRIL 2026</t>
  </si>
  <si>
    <t>MAGDALENA TORRES FIGUEROA</t>
  </si>
  <si>
    <r>
      <t>Seguimiento Enf: 08/01/25 tomo conocimiento de caso, evaluada en febrero/2024 con lesión en ceja izquierda, posteriormente se realizó toma de biopsia de lesión la cual entrego resultado positivo para CBC. Ültimo control de seguimiento en octubre/2024 sin recidiva, le correspondería control en Abril/2025 c/dr OSMAN.</t>
    </r>
    <r>
      <rPr>
        <b/>
        <sz val="11"/>
        <color theme="1"/>
        <rFont val="Calibri"/>
        <family val="2"/>
        <scheme val="minor"/>
      </rPr>
      <t xml:space="preserve"> CITADA EL 25/02 POR DR. OSMAN INDICA CONTROL EN 1 AÑO </t>
    </r>
  </si>
  <si>
    <t>P) CONTROL FEBRERO 2026</t>
  </si>
  <si>
    <t>MANUEL CAMPUSANO ACUÑA</t>
  </si>
  <si>
    <t>TU cuello</t>
  </si>
  <si>
    <r>
      <t>Seguimiento Enf: en estudios c/dra Palma, 18/4 se le da hora 22/4 con otorrino (Dra. Salcedo), se evalua y se indica que lo vea CyC, lesión ocluye el cuello por lo que debe ser abordado por TQT, se comunicara con dr. Ramos. 24/4 se revisa evolución sin IC a CyC. 29/5 se revisa caso, fue evaluado el 15/5 por Dr. Ramos, corresponde citar el 15/6 con resultado PAAF, en caso resultado benigno citar c/Dr. Ramos, si es maligno pasar caso a franchesca para citar c/Dra. Palma, resultado PAAF (29/5). Se cita con Dr. Ramos para el 18/6 16:00hrs para ev resultados, se evalua resultado de PAAF acelular, se solicita eco tiroidea, se consulta a imagenología para priorizar orden, se entrega en módulo oncológico. P) Citar con resultado eco tiroidea (23/8 aún no se toma, se prioriza). (citado 27/8 08:50hrs para toma de eco) 11/9 resultado listo. 13/9 se realiza agendamiento para el 16/9 16:30hrs, sin embargo se cancela poli. 16/9 se reagenda para el 23/9 16:30hrs, evaluado, eco sin malignidad, se indica control en 6 meses. P) CITAR EN MARZO/2025.</t>
    </r>
    <r>
      <rPr>
        <b/>
        <sz val="11"/>
        <color theme="4"/>
        <rFont val="Calibri"/>
        <family val="2"/>
        <scheme val="minor"/>
      </rPr>
      <t xml:space="preserve"> 13/06 CONTROL CON DR. RAMOS INDICA ECO DE TIROIDES PARA EVALUAR ALTA DE POLI CYC</t>
    </r>
  </si>
  <si>
    <t>P) ECO TIROIDES PARA EVALUAR ALTA</t>
  </si>
  <si>
    <t>MANUEL CONTRERAS TELLO</t>
  </si>
  <si>
    <t>CARCINOMA EPIDERMOIDE SENO MAXILAR IZQ°</t>
  </si>
  <si>
    <t>1) Con evaluacion de resecabilidad en servicio de origen con imagenes.
Re presentar con pase dental en servicio de origen</t>
  </si>
  <si>
    <r>
      <t>Seguimiento Enf: 20/12 tomo conocimiento de caso, usuario es evaluado por cirujano cabeza y cuello (el 18/12), derivado desde servicio odontología por carcinoma epidermoide en seno maxilar izquierdo. Se le solicita RM y PET-CT. Se ingresa a bajo control cabeza y cuello, se realizará  agendamiento con resultados.</t>
    </r>
    <r>
      <rPr>
        <sz val="11"/>
        <color rgb="FF00B0F0"/>
        <rFont val="Calibri"/>
        <family val="2"/>
        <scheme val="minor"/>
      </rPr>
      <t xml:space="preserve"> 03/01 se prioriza orden compra PET-CT y pend. priorizar TAC. (RM no estaba solicitada).</t>
    </r>
    <r>
      <rPr>
        <sz val="11"/>
        <color theme="1"/>
        <rFont val="Calibri"/>
        <family val="2"/>
        <scheme val="minor"/>
      </rPr>
      <t xml:space="preserve"> </t>
    </r>
    <r>
      <rPr>
        <sz val="11"/>
        <color rgb="FF00B0F0"/>
        <rFont val="Calibri"/>
        <family val="2"/>
        <scheme val="minor"/>
      </rPr>
      <t>--&gt; 16/01 se recibe resultado tac, hoy se tomo PET. P) revisar prox semana y citar a poli c/resultados. 23/01 se reciben resultados PET listo. P) CITAR c/DR OYARZUN.--&gt; fue citada el 28/01 c/Dr oyarzun, se hace resumen de comité CyC (PENDIENTE PRESENTAR A COR CYC, informe no en plataforma aún), luego citar en 1 semana. 31/01 es presentado a comité CyC, se define citar c/Dr Oyarzun y representar. --&gt; Se cita para el día 05/02 15:00hrs c/Dr OYARZUN.</t>
    </r>
    <r>
      <rPr>
        <b/>
        <sz val="11"/>
        <color rgb="FF00B0F0"/>
        <rFont val="Calibri"/>
        <family val="2"/>
        <scheme val="minor"/>
      </rPr>
      <t xml:space="preserve"> </t>
    </r>
    <r>
      <rPr>
        <b/>
        <sz val="11"/>
        <color theme="4"/>
        <rFont val="Calibri"/>
        <family val="2"/>
        <scheme val="minor"/>
      </rPr>
      <t xml:space="preserve">Pcte evaluado  no se quiere operar P) representar a COR RT QT - 11/02 se realizan IC  para pase dental para representar. 10/03 pase dental ok P) Representar a comite RT //) Con los siguientes exámenes: Pase dental servicio de origen y re presentar
Evaluacion nutricional, fonoaudiología y kinesiología en servicio de origen
Cuidados paliativos servicio de origen. SE REPRESENTA CON PASE DENTAL Y SE INDICA RDT </t>
    </r>
  </si>
  <si>
    <t>CITAR EVALUAR LESION</t>
  </si>
  <si>
    <t>MARGOT CORTES MORGADO</t>
  </si>
  <si>
    <t>CARCINOMA BASOCELULAR NODULAR ALA NASAL</t>
  </si>
  <si>
    <r>
      <t>Seguimiento Enf: 2/8 tomo conocimiento de caso, usuario tuvo atenciones en Mayo/2024 por lesión en ala nasal izq, usuario posteriormente se citó para toma de biopsia el 10/7, se realizó procedimiento. Hoy se recibe resultado de biopsia CA basocelular, me comunico vía telefónico con usuaria para agendamiento sin embargo me informa que por su disponiblidad puede después del 21 de agosto y tiene citación para el 23/8 09:00hrs con dermatología, se cancela poli. 19/8 se reagenda cita para el 20/8 14:00hrs c/Dr. OSMAN, es evaluada, es vista el 21/8 se hace ampliación de margenes de CBC ala nasal. P) resultado de bp y citar c/resultados. 18/11 se recibe bp, 25/11 se cita usuaria para el 03/12 09:00hrs c/dr OSMAN, pero NSP. 24/12 se reagenda citación c/Dr OSman para e</t>
    </r>
    <r>
      <rPr>
        <sz val="11"/>
        <rFont val="Calibri"/>
        <family val="2"/>
        <scheme val="minor"/>
      </rPr>
      <t>l 31/12 10:00hrs, pero NSP (2da inasistencia). Acude hijo a oficina para reagendar, se cita el 07/01 10:00hrs c/Dr OSMAN, evaluada s/recidiva, control en 3 meses (Abril/2025</t>
    </r>
    <r>
      <rPr>
        <sz val="11"/>
        <color rgb="FF00B0F0"/>
        <rFont val="Calibri"/>
        <family val="2"/>
        <scheme val="minor"/>
      </rPr>
      <t xml:space="preserve">). </t>
    </r>
    <r>
      <rPr>
        <b/>
        <sz val="11"/>
        <color theme="4"/>
        <rFont val="Calibri"/>
        <family val="2"/>
        <scheme val="minor"/>
      </rPr>
      <t>CONTROL EL 25/07 EVALUADA CON OSMAN INDICA CONTROL EN 1 AÑO</t>
    </r>
  </si>
  <si>
    <t>P) CITAR EN JULIO 2026</t>
  </si>
  <si>
    <t>MARIA ARAYA CAMPUSANO</t>
  </si>
  <si>
    <t>control el miercoles 11/06 11 hrs. PACIENTE ATENDIDA EL 08/08 SE INDICA TAC DE CABEZA Y CUELLO Y AMPLIACION DE MARGENES. SE TIENE TAC OK, PENDIENTE CITAR PARA AMPLIAR MARGENES</t>
  </si>
  <si>
    <t>TAC OK DE JUNIO</t>
  </si>
  <si>
    <t xml:space="preserve">CITADA EL 25/11/2025 </t>
  </si>
  <si>
    <t>MARÍA CARMONA SALFATE</t>
  </si>
  <si>
    <t>Nodulo tiroideo Izq° Bethesda IV (celulas de Hurtle)</t>
  </si>
  <si>
    <t>NA</t>
  </si>
  <si>
    <t>Seguimiento Enf: 3/6 tomo conocimiento de caso, paciente tuvo atenciones en 2023 por Dr. César Ramos en octubre, se discutió caso con radiología y CyC HLS, sin embargo sin atenciones posteriores con especialista CyC, hoy 3/6 acude paciente a consultar por resolución de su caso en módulo oncológico ya que no ha recibido novedades al respecto. Se ingresa paciente a bajo control CyC y se consultará y/o citará con Dr. Ramos con agenda cupos disponibles. 5/7 se realiza agendamiento para el 9/7 16:00hrs, evaluada se indica nueva toma de PAAF tiroides. P) toma y citar c/resultado. (24/10 se recibe resultado de procedimiento PAAF realizado el 1/10, pendiente resultado de paaf. 15/11 resultado listo. 18/11 Se realiza agendamiento para el día 20/11 16:00hrs c/dr RAMOS, evaluada con resultado PAAF bethesda 3, prox control 3 meses (FEBRERO/2025). SE REALIZA PAAF DE NODULO TIROIDEO  EN OCTUBRE DE 2025. SE RECIBE BIOPSIA EN ENERO SE AGENDA CON DR. RAMOS QUIEN INDICA CIRUGIA.</t>
  </si>
  <si>
    <t xml:space="preserve">DR. RAMOS / DR. OYARZUN </t>
  </si>
  <si>
    <t>CITAR POST OP</t>
  </si>
  <si>
    <t xml:space="preserve">SI </t>
  </si>
  <si>
    <t>MARIA EGAÑA CODOCEO</t>
  </si>
  <si>
    <t>OVALLLE</t>
  </si>
  <si>
    <t>DISECCION AXILAR DERECHA // CA MAMA D°</t>
  </si>
  <si>
    <t>HOV /HLS</t>
  </si>
  <si>
    <t>Seguimiento Enf: Paciente consulta por nuevo CA, en remisión de CA mama, se solicitan estudios eco tiroideo (informados 25/3). Se cita a paciente para el 11/6 11:00hrs. Paciente evaluado por Dr. Ramos, se estipula control en 6 meses. (Corresponde citar en Diciembre/2024). 06/12 se cita para el día 11/12 15:30hrs c/Dr Ramos, pero se cancela poli. 24/12 se realiza agendamiento para el día 27/12 15:30hrs, evaluado se solicita control con estudio eco tiroides. P) CITAR c/resultados. EVALUADA EL 12/08 Y DOCTOR RAMOS INDICA PAAF.</t>
  </si>
  <si>
    <t>P)INTERVENCION Qx</t>
  </si>
  <si>
    <t>MARIA GABRIELA OJEDA LOPEZ</t>
  </si>
  <si>
    <t>CBC NODULAR INFILTRANTE EN DERMIS RETICULAR MALAR DERECHO</t>
  </si>
  <si>
    <t>PACIENTE SE RESCATA BIOPSIA POSITIVA SIN TENER REGISTRO EN BAJO CONTROL. SE CITA CON DOCTOR OSMAN QUIEN INDICA CONTROL EN 3 MESES EVALUADA EL 21-07-2025. CONTROL EN 3 MESES SE CITA NUEVAMENTE EL 26/09/25 DOCTOR INDICA CONTROL CADA 6 MESES</t>
  </si>
  <si>
    <t>DICIEMBRE</t>
  </si>
  <si>
    <t xml:space="preserve">MARIA GALLEGUILLOS SEGOVIA </t>
  </si>
  <si>
    <t>CARCINOMA BASOCELULAR FACIAL DERECHO</t>
  </si>
  <si>
    <t>Seguimiento en HOV</t>
  </si>
  <si>
    <t xml:space="preserve">Seguimiento Enf: Paciente última evaluación por Dr. Ramos el 10/10/2023, en el cual sin signos de recidiva, se estima control dentro de 1 año con CyC (Octubre/2024). Fue evaluado el 15/10 y se estipula control en 1 año con cabeza y cuello. EVALUAD APOR DR. RAMOS INDICA CONTROL CON TAC. SE TOMA TAC SE AGENDA PARA EVALUACION  EL 20/01 QUIEN REVISA SCANER Y DEJ ACONTROL EN 6 MESES </t>
  </si>
  <si>
    <t>CONTROL 6 MESES</t>
  </si>
  <si>
    <t>MARIA GONZALEZ TAPIA</t>
  </si>
  <si>
    <t>CARCINOMA BASOCELULAR MENTON</t>
  </si>
  <si>
    <t>Seguimiento Enf: PENDIENTE CONTROL CON DERMATOLOGIA para evaluación y seguimiento. 4/4 se agenda paciente para 26/4 a las 15:00hrs, hija confirma asistencia. 29/5 paciente NSP. 13/6 se llama para citar a control c/Dr. Osman el 21/6 14:00hrs, hija confirma asistencia. 25/6 paciente tampoco se presentó el 21/6, corresponde llamar seguimiento para saber si usuario continuará o no con atenciones. 24/7 se agenda con Dr. Osman para el 7/8 14:00hrs, evaluada, sin recidiva se aplica ac tac, control 1 mes P) CITAR EN SEPTIEMBRE/2024 (10/9 se consulta pero no puede para las fechas en septiembre, se agendara con disponiblidad). 11/11 se realiza agendamiento para el 15/11 15:00hrs c/Dr OSMAN, evaluada sin lesiones control en 1 año (Noviembre/2025)</t>
  </si>
  <si>
    <t>CITAda el 04/12</t>
  </si>
  <si>
    <t>MARIA INES ARAYA ROJAS</t>
  </si>
  <si>
    <t>OBS CBC EN BOZO</t>
  </si>
  <si>
    <t>PACIENTE SE TOMA 2 VECES BIOPSIA DE LESION EN BOZO POR DR. OSMAN CORTES</t>
  </si>
  <si>
    <t>CITAR CON RESULTADO DE BP</t>
  </si>
  <si>
    <t>MARIA LARA PAREDES</t>
  </si>
  <si>
    <t>ca piel nasal</t>
  </si>
  <si>
    <r>
      <t>Seguimiento Enf: Se había realizado IC a dermatología, se priorizó y tenía cita con Dr. Osman para el 5/3/24, sin embargo paciente no asiste. 13/5 se cita con Dr. Osman para el 15/5 14:00hrs. 29/5 se revisa citación, paciente tampoco asistió, pendiente llamar para consultar/citar según agenda disponible. 11/6 se reagenda paciente para el 14/6 14:00hrs, no asiste x lluvias. 15/7 se realiza seguimiento, usuaria no pudo asistir a controles por enf. Parkinson y estar sola, ahora se encuentra con acompañante y puede asistir. 24/7 se realiza agendamiento para el 8/8 14:00hrs c/Dr. Osman, es evaluada, se indica</t>
    </r>
    <r>
      <rPr>
        <sz val="11"/>
        <rFont val="Calibri"/>
        <family val="2"/>
        <scheme val="minor"/>
      </rPr>
      <t xml:space="preserve"> IC a cirugía menor para extirpación de CA basocelular, se prioriza IC (se recibe hora para el 22/8). 03/12 usuaria egresada de LE por inasistencia, no tuvo atención or cx menor porque estaba en Antofagasta por compañero enfermo, devuelta en Ovalle, P) CITAR c/DR OSMAN vs consultar por IC a dr osman. (09/01 no contesta, 24/01 no responde)</t>
    </r>
    <r>
      <rPr>
        <sz val="11"/>
        <color rgb="FF00B0F0"/>
        <rFont val="Calibri"/>
        <family val="2"/>
        <scheme val="minor"/>
      </rPr>
      <t xml:space="preserve">. </t>
    </r>
    <r>
      <rPr>
        <b/>
        <sz val="11"/>
        <color theme="4"/>
        <rFont val="Calibri"/>
        <family val="2"/>
        <scheme val="minor"/>
      </rPr>
      <t>PCTE NO CONTESTA TELEFONO</t>
    </r>
  </si>
  <si>
    <t>LLAMAR SI VENDRA O NO // VER SI SE REALIZO CX MENOR</t>
  </si>
  <si>
    <t>MARIA MICHEA ALVAREZ</t>
  </si>
  <si>
    <t xml:space="preserve">NODULO HIPERPLASICO </t>
  </si>
  <si>
    <t xml:space="preserve">PACIENTE FEM DE 67 AÑOS CON ANTEC DE HIPERTIROIDISMO, HTA Y DM TIPO II NIR Y NODULO TIORIDEO IZQUIERDO TIRADS 3.
DERIVADA DE CONSULTA DE MEDICINA INTERNA POR TUMOR PAROTÍDEO IZQUIERDO.
AL EXAMEN FISICO SE PALPA LESIÓN NODULAR DE 2 CMS APROX, DOLOROSO, POCO MOVIL, DE CONSISTENCIA DURA. ADICIONALMENTE PARALISIS LEVE DEL FACIAL EN RAMO OFTÁLMICO IZQUIERDO QUE DIFICULTA CIERRE DE PARPADO IZQUIERDO, REFIERE HIPOACUSIA DEL MISMO LADO. DOCTOR INDICA RNM + CREA+ IC A OTORRINO.NO TIENE RNM, SE BUSCA EN REDMINE Y NO HAY ORDEN </t>
  </si>
  <si>
    <t xml:space="preserve">ORDEN DE RNM </t>
  </si>
  <si>
    <t>MARIA SALFATE DUNSTAN</t>
  </si>
  <si>
    <t>CARCINOMA BASOCELULAR ZONA MALAR IZQ</t>
  </si>
  <si>
    <t xml:space="preserve">TOMO CONOCIMIENTO EN  BAJO CONTROL GLOBAL DE BIOPSIA POSITIVA SE CITARA OCN DR, OSMAN. SE CUTA OCN OSMAN EL 27/05. EVALUADA POR DR OSMAN QUIEN INDICA CREMA. control en mayo p) citar en 3 </t>
  </si>
  <si>
    <t>P)CX MENOR</t>
  </si>
  <si>
    <t>MARINA PIZARRO CORTES</t>
  </si>
  <si>
    <t>CARCINOMA ESPINOCELULAR FACIAL</t>
  </si>
  <si>
    <r>
      <rPr>
        <sz val="11"/>
        <color rgb="FF000000"/>
        <rFont val="Calibri"/>
        <scheme val="minor"/>
      </rPr>
      <t>Seguimiento Enf: 07/11 tomo conocimiento de caso, usuaria evaluada en consulta cabeza y cuello por lesión sospechosa sugerente de CA espinocelular, se solicitó toma de biopsia por pabellón cirugía menor (realizada 06/11). 28/11 se recibe biopsia. 06/12 se cita c/Dr Oyarzun para el 10/12 14:30hrs, evaluado se solicitan exs, eco cervical y tac facial+torax (tomados 30/12, pend informe), con resultados evaluar y presentar a COR CYC. P) citar c/resultados.--&gt; 15/01 se recibe tac y eco listas. 20/01 se realiza agendamiento para el 24/01 15:00hrs c/Dr RAMOS, fue evaluada se solicitó TAC cuello c/c y citar c/resultados.// tac listo citar.</t>
    </r>
    <r>
      <rPr>
        <b/>
        <sz val="11"/>
        <color rgb="FF000000"/>
        <rFont val="Calibri"/>
        <scheme val="minor"/>
      </rPr>
      <t xml:space="preserve"> CITADA EL 23-04/25 EVALUADA INDCIA PRESENTAR A COMITE P) INFORME. COMITE INDICA CIRUGIA Y REPRESENTAR. SE OPERA SE RECIBE BP (+) Y SE REPRESENTA A COMITE, DONDE SE INDICA  DERIVACION A CX DE TORAX Y PASE DENTAL. SE ENTREGA PASE DENTAL SE REPRESENTA A COMITE EL 21/11/25 Y SE INDICA SEGUIMIENTO EN HOSPITAL DE ORIGEN</t>
    </r>
  </si>
  <si>
    <t>SE PRESENTA A COR 21/11</t>
  </si>
  <si>
    <t xml:space="preserve">MATILDE CAMPUSANO JULIO </t>
  </si>
  <si>
    <t>MELANOMA CONJUNTIVA DE OJO DERECHO</t>
  </si>
  <si>
    <t>Seguimiento en hospital origen.</t>
  </si>
  <si>
    <r>
      <t xml:space="preserve">Seguimiento Enf: Paciente evaluado el 8-2-24 por Dr. Ramos para entrega de resolución PLAN: CIRUGÍA Y REPRESENTAR. CASO SERÁ DISCUTIDO CON SUBDIRECCIÍON MÉDICA PARA GESTIONAR RESOLUCIÓN QX EN CENTRO DE MAYOR COMPLEJIDAD. Paciente ev el 28/3 c/dr. azúa Paciente requiere compra de servicio para int (Resección Amplia + Revonstruccion. Posibilidad de Excenteracion Ocular).Se consulta en FALP para posibilidad de cotización , sin embargo no continua. 21/6 se reciben nuevas opciones, se presentará paciente a comité INC melanoma, se entregan documentación a Dr. Ramos. Usuaria se presenta el 26-06, se indica derivar a sotero del rio con dr. labbe para que evalúe pertinencia de int. qx. 27/6 se envian CD's a servicio salud Santiago para evaluación de iamgenes de usuaria. 10/7 Dr. Ramos en conocimiento y contacto c/Dr Labbe, también servicio de salud. 17/7 se concreta derivación a HSR, se finaliza proceso FALP, usuaria en conocimiento. 24/7 acude con resultado RM orbitas, tiene toma de petct el 30/7, sin embargo no se toma, se reagenda orden PET-CT para el martes 13/8, se toma estudio el 9/8 P) INFORME Y ENVIAR A ADNREA FRUGONE.. Se envía, usuaria tiene citación para el 21/8 con dr. labbe en hosp sotero del rio P) INT. QX 26/9 se recibe hora para el 2/10 11:00hrs en HCVB para evaluación por cabeza y cuello, evaluada se solicitan exs sangre e imagen (tomados, será citada con resultados). 21/10 se ahce seguimiento, usuaria ya tuvo evaluación preqx, probablemente será citada el 28/10 para intervención Qx. P) citación en Hosp sotero del rio c/dr. ROMERO. 25/10 SE CONFIRMA CITACIÓN 28/10 PARA INTERVENCIÓN QUIRÚRGICA EN SOTERO DEL RIO. 07/11 seguimiento usuaria fue operada con exito, actualmente en recuperación en Hosp. sotero del rio, tendrá representación a comité con biopsia operatoria, quedará con discapacidad visual y solicitará control 2 semanas post alta (probable alta 11/11). 18/11 se realiza agendamiento para el 21/10 16:30hrs c/Dr RAMOS, evaluada se indica pendiente resultado bp operatorio + control el 5/12 x herida op (SOLICITAR). 13/12 se cita para el 18/12 16:00hrs c/Dr RAMOS, evaluada se indica citar c/resultado bp sotero del río.30/12 se consulta a gestora onco sotero del río e indica que envie correo a red oncológica para solicitar biopsia, se envia. 30/12 SE RECIBE BIOPSIA, 31/12 tiene control el 28/01/25 en sotero del rio P) CITAR C/DR ramos. 03/01 se realiza agendamiento para el 07/01 14:00hrs c/Dr RAMOS, evaluada biopsia, se define presentar a COR CyC. P) guardar cupo y presentar a COR. 10/01 se guarda cupo 15/01 15:30hrs c/Dr Ramos. 17/01 presentada a COR CyC. 20/01 se realiza agendamiento para el 24/01 14:30hrs c/Dr Ramos para entrega resolución comité. P) presentación comité onco en HLS. CONSUTLAR A GESTORAS HLS martes 21/01. 21/01 es presentad a comité melanoma, se define SEGUIMIENTO en hospital de origen (se informa a dr Ramos de entregar ambas resoluciones). Fue citada el 24/01 se entrega resolucion de seguimiento, tiene PET-ct solicitado en Santiago. P) CITAR c/resultado (PET). </t>
    </r>
    <r>
      <rPr>
        <b/>
        <sz val="11"/>
        <color theme="1"/>
        <rFont val="Calibri"/>
        <scheme val="minor"/>
      </rPr>
      <t>Se atiende presencial, pcte refiere tener examen en santiago el 26/03 P) tomar creatinina previa, P) priorizar IC. Se prioriza IC a kine//31-3-25 informe estara listo como el 10 de abril. SE CITA A CONTROL CON OYARZUN EL 13-05-2025 CON RESULTADO DE TAC. EVALAUDA POR DOCTOR QUIEN INDICA PET.CT Y CONTROL CON RESULTADO. PET-CT LISTO P) CITAR. SE CITA EL 21/07 CON DR. RAMOS QUIEN INDICA ECO TIORIDEA// SE EVALUO POR DR RAMOS Y SE INDICO 1) TIROIDECTOMÍA TOTAL ( SE ENVÍA SET)
2) PAAF DE ADENOPATÍA CERVICAL. // PACIENTE CON RESULTADO DE PAAF YA EVALUADA. PENDIENTE CIRUGIA. dESDE HOSPITAL CALVO MAKENA LE DAN ALTA PENDIENTE SEGUIMIENTO POR DEFINIR.</t>
    </r>
  </si>
  <si>
    <t>SE INDICA INT Qx // VER QUIEN HARA SEGUIMIENTO</t>
  </si>
  <si>
    <t>MAURICIO ANGEL CONTRERAS</t>
  </si>
  <si>
    <t xml:space="preserve">TUMOR DE GLANDULA SALIVAL </t>
  </si>
  <si>
    <t>ENC URSO</t>
  </si>
  <si>
    <t>SE TOMO CONCOIMIENTO DE CASO POR BAJO CONTROL GLOBAL, PRO FALTAS DE HORAS CON DR. OYARZUN SE REVISA CASO Y DR. INDICA TOMAR TAC DE CUELLO PARA EVALUACION. SE CITA PACIENTE PARA EVALUACION DE TAC PERO INDICA QUE SE ESTA VIENDO POR EXTRASISTEMA.PCIENTE EVALUADO EL 06/06 POR DR. OYARZUN Y EVOLUCION AQUE PCTE SEGUIRA TTO. POR EXTRASISTEMA Y POR AQUI TAC OCN CONTROL. SE AGENDA 14/01/26 PARA EVALUACION DE TAC CON OYARZUN, INDICA CONTROL ANUAL.</t>
  </si>
  <si>
    <t>CITAR EN ENERO 2027</t>
  </si>
  <si>
    <t>MIGUEL OLIVARES OLIVARES</t>
  </si>
  <si>
    <t>RADIOTERAPIA:
Curativa Adyuvante.
Evaluacion nutricional , fonoaudiologia y kinesiología servicio de origen
Cuidados paliativos servicio de origen</t>
  </si>
  <si>
    <r>
      <rPr>
        <sz val="11"/>
        <color rgb="FF000000"/>
        <rFont val="Calibri"/>
        <scheme val="minor"/>
      </rPr>
      <t>Seguimiento Enf: 13/8 tomo conocimiento de caso, usuario en controles con maxilo-facial desde Julio/2024, es evaluado con lesión en lengua, se solicita pabellón upa para toma de biopsia, se realiza y procedimiento y fue citado para entrega de resultado, positivo para CA escamoso de lengua, dr. ziller le solicita exs sanguines (a ser tomados 14/8) y TAC cerebro, maxilofacial, cuello, tórax y abdomen, y se deriva por IC a cabeza y cuello, se prioriza IC a cabeza y cuello con Dr. Ramos, se envía correo correspondiente a Yasna (jefaLEconsultas), además consulto por ordenes con Lucila (secretaria dental) para informar que tramiten ordenes por módulo oncológico. P) Agendamiento c/Dr. RAMOS c/resultados (TAC + EKG), se recibe citación para el día 28/8 15:00hrs c/Dr. RAMOS, evaluado, se gestiona orden TAC cara,cuello y cerebro c/c, se entrega orden a módulo. P) consultar por resultado (11/9 se toma, pend. informe). 27/9 se recibe informe. P) CITAR c/DR. RAMOS 27/9 se realiza agendamiento 30/9 16:30hrs. 4/10 es presentado a COR CYC, se define cirugia y representar con biopsia y pase dental en HOV (Pend. IC). P) Citar para entrega resolución y solicitudes de cx. CITADO 11/10 15:30hrs c/Dr. RAMOS, evaluado c/esposa, se hace set qx. P) IC a dental y firma C.I. CONSULTAR. 12/11 se realiza sobrecupo para hoy 14:00hrs c/Dr OYARZUn, evaluado se solicita pase dental (listo) + pase anestesia (listo) irá para glosectomia parcial + disección cervical + reconstrucción c/colgajo. fecha estimada operación 18/11. 27/11 usuario actualmente en MQ1 postoperado con exito, está con valvula fonación+CVC+TQT+CUP evolucionando favorablemente, se le tomó biopsia en anatopato. 02/12 de alta MQ1 P) resultado biopsia y citar según epicrisis. 09/12 se recibe bp, citado el 10/12 c/Dr OYARZUN. (se prioriza IC a oftalmo, hora 10/12) 11/12 se solicita informe complementario a anatopato, se recibe bp y se informa a Dr. Oyarzún. P) PRESENTAR A COR CYC. 19/12 se envia informe comité  gestoras HLS para subir a plataforma. 20/12 se presenta a comité CyC, se define derivar a HCVB para RDT, IC a fono, nutri y kine (pend) e ingreso a CPYAD (pend). 23/12 se realiza agendamiento para el día 26/12 15:00hrs entrega resolución c/Dr Oyarzun, pero se cancela.30/12 se reagenda citación para el 03/01/25 15:30hrs c/dr RAMOS. evaluado se entrega resolución, pero Dr. no hace IC según comité, P) solicitar.  06/01 se resuelven dudas a familiar x RDT. 07/01 usuario recibe citación para RDT el 16/01/2025</t>
    </r>
    <r>
      <rPr>
        <b/>
        <sz val="11"/>
        <color rgb="FF000000"/>
        <rFont val="Calibri"/>
        <scheme val="minor"/>
      </rPr>
      <t>.se recibe contrarreferencia de hcvb por termino de RDT , se debe agendar con dr. oyarzun. Se agenda el 13/05 dr. oyarzun indica pet -ct postermino de rdt, seguimiento y rehabilitacion para decanulación. evaluado el 02/07 po dr. oyarzun quien decanula e indica ECOGRAFIA DE ADENOPATIAS + EVENTUAL PAAF. CONTROL CON RESULTADOS.</t>
    </r>
  </si>
  <si>
    <t>CITAR EN FEBRERO</t>
  </si>
  <si>
    <t xml:space="preserve">MIRKA TELLO AVALOS </t>
  </si>
  <si>
    <t>Seguimiento Enf: Paciente presentado a comité oncologico el 02-02-2024 donde se decide resolución de seguimiento en hospital de origen(HOV), posteriormente se cita para 8-2-24 c/Dr. Ramos atendido (pero no hay registro). Se cita para 4/3 para entrega resolución comité, se estima control c/6 meses (septiembre/2024). 16/9 se realiza agendamiento para el día 27/9 15:00hrs, evaluada se indica control en 6 meses. P) CITAR EN MARZO/2025</t>
  </si>
  <si>
    <t>P) CITAR EN MARZO/2025 c/Dr. RAMOS</t>
  </si>
  <si>
    <t>NANCY 	ORFELINA 	PINILLA 	PINILLA</t>
  </si>
  <si>
    <t xml:space="preserve">TOMO CONOCIMIENTO EN BAJO CONTROL GLOBAL, PACIENTE INUBICABLE, SE LOGRA CONTACTAR A FAMILIAR SE CITA PARA 29/05/2025 reagendar nsp a cita. </t>
  </si>
  <si>
    <t>P) REAGENDAR CON OSMAN</t>
  </si>
  <si>
    <t>NATALIA MILLA HIDALGO</t>
  </si>
  <si>
    <t xml:space="preserve">CBC NASAL </t>
  </si>
  <si>
    <t xml:space="preserve">VER SI ASISTIO A CONTROL 15/04  REVISION DE BPC GLOBAL </t>
  </si>
  <si>
    <t>P) AMPLIACION DE MARGENES</t>
  </si>
  <si>
    <t>CA EPIDERMOIDE  ALA NASAL</t>
  </si>
  <si>
    <t xml:space="preserve">Se pesquisa resultado de biopsia de caso nuevo durante revision de estadisticas, se revisa caso, se ingresa a bajo control y se decide citar a pcte con Dr. osman para revision de resultado de BP. Se cita para el 15-04-2025 a las 10:00 hrs. PACIENTE NO SE PRESENTA, SE VUELVE AGENDAR PARA EL 29/07/25 Y SE RECALCA IMPORTANCIA DE ASISTIR. EVALUADA POR DR. OSMAN QUIEN SOLICITA TAC CARA Y CUELLO Y AMPLIAR MARGENES </t>
  </si>
  <si>
    <t>PENDIENTE AMPLIACION DE MARGENES</t>
  </si>
  <si>
    <t>NORMA LOPEZ CORTES</t>
  </si>
  <si>
    <t>TU PAROTIDA</t>
  </si>
  <si>
    <r>
      <t>Seguimiento Enf: 12/12 tomo conocimiento de caso, usuaria con antecedente de TU de parótida la cual acudió a SUR por reagudización de dolor y aumento de volumen, se le realizó RM cabeza y cuello que evidencia lesión neoplásica, Dr. Chirinos realiza IC a box cabeza y cuello, se prioriza IC. 17/12 eva</t>
    </r>
    <r>
      <rPr>
        <sz val="11"/>
        <rFont val="Calibri"/>
        <family val="2"/>
        <scheme val="minor"/>
      </rPr>
      <t>luado por Dr. OYARZUN. Se solicita PAAF de parotida y adenopatias cervicales. P) CITAR c/resultado de bp. --&gt; 15/01 se realiza PAFF, pendiente biopsia (priorizar bp</t>
    </r>
    <r>
      <rPr>
        <sz val="11"/>
        <color rgb="FF00B0F0"/>
        <rFont val="Calibri"/>
        <family val="2"/>
        <scheme val="minor"/>
      </rPr>
      <t>).</t>
    </r>
    <r>
      <rPr>
        <b/>
        <sz val="11"/>
        <color theme="4"/>
        <rFont val="Calibri"/>
        <family val="2"/>
        <scheme val="minor"/>
      </rPr>
      <t xml:space="preserve"> 11/02 bp ok P) IHQ. 04/03 IHQ listo se cita con dr. oyarzun indica presentar a COR cyc. 07/03 presentada a COR CyC indica terminar etapificacion con tac torax, cirugia en hospital de origen y representar con biopsia+ pase dental. 11/03 se agenda con Dr. Ramos quien entrega resolucion de comitey solicita tac cerebro, cabeza, cuello y torax. !4/03 realiza IC para pase dental. PCTE OPERADA  06-05  EN MQ1. 26-05 BP AUN PENDIENTE. paciente con bp (+) s epresenta a comite y solicitan pet-ct. 06/11 se solicita a rafael matute priroizacion de pet ct solicitado hace 3 meses, indica que orden habia sido eliminada e indica compora urgente. SE AGENDA TOMA DE PET-CT PARA EL 19/11 PACIENTE NO SE LOGRA TOMAR PET POR GLICEMIA DE 410 MG/ML. EVALUADA POR DR. RAMOS EL 01/12 QUIEN REALIZA ic A MEDICINA INTERN APARA RETOMAR TOMA D EPET-CT</t>
    </r>
  </si>
  <si>
    <t>PENDIENTE EVALAUCION CON MEDICINA INTERNA</t>
  </si>
  <si>
    <t xml:space="preserve">NURY GALLEGUILLOS TORREJÓN </t>
  </si>
  <si>
    <t>TUMOR MALIGNO DE LA GLÁNDULA PARÓTIDA -</t>
  </si>
  <si>
    <t>1. Cirugía y representar con biopsia
2. Pase dental servicio de origen.</t>
  </si>
  <si>
    <t>27-3-25 DR RAMOS CONFIRMA DG DE TUMOR PAR OTÍDEO IZQUIERDO  P) CIRUGIA, SET ENTREGADO EN MQ1. PCTE OPERADA EL 20-05-2025, SE CITA CONTROL POSTOPERATORIO EL 04/06 , SE CITS NUEVAMENTE CON RESULTADO DE BP EL 21/07. DOC INDICA TAC DE CEREBRO CARA, CUELLO Y ABDOMEN. Y PRESENTAR A COMITE. se agenda el  20/08 con dr. oyarzun quien indica nueva cirugia. 10/11 se opera paciente con 2° tiempo quirurgico . PACTE SE OPERA Y DE ALTA EL 13/11, SE CITA A CONTROL EL 18/11 POR INDICACION DE DOCTOR RAMOS, QUIEN EVALUA E INDICA CONTROL EN 1 MES CON BIOPSIA</t>
  </si>
  <si>
    <t>P) BIOPSIA</t>
  </si>
  <si>
    <t>ORFELIO ARREDONDO VILLARROEL</t>
  </si>
  <si>
    <t>CBC NODULA RINFILTRANTE ALA NASAL IZQUIERDA</t>
  </si>
  <si>
    <t>PACIENTE SE TOMA BP DE LESION EN ALA NASAL D°. RESULTADO DE BIOPSIA INDICA CBC NODULA RINFILTRANTE . DR EVALUA E INDICA CONTROL EN 3 MESES</t>
  </si>
  <si>
    <t>FEBRERO</t>
  </si>
  <si>
    <t>ORLANDO CORTES PASTEN</t>
  </si>
  <si>
    <t xml:space="preserve">CBC ULCERADO MEJILLA DERECHA  </t>
  </si>
  <si>
    <t>CITAR URGENTE</t>
  </si>
  <si>
    <t>ORLANDO ROJAS BUGUEÑO</t>
  </si>
  <si>
    <t>CARCINOMA BASOlOIDE CONJUNTIVAL</t>
  </si>
  <si>
    <t>Paciente fuera de alcance quirúrgico, presentar a telemedicina para Radioterapia.</t>
  </si>
  <si>
    <r>
      <t>Seguimiento Enf: Se realiza seguimiento de caso, paciente visto por Dr. Ramos el 2/4/2024, se evalua RMN ojo Izq° con presencia neoplasia , sin extensión intracraneal,el 3/4 tiene control Oftalmología, se indica pabellón cx menor para toma de biopsia ocular el 17/4 con buena evolución, se deja control postop para 24/4 y control el 2/5 con Dra Marcel para definir IntQx. Posteriormente control c/Dr. Scarton HOV (con resultado bp?). 24/6 se realiza seguimeinto, usuario fue evaluado por oftalmo HLS, posteriormente se presentó a comité RDT el 30/5 se decide cirugía en servicio origen con equipo multidisciplinario, posteriormente visto el 21/6 por cirugía bucal HOV, se indica IC a Maxilofacial con Dr. Ziller (se prioriza IC). 24/6 Posteriormente se comunica conmigo gestora (catterine HLS) para indicar que resolutividad se realizará por HLS. P) Seguimiento Agosto. 21/8 se realiza seguimiento, en espera de cx para el 2/9 para extracción y toma de biopsia con Dr. Scarton., estable de salud. P) Seguimiento de biopsia (post 2/9), 03/12 se consulta por bp en anatopato HSP, aún pendiente se prioriza. 30/12 se consulta por bp a anatopato HSP, estará lista envio x correo.  P) CITAR c/resultado BP. 31/12 se recibe resultado de biopsia. P) CITAR C/DR RAMOS y/o OYARZUN, luego presentar a comité CYC.</t>
    </r>
    <r>
      <rPr>
        <sz val="11"/>
        <color rgb="FF00B0F0"/>
        <rFont val="Calibri"/>
        <family val="2"/>
        <scheme val="minor"/>
      </rPr>
      <t xml:space="preserve"> 03/01 se realiza agendamiento para el 07/01 15:30hrs c/Dr RAMOS, evaluado, Dr. Ramos se contacta c/Dr Scarton y se define que sea evaluado por cirujano HLS. Me contacto con gestora HLS para solicitar atención con Dr. Scarton y se envía resutlado de bp. P) hora con Dr. Scarton en HLS y luego representar a comité con bp. 31/01 es presentado a comité CyC x HLS, se define seguimiento en hospital LA Serena c/Dr Scarton. P) Seguimiento.</t>
    </r>
  </si>
  <si>
    <t>DR. SCARTON HLS</t>
  </si>
  <si>
    <t>OSCAR EDMUNDO GODOY MOROSO</t>
  </si>
  <si>
    <t>CA QUERATINIZANTE POCO DIFERENCIADO de pilar amigdalino infiltrante a lengua T2N2bM0 TRATADO 2022 P16 +
(OROFARINGE) CON PROGRESION</t>
  </si>
  <si>
    <t>QMT / NO TERMINA TTO</t>
  </si>
  <si>
    <t>CA QUERATINIZANTE POCO DIFERENCIADO de pilar amigdalino infiltrante a lengua T2N2bM0 TRATADO 2022 P16 +
(OROFARINGE) CON PROGRESION DE ENEFERMEDAD
recibió quimioterapia ultima en octubre 2024. rechaza continuar con tratamiento de quimioterapia.</t>
  </si>
  <si>
    <t>POLI DEL DOLOR</t>
  </si>
  <si>
    <t>OSCIEL GARCÍA GALLEGUILLOS</t>
  </si>
  <si>
    <t>Carcinoma espinocelular en labio</t>
  </si>
  <si>
    <t>Tratamiento</t>
  </si>
  <si>
    <t>Seguimiento en hospital origen</t>
  </si>
  <si>
    <r>
      <t>Seguimiento Enf: Paciente con bp positiva del 01/24, se agenda con dr. Ramos evidenciando carcinoma espinocelular de labio, se presenta a comité oncologico el 15/3 donde se decide cirugia y representar con biopsia y pase dental, el 21/3 dr. Ramos entrega resolución, paciente acepta. 18/4 será operado el 27/4 por dr.ramos/scarton/oyarzun. p) seguimiento postqx. 23/4 se recibe pase dental y se sube a FCL. 27/4 fue operado por Dr. Ramos, 17/5 se cita para 20/5 16:00hrs para control postoperatorio, (sin registro en sidra). 23/5 se realiza IPD para ingreso CPYAD recepcionado por GES. 24/5 se cita a paciente para 31/5 15:30 hrs con Dr. Ramos para evaluación de puntos postqx. 3/6 se evaluó biopsia y se estipula presentar a comité oncológico. Usuario presentado el 28/6 sin embargo x discordancia de biopsia Dr. Ramos solicita representar (12/7 iba a ser presentado pero no en plataforma, se representará) 12/7 se realiza agendamiento para el día 19/7 14:30hrs, es evaluado, se entrega resolución de comite (seguimiento en HOV), se indica control en 6 meses (CITAR EN ENERO/2025)</t>
    </r>
    <r>
      <rPr>
        <sz val="11"/>
        <color rgb="FF00B0F0"/>
        <rFont val="Calibri"/>
        <family val="2"/>
        <scheme val="minor"/>
      </rPr>
      <t>. 20/01 se realiza agendamiento para el 21/01 14:00hrs c/Dr RAMOS., evaluado con nueva lesión nasal, se solicita TAC cerebro, cara, cuello y tórax (en modulo?) y se solicita IC a pabellón cx menor (23/01 se prioriza, pend hora). P) CITAR c/resultados (TAC en modulo onco).//</t>
    </r>
    <r>
      <rPr>
        <sz val="11"/>
        <color rgb="FFFF0000"/>
        <rFont val="Calibri"/>
        <family val="2"/>
        <scheme val="minor"/>
      </rPr>
      <t xml:space="preserve"> 3-4-25 falta solo toma de bp para citar tac listos. se añade a listado de dr martinez para cx menor. </t>
    </r>
  </si>
  <si>
    <t>DR. RAMOS / SR. OYARZUN</t>
  </si>
  <si>
    <t>URGENTE CX MENOR Y ACTUALIZAR TAC</t>
  </si>
  <si>
    <t>PASCUAL RAMOS</t>
  </si>
  <si>
    <t>pendiente cirugía menor. Priorizada 17/01. --&gt; hora el 29/01, dependiendo resultado bp ingresar a bajo control vs egresar. Cbc control en 6 meses</t>
  </si>
  <si>
    <t>PATRICIA CARVAJAL RODRIGUEZ</t>
  </si>
  <si>
    <t>Cancer epidermoide carrillo izquierdo</t>
  </si>
  <si>
    <t xml:space="preserve">se deriva a segundo prestador </t>
  </si>
  <si>
    <t>Seguimiento Enf: Paciente evaluado el 02/10/2023 por Dr. Ramos quien solicita TAC facial,cerebro y cuello, los cuales son evaluados por Dr. Azúa el 17/1/2024, el cual solicita derivar a NCX en Enero, es evaluado por NCX en coquimbo en febrero, donde se le solicita estudio angiotac cerebral, el cual se informa en abril y retirado por hermano de paciente, 24/4 se envia correo a NCx HSP para hora atención, se da hora citación para 9/5 13:00hrs, no se presenta x cancelacion de agenda de Dr. Peña, hoy 22/5 se recibe hora de reagendamiento para el 30/5 13:00hrs con Dr. Peña en HSP. El 19/6 acude familiar solicitando estudios que HSP nos envío por correo, sin embargo consulto por ordenes sin respuesta por HSP.  15/7 se realiza seguimiento, cuenta con exs preop y ECG listos, intento via telefonica comunicarme con HSP pero no responde, se envía correo a gestora neuro HSP para consultar por hora de usuaria. P) resp. e INT. QX en HSP --&gt; me indican que tiene control en septiembre y que se citará por UPQ de HSP, usuario informado. / P) Seguimiento OCTUBRE. 03/12 se intenta seguimiento pero no contesta.</t>
  </si>
  <si>
    <t>HOV (Dr. Ramos) - HSP Dr. Peña</t>
  </si>
  <si>
    <t>15/7 se realiza seguimiento, usuaria P) INT QX en HSP en septiembre // P) Seguimiento Octubre (03/12 no contesta)</t>
  </si>
  <si>
    <r>
      <t xml:space="preserve">PATRICIO  MIGUEL ALEJANDRO </t>
    </r>
    <r>
      <rPr>
        <b/>
        <sz val="11"/>
        <color rgb="FFFFFFFF"/>
        <rFont val="Calibri"/>
        <family val="2"/>
      </rPr>
      <t> </t>
    </r>
    <r>
      <rPr>
        <sz val="11"/>
        <color theme="1"/>
        <rFont val="Calibri"/>
        <family val="2"/>
      </rPr>
      <t>GONZÁLEZ</t>
    </r>
    <r>
      <rPr>
        <b/>
        <sz val="11"/>
        <color rgb="FFFFFFFF"/>
        <rFont val="Calibri"/>
        <family val="2"/>
      </rPr>
      <t xml:space="preserve">  </t>
    </r>
    <r>
      <rPr>
        <sz val="11"/>
        <color theme="1"/>
        <rFont val="Calibri"/>
        <family val="2"/>
      </rPr>
      <t>SANTANDER</t>
    </r>
  </si>
  <si>
    <r>
      <t xml:space="preserve">Seguimiento Enf: Paciente en controles con Dr. Osman, último control en 5/4, se evalua bp concordante CBC nodular sin signos recidiva, se estipula "plan control meses" P) Citar en 3 meses. 11/7 se realiza agendamiento con Dr. Osman para el 26/7 15:00hrs, es evaluado sin recidiva, se indica control en 6 meses. CITAR en ENERO/2025. </t>
    </r>
    <r>
      <rPr>
        <sz val="11"/>
        <color rgb="FF00B0F0"/>
        <rFont val="Calibri"/>
        <family val="2"/>
        <scheme val="minor"/>
      </rPr>
      <t>09/01 se realiza agendamiento para el día 14/01 10:00hrs c/dr OSMAN, evaluado sin recidiva se define control anual (Enero/2026)</t>
    </r>
  </si>
  <si>
    <t>P) CITAR EN ENERO/2026 c/dr OSMAN</t>
  </si>
  <si>
    <t>PATRICIO RAMIREZ CERDA</t>
  </si>
  <si>
    <t>CARCINOMA BASOCELULAR de PARPADO superior OD</t>
  </si>
  <si>
    <t>Seguimiento Enf: 2/8 tomo conocimiento de caso, usuario en controles por Oftalmología con Dra. Gonmzález, tiene lesión en parpado superior de OD por lo que se le solicitó toma de biopsia, se tomó el 9/7 y hoy se recibe resultado de biopsia positiva para CA basocelular. Me comunico con oftalmología (sandra Tens) para solicitar atención para evaluar biopsia, se recibe citación para el día 5/8 12:30hrs en poli oftalmología con Dra. gonzález, me comunico vía telefónica con usuaria para informar citación y confirma,  fue evaluada y se deriva a dermatología, está citado para el 8/8, es evaluado se indica ampliación de margenes en cx menor, se prioriza IC con jefaLEproceeIq (citado para el 28/8 08:00hrs), se tomó bp y fue evaluada por Dra Gonzalez en octubre/2024, se estipuló control en 3 meses. P) CITAR EN ENERO/2025 a poli oftalmología (DRA gonzalez)</t>
  </si>
  <si>
    <t>HOV (DRA. GONZALEZ // Dr. OSMAN)</t>
  </si>
  <si>
    <t>P) AGENDAMIENTO ENERO/2025 c/OFTALMOLOGIA (DRA GONZALEZ)</t>
  </si>
  <si>
    <t>citar para semana 19/02. sin examenes</t>
  </si>
  <si>
    <t>PATRICIO ROJAS CASTILLO</t>
  </si>
  <si>
    <t>Carcinoma basecelular ulcerado.</t>
  </si>
  <si>
    <t>Seguimiento Enf: 07/01/25 tomo conocimiento de caso, usuario previamente evaluado en consulta dermatología con lesión en rostro la cual se biopsió, posteriormente fue evaluado por cirujano cabeza y cuello, quien evalua resultados y solicita estudios etapificación (en imagenologia priorizada) . Se recibe nueva biopsia positiva para CBC. P) Citar c/resultados (bp lista,eco etap., tomada 14/01, pend inf.) c/Dr OYARZUN. --&gt; 17/01 se recibe eco lista. 20/01 se cita usuario para el 21/01 16:00hrs c/dr OYARZUN, evaluado dr oyarzun solicita completar exs preoperatorios, IC a anestesia y programar cx. P) INT QX. operado el 10/02..</t>
  </si>
  <si>
    <t>PAZ CONTRERAS RAMIREZ</t>
  </si>
  <si>
    <t>DISPLASIA ALTOG RADO MUCOSA LARINGEA</t>
  </si>
  <si>
    <t>Cordectomia de cuerda vocal comprometida y representar con biopsia</t>
  </si>
  <si>
    <t xml:space="preserve">Seguimiento Enf: 06-12 tomo conocimiento de caso, usuaria es presentada en comité oncológico cabeza y cuello, se sube resolución de comité a derivaciones, resoluciones y a ficha clínica electrónica, se coordina con CAE otorrino (Ámbar) para agendamiento de usuaria con otorrinolaringólogo que presenta caso a comité para entrega de resolución de comité oncológico el 09/12. P) conducta CYC para int. qx --&gt; 16/12 vista por Dr. Acosta quien indica discutir resolución quirúrgica (plan: decorticacion de la CV con vigilancia periodica por NFL)  entre servicio ORL y UGCO pendiente.--&gt; CITADO MARTES 2. Pciente se entrega resolucion de comite quien indican cirugia en la serena. PACIENTE CON CIRUGIA PROGRAMADA EL 21-01-2025 QUE RECHAZA POR CIRUGIA D ESU ESPOSO Y SIN RED DE APOYO. . En consulta anterior paciente con poca disposicion ni decision para hacerse la cordectomia. Se acuerda control peridico con NFL para vigilancia de probables lesiones a posterioR. </t>
  </si>
  <si>
    <t>DR. ACOSTA</t>
  </si>
  <si>
    <t>NFL EN ENERO 2026</t>
  </si>
  <si>
    <t>PEDRO DURÁN CORTÉS</t>
  </si>
  <si>
    <t>CARCINOMA BASOCELULAR NODULAR ULCERADO</t>
  </si>
  <si>
    <t>Seguimiento Enf: 3/7 Tomo conocimiento de caso, usuario fue evaluado por Dr. Osman Cortés (dermatólogo) en marzo/2024, donde se evalua lesión cervical izq, se solicita pabellón cx menor, se realiza extirpación + toma de biopsia el 13/6/24. Hoy se recibe resultado de biopsia que indica carcinoma basocelular nodular. 9/7 se realiza agendamiento para el 19/7 15:00hrs para ev. bp, es evaluado, se indica control en 3 meses (CITAR EN OCTUBRE/2024) (12/11 se llama pero no contesta). 03/12 se cita para el 13/12 15:00hrs c/Dr OSMAN, evaluado sin recidiva, control en 1 año. (diciembre/2025)</t>
  </si>
  <si>
    <t xml:space="preserve">PEDRO NOLASCO AGUILERA ZEPEDA </t>
  </si>
  <si>
    <t>Combarbala</t>
  </si>
  <si>
    <t>CARCINOMA DE CÉLULAS ESCAMOSAS DE LA MANO</t>
  </si>
  <si>
    <t>Presentar a Telemedicina para Rt. continuar estudio de Próstata x Urología.</t>
  </si>
  <si>
    <r>
      <rPr>
        <sz val="11"/>
        <color theme="1"/>
        <rFont val="Calibri"/>
        <family val="2"/>
        <scheme val="minor"/>
      </rPr>
      <t>Seguimiento Enf: 10/9 usuario ingresado en PB, evaluado el 9/9 por Dr. Ramos por nodulos tiroideos tirads 3, se solicita eco tiroideos y citar c/resultados. 24/9 se toma eco tiroides (pend. Informe). 25/9 se recibe resultado de eco tiroides. P) CITAR c/DR RAMOS, 27/9 ciotar despues del 15/10. 28/10 se llama a paciente para citar pero se encuentran en Rancagua, deciden diferir atenciones hasta fines noviembre. P) citar 15/10 se llamna pero difiere citación para diciembre, citar en febrero en espera de entrega vivienda en Ovalle (caso en PB)</t>
    </r>
    <r>
      <rPr>
        <b/>
        <sz val="11"/>
        <color theme="4"/>
        <rFont val="Calibri"/>
        <family val="2"/>
        <scheme val="minor"/>
      </rPr>
      <t xml:space="preserve"> se cita 10/02 10:00.  P) evaluado por dr. Ramos no evoluciona, paciente sin imagenes preguntar por evolucion//P) CITAR ECO LISTA</t>
    </r>
  </si>
  <si>
    <t>P) CITAR CON DR RAMOS</t>
  </si>
  <si>
    <t>citar / eco de marzo / pcte no asiste por estar en rancagua</t>
  </si>
  <si>
    <t xml:space="preserve">PIERRE P GUERLINE </t>
  </si>
  <si>
    <t>25/06 TOMO CONOCIMIENTO DE CASO, PACIENTE QUE SE EVALUA POR NODULOS TIROIDEOS, DR. RAMOS INDICA ECO DE TIROIDES DONDE SE DESPQUIZA TIRADS 4. SE DEBE CITAR A POLI PARA EVALUACION DE ECO Y ORDEN DE PAFF. CITADA EL 02/07 CON DR. RAMOS INDICA TOMAR PAAF. SE TIENE RESULTADO DE PAAF,S E CITA A CONTROL CON DR, RAMOS EL 24/11 ASISTE PERO SE RETIRA POR MOTIVOS LABORALES, SE VUELVE A REGAENDAR EL 02-12 LA EVALUA DR. RAMOS QUIEN INDICA CIRUGIA. PACIENTE INDICA QUE DEBE CONVERSAR CON MARIDO, DARA RESPUESTA EN 1 SEMANA</t>
  </si>
  <si>
    <t>PENDIENTE CIRUGIA SE ENTREGA SET QX A PREQ</t>
  </si>
  <si>
    <t xml:space="preserve">RAFAEL RAMIREZ BELANDRIA </t>
  </si>
  <si>
    <t>CARCINOMA BASOCELULAR PARPADO OJO D</t>
  </si>
  <si>
    <t>CIRUGIA Y REPRESENTAR</t>
  </si>
  <si>
    <r>
      <t>Seguimiento Enf: 25-1-2024 paciente refiere deseos de cirugía, se definirá con equipo cirugía reconstructiva a realizar (pendiente solicitud de pabellón).Se agenda paciente  hora para día 4/4 c/dr. Ramos, (5/4) se llena ficha, consentimiento y se envia a U. PreQx con plan qx : Resección amplia SOS excenteración ocular + reconstrucción con colgajo. --&gt; FECHA PROBABLE CS 25/5, CONFIRMAR CITA CON DR. RAMOS Y CONFIRMAR ASISTENCIA DE PCTE POR COSTO DE CX. 17/5 paciente se encuentra citado para 20/5 11:00hrs evaluación preoperatoria x anestesiologa, asiste, se otorga pase anestesiologo + se solicita cama UTI postop. 29/5 paciente fue operado, 8/6 SE MANTIENE HOSPITALIZADO EN MQ2, 12/6 paciente fue dado de ALTA DE LA UCI/UTI el 11/6. 21/6 se cita a paciente con Dr. Ramos para el 25/6 16:30hrs, se evalua postop, se indica priorizar IC a oftalmología(p) hora)), se indica control en CPYAD, me comunico para que sea citado y resultado bp definitiva, consulto a anatomía patológica que se encuentra casi lista falta firma. 8/7 se cita a usuario para el 9/7 como sobrecupo 16:30hrs con dr. Ramos para evaluación de bp, es evaluado y se indica presentar a COR CYC para seguimiento. 29/7 se guarda cupo para comitepara el 1/8 16:00hrs, luego presentar a COR CYC, 2/8 se presenta, corresponde seguimiento. Se cita para el día 7/8 16:30hrs para entrega de resolución, es evaluado, se indica seguimiento control en 6 meses. P) CITAR EN FEBRERO/2025</t>
    </r>
    <r>
      <rPr>
        <sz val="11"/>
        <color rgb="FFFF0000"/>
        <rFont val="Calibri"/>
        <family val="2"/>
        <scheme val="minor"/>
      </rPr>
      <t xml:space="preserve"> p) reagendar. </t>
    </r>
    <r>
      <rPr>
        <sz val="11"/>
        <color theme="1"/>
        <rFont val="Calibri"/>
        <family val="2"/>
        <scheme val="minor"/>
      </rPr>
      <t>SE CITA EL 05/05 LO EVALUA DOCTOR AZUA QUIEN INDICA CONTROL EN 6 MESES Y REVISION DE CASO CON EQUIPO DE CYC</t>
    </r>
  </si>
  <si>
    <t>CITAR EN NOVIEMBRE</t>
  </si>
  <si>
    <t xml:space="preserve">RAMÓN ARAYA SANTANDER </t>
  </si>
  <si>
    <t xml:space="preserve">CANCER DE AMIGDALA </t>
  </si>
  <si>
    <t>Radioterapia Curativa concomitante con Quimioterapia</t>
  </si>
  <si>
    <r>
      <t>Seguimiento Enf: Paciente completó tratamiento RT + QT en Hospital valparaiso, se solicita contrarreferencia a HOV para continuar seguimiento. PCTE EVALUADO 15/4 X OTORRINO DRA SANCHEZ, SE INDICA CONTROL EN 6 MESES (OCTUBRE/2024). ACUDE 9/5 A URGENCIAS POR PRESENTAR AUMENTO VOLUMEN EN CUELLO, EVALUADO POR DRA SANCHEZ QUE INDICA CONTROL EL 13/5. 29/5 el paciente fue evaluado el 27/5, se estipula control en 2 semanas. se evalúa el 19/6, se estipula control en 3 meses (citar en Septiembre/2024). evaluado el 11/9 por Dra. Sachez, indicó control en 6 meses (Marzo/2025).//</t>
    </r>
    <r>
      <rPr>
        <sz val="11"/>
        <color rgb="FFFF0000"/>
        <rFont val="Calibri"/>
        <family val="2"/>
        <scheme val="minor"/>
      </rPr>
      <t xml:space="preserve"> 1-4-025 atendido , no dejo indicaciones</t>
    </r>
  </si>
  <si>
    <t>DR. RAMOS /DR. OYARZUN</t>
  </si>
  <si>
    <t>RAMON LUIS SANTANDER MUNIZAGA</t>
  </si>
  <si>
    <t>TU PAROTIDEO IZQUIERDO</t>
  </si>
  <si>
    <t>EN ESPERA DE INT Qx</t>
  </si>
  <si>
    <t>PACIENTE MASCULINO DE 48 AÑOS DE EDAD DERIVADO DE CONSULTA DE MAXILOFACIAL POR TUMOR PAROTÍDEO IZQUIERDO.
 PAAF: BENIGNO MILAN IV.
PLAN: PAROTIDECTOMÍA SUPAFACIAL IZQUIERDA.
SE LLENA DOCUMENTACIÓN Y SE ENVÍA A PRE QX.</t>
  </si>
  <si>
    <t>CON REUSLTADOS</t>
  </si>
  <si>
    <t>DR. OYARZUN /DR. RAMOS</t>
  </si>
  <si>
    <t>PENDIENTE INTERVENCION Qx</t>
  </si>
  <si>
    <t>RAUL INOCENCIO DEL CARMEN PLAZA (-)</t>
  </si>
  <si>
    <t>CARCINOMA ESCAMOSO PREAURICULAR DERECHO</t>
  </si>
  <si>
    <t xml:space="preserve">Cirugía de ampliación y representar con biopsia
</t>
  </si>
  <si>
    <t>PENDIENTE RESULTADO DE TAC PARA PRESENTAR A COMITÉ. SE PRESENTA A COMITÉ INDICAN CIRUGIA/ SE CITA A POLI SE REALIZA SET QX. PACIENTE OPERADO EL 15/12/2025 SE RESCATA BP EL 20/02/2026 SE AGENDA A POLI. 25/02 SE REALIZ AINFORME DE OCMITE, 27/02 SE PRESENTA A COMITE INDICAN CIRUGIA</t>
  </si>
  <si>
    <t>POST CIRUGIA</t>
  </si>
  <si>
    <t>RAUL PLAZA GUERRA</t>
  </si>
  <si>
    <t>CARCINOMA BASOCELULAR periauricular derecho</t>
  </si>
  <si>
    <r>
      <rPr>
        <sz val="11"/>
        <color theme="1"/>
        <rFont val="Calibri"/>
        <family val="2"/>
        <scheme val="minor"/>
      </rPr>
      <t xml:space="preserve">Seguimiento Enf: 29/8 tomo conocimiento de caso, usuario evaluado por dermatólogo en Junio/2024 con lesión periauricular D°, se solicita pabellón cirugía menor y se realiza extirpación + toma de biopsia a principios de Agosto. Hoy se recibe resultado de biopsia positiva para carcinoma basocelular. 10/9 se realiza agendamiento para el día 25/9 11:00hrs c/Dr. OSMAN, es evaluado se indica fotoprotección y prox control en 3 meses (diciembre/2024). 03/12 se cita para el 10/12 10:00hrs c/Dr OSMAN, perO NO LO ATIENDEN. </t>
    </r>
    <r>
      <rPr>
        <sz val="11"/>
        <color rgb="FF00B0F0"/>
        <rFont val="Calibri"/>
        <family val="2"/>
        <scheme val="minor"/>
      </rPr>
      <t>09/01 se reagenda para el día 21/01 10:00hrs c/Dr OSMAN</t>
    </r>
    <r>
      <rPr>
        <sz val="11"/>
        <color theme="1"/>
        <rFont val="Calibri"/>
        <family val="2"/>
        <scheme val="minor"/>
      </rPr>
      <t xml:space="preserve">. </t>
    </r>
    <r>
      <rPr>
        <b/>
        <sz val="11"/>
        <color theme="4"/>
        <rFont val="Calibri"/>
        <family val="2"/>
        <scheme val="minor"/>
      </rPr>
      <t>CITADO 13/02 15:00 HRS</t>
    </r>
    <r>
      <rPr>
        <sz val="11"/>
        <color theme="1"/>
        <rFont val="Calibri"/>
        <family val="2"/>
        <scheme val="minor"/>
      </rPr>
      <t>//</t>
    </r>
    <r>
      <rPr>
        <sz val="11"/>
        <color rgb="FFFF0000"/>
        <rFont val="Calibri"/>
        <family val="2"/>
        <scheme val="minor"/>
      </rPr>
      <t xml:space="preserve"> 28-3, control en 1 año</t>
    </r>
  </si>
  <si>
    <t>citar con dr. Ramos</t>
  </si>
  <si>
    <t>REMIGIO GARCIA MICHEA</t>
  </si>
  <si>
    <t>SEGUIMIENTO HOV</t>
  </si>
  <si>
    <r>
      <rPr>
        <sz val="11"/>
        <color theme="1"/>
        <rFont val="Calibri"/>
        <family val="2"/>
        <scheme val="minor"/>
      </rPr>
      <t>Seguimiento Enf: Paciente con pendiente cirugia. Me comunico via telefonica con paciente, refiere que el 2/4/2024 tiene ultima sesión por dental y estaria listo para agendar c/Dr.Ramos para decidir CX. (Licencia médica vence 7/4). Paciente en BCG, buen ánimo y disposición. Se agenda con Dr. Ramos para el 2/4 16:30hrs, indica que pcte está listo en espera de compra de servicio. 17/4 paciente será operada el 27/4 por dr. ramos/scarton/oyarzun. 13/5 acude pcte a curaciones postoperatorio, se suelta sus puntos postop por lo que requiere citación c/dr. Ramos, se cita para 16/5 16:30hrs. Se cita a paciente para 20/5 15:30hrs con Dr. Ramos, se evalua se llena set Qx + consentimiento firmado, se plantea colgado bucal tipo AV + eco cervical. 30/5 se recibe bp postop informada, se cita y evalua dr. Ramos el 7/6, se indica presentar a comité CyC, 28/6 se presenta a comité, se indica resolución: Seguimiento por Hospital origen (HOV), se sube resolución a derivacion y sidra, corresponde citar c/Dr. Ramos para entrega de resolución. Se cita para el 2/7, se realizan documentos para cirugia ambulatoria y se envian a unidad preqx. P) INT. QX. (17/10 se actualizan exs preop + ECG) P) CITAR c/Dr oyarzun,22/11  citar post 10/12 (trabaja) c/Dr Oyarzun, se citó el 17/12, evaluado se hace IC a kine (se prioriza), y contorl en 1 año? (refiere esposa, en evolución dr. oyarzun no l odice, P) CONSULTAR a dr oyarzun)</t>
    </r>
    <r>
      <rPr>
        <sz val="11"/>
        <color rgb="FF00B0F0"/>
        <rFont val="Calibri"/>
        <family val="2"/>
        <scheme val="minor"/>
      </rPr>
      <t xml:space="preserve"> 06/01 se recibe hora IC kine para el 10/01</t>
    </r>
    <r>
      <rPr>
        <sz val="11"/>
        <color theme="1"/>
        <rFont val="Calibri"/>
        <family val="2"/>
        <scheme val="minor"/>
      </rPr>
      <t>. EVALUADO POR DR.  OYARZUN  02/07 INDICA CONTROL ANUAL</t>
    </r>
  </si>
  <si>
    <t>P) CONTROL ANUAL JULIO 2026</t>
  </si>
  <si>
    <t>RENE CASTILLO ROJAS</t>
  </si>
  <si>
    <t>CEC CILIR IZQUIERDO</t>
  </si>
  <si>
    <t xml:space="preserve">CIRUGIA Y RESPRESENTAR CON BIOPSIA </t>
  </si>
  <si>
    <t>EVALUADO EL 26/08 PENDIENTE TOMAR TAC DE CARA, CUELLO, TORAX Y VER PRESENTACION A COMITÉ. SE TOMA TAC CON INFORME OK, SE CITA A POLI CON DR. RAMOS EL 13/11 SE SUBE A COMITÉ. SE PRESENTA A COR EL 14/11 SE INDICA CIRUGIA. SE CITA A POLI CON DR. RAMOS EL 18/11 PARA REALIZAR SET QX. PACIENTE OPERADO EN DICIEMBRE, ESN ESPERA DE BIOPSIA PARA REPRESENTACIÓN</t>
  </si>
  <si>
    <t>CITAR PRIMERA SEMANA DE FEBRERO</t>
  </si>
  <si>
    <t xml:space="preserve">RENE CORTES CORTES </t>
  </si>
  <si>
    <t xml:space="preserve">CARCINOMA DE PAROTIDA </t>
  </si>
  <si>
    <t>Médico debe representar caso con examenes e imágenes solicitadas. Discutir ampliación de margenes + pase dental y representar.</t>
  </si>
  <si>
    <r>
      <t xml:space="preserve">Seguimiento Enf: Paciente evaluado por Dr. Ramos quien en conjunto a Dr. Scarton (HLS) deciden plan ampliación de márgenes+ resección y reconstrucción nervio facial, Pendiente gestion compra de servicio para material de injerto facial. 17/4 Se consulta a dr. ramos, me indica que dr. scarton hablará con dr.Martínez él para explicarles cuáles son los materiales que va a requerir para esa cirugía ( P) solicitud de materiales set qx en seguimiento) 29/5 paciente fue evaluado por por Dr. martinez, se indica que será operado a mitades de Junio (fecha x confirmar) y se indica costo de tto (18mill), paciente confirma int. qx. 14/6 se cita al paciente con Dr. Ramos para ev. previo int. qx el día 17/6 11:30hrs, 21/6 seguimiento, se me informa que no se compro nervio facial por l oque se desfaza fecha de int. qx, le comunico a usuario. P) INT. QX. 20/8 se conversa de caso en subdirección con Dr. martines, él realiza IC a HSP con Dr. Bustos para evaluación el día 23/8 10.00hrs, es evaluado se le solicitan RMN y TAC TAP, se gestiona TAC TAP en HOV. P) Enviar resultados a HSP. 24/9 se envia TAC TAP a HSP. P) INT. QX (03/12 se consulta gestoras HSP, aún sin operarse??) P) seguimiento. 03/12 Tamara HSP informa que dr bustos habló con dr. oyarzun y ahora dr oyarzun llevará caso. 06/12 se cita el día 10/12 15:30hrs c/dr Oyarzun, evaluado se solicita PET-CT y citar c/resultados. </t>
    </r>
    <r>
      <rPr>
        <sz val="11"/>
        <color rgb="FF00B0F0"/>
        <rFont val="Calibri"/>
        <family val="2"/>
        <scheme val="minor"/>
      </rPr>
      <t xml:space="preserve">02/01 se prioriza orden compra PET-CT y se envia correo.--&gt; 17/01 seguimiento, el 15/01 se realizó PET,  17/01 SE RECIBE INFORME. 20/01 se cita para el día 21/01 16:30hrs c/dr Oyarzun., evaluado, se define discutir caso (en comité CyC?) para definir conducta (avisar a Deissy resolucion de comite)// SE INDICO CONTROL POST COMITE. </t>
    </r>
    <r>
      <rPr>
        <sz val="11"/>
        <color theme="1"/>
        <rFont val="Calibri"/>
        <family val="2"/>
        <scheme val="minor"/>
      </rPr>
      <t>SE RETOMA CONTROL DE PACIENTE QUIEN INDICA SE QUIERE OPERAR, INTERVINIENDOSE EL 11/08 CON BP DEFINITIVA QUE INDICA ADENOMA PLEOMORFO. DR OYARZUN EVALUA EL 10/09 INDICA PRESENTAR A COMITE Y CONTROL POSTERIOR A RESOLUCION. COR INDICA SEGUIMIENTO. CONTROL EN DICIEMBRE 2025</t>
    </r>
  </si>
  <si>
    <t>COR INDICA SEGUIMIENTO</t>
  </si>
  <si>
    <t>ROSA ARAYA BUGUEÑO</t>
  </si>
  <si>
    <t>Seguimiento Enf: Se trata de paciente en evaluaciones con dr.Ramos derivado desde endocrinologia por resultado de PAAF que indica neoplasia folicular de tiroides, fue evaluado el 21/3/24, se solicitan estudios de eco etapificación cervical y exs de calcitonina serica. Hoy 28/5 asiste paciente a consultar en módulo oncológico, la entrega de orden no se realizó ni se encuentra en archivos de módulo por lo que se gestiona con Dr. Ramos la realización de ordenes  pendientes y se entregan a modulo de atención para su procesamiento (se tomó estudio en abril). Se ingresa a paciente a bajo control CyC. 28/6 se realiza agendamiento para el 2/7 15:30hrs. Usuario evaluado, se indica tiroidectomia total, se llena consentimiento y se envian documentos a unidad preqx. P) INT. QX. 21/10 usuaria citada 23/10 c/dr Oyarzun preoperatorio, evaluada pero paciente no desea cirugía momentaneamente, se define control en 6 meses con ecografía. P) CITAR EN ABRIL/2025 c/eco grafia. SE CITA EL 04/06 EVALUA DOCTOR OYARZUN QUIEN INDICA INTERVENCION QX, ENTREGA SET QX</t>
  </si>
  <si>
    <t>ROSA GALLARDO MANZANO</t>
  </si>
  <si>
    <t>CARCINOMA BASECELULAR SOLIDO en REGION MALAR DERECHA</t>
  </si>
  <si>
    <r>
      <rPr>
        <sz val="11"/>
        <color theme="1"/>
        <rFont val="Calibri"/>
        <family val="2"/>
        <scheme val="minor"/>
      </rPr>
      <t xml:space="preserve">Seguimiento Enf: 24/12 tomo conocimiento de caso, previamente evaluada en consulta dermatología, se realizó procedimiento en cirugía menor para toma de biopsia. Se recibe resultado de biopsia positiva para CBC. Esta citada el 31/12 09:00hrs c/Dr OSMAN, </t>
    </r>
    <r>
      <rPr>
        <sz val="11"/>
        <color rgb="FF00B0F0"/>
        <rFont val="Calibri"/>
        <family val="2"/>
        <scheme val="minor"/>
      </rPr>
      <t>evaluada se estipula control en 3 meses (Citar Marzo/2025)</t>
    </r>
    <r>
      <rPr>
        <sz val="11"/>
        <color theme="1"/>
        <rFont val="Calibri"/>
        <family val="2"/>
        <scheme val="minor"/>
      </rPr>
      <t>. SE EVALUA EN JUNIO CON DR. OSMAN INDICA CONTROL EN 6 MESES.</t>
    </r>
  </si>
  <si>
    <t>ROSA JARA CONTRERAS</t>
  </si>
  <si>
    <t>CA BASOCELULAR PELVIS</t>
  </si>
  <si>
    <t>CONTROL CON ECO DE TIRODIDES (HALLAZGO DE PRE OP EN TAC)</t>
  </si>
  <si>
    <t>REV (FEB)</t>
  </si>
  <si>
    <t>Quiste epidermico cervical, P) biopsia</t>
  </si>
  <si>
    <t>P)</t>
  </si>
  <si>
    <t>Seguimiento Enf: 4/6 tomo conocimiento de caso, paciente fue atendida en Octubre/2023 por Dr. Azúa (por CyC) consultado por quiste epidérmico cervical, a nivel de tejido celular subcutaneo, imagen ovalada anecoica de bordes bien limitados no vascularizada, la cual presenta pequeña comunicación con piel, se indicó solicitud de pabellón sin embargo sin IC a pabellón Cx menor en sistema. Hoy 4/6 consulta paciente en módulo oncológico por aumento de tamaño de quiste cervical. Se ingresa paciente a bajo control y corresponde citar con Dr. Ramos (CyC) con agenda cupos disponibles. 16/8 se realiza agendamiento para el 21/8 15:00hrs, es evaluada, dr. ramos palpa nodulo en parotida D°, le solicita ecografia de parótida D° . 25/11 se recibe resultado eco partes blandas parotida. 29/11 se cita c/Dr RAmos para el 03/12 15:30hrs, evaluada con disminución de nodulos, se solicita control en 6 meses con resultados eco parotida y eco tiroides (se entrega en modulo para toma en mayo/2025). P) CITAR c/RESULTADOS en Junio/2025</t>
  </si>
  <si>
    <t>CITAR EN MARZO</t>
  </si>
  <si>
    <t xml:space="preserve">ROSA ROJAS RAMIREZ </t>
  </si>
  <si>
    <t>CARCINOMA DE CONJUNTIVA DE OJO DERECHO</t>
  </si>
  <si>
    <r>
      <t>Seguimiento Enf: Paciente en controles con oftalmo, último control 6/12/2023 por Dra Gonzalez , donde se establece proximo CONTROL EN 6 MESES (Junio/2024). 24/6 se consulta a oftalmo (Camila) para agendar hora a paciente, me responde que se citará a control a  la brevedad. P) Revisar en julio (18/7 aún sin citación, se consulta a Leslie para que se agende, 21/8 se vuelve a consultar, Sandra me indica que se citará a la brevedad). P) Revisar en AGOSTO/SEPTIEMBRE (consultar Camila Castillo para citación). 03/12 se solicita nuevamente atención, se agendará cuando dra gonzales vuelva de licencia.</t>
    </r>
    <r>
      <rPr>
        <sz val="11"/>
        <color rgb="FFFF0000"/>
        <rFont val="Calibri"/>
        <family val="2"/>
        <scheme val="minor"/>
      </rPr>
      <t>//3-4-25 dra gonzalez no esa haciendo controles, se abrira un plan 500 o le preguntaran a dra para poder agendarla</t>
    </r>
  </si>
  <si>
    <t>OTORRINO HOV (Dra Gonzalez)</t>
  </si>
  <si>
    <t>CITAR CON DRA. GONZALEZ</t>
  </si>
  <si>
    <t xml:space="preserve">ROSA ROMERO ROJAS </t>
  </si>
  <si>
    <t xml:space="preserve">Cancer espinocelular labio inferior </t>
  </si>
  <si>
    <t>SEGUIMIENTO HOSPITAL ORIGEN</t>
  </si>
  <si>
    <r>
      <t>Seguimiento Enf: Paciente en seguimiento, evaluada por Dr. Ramos el 15/2 donde indica plan de tomar bp incisional, la cual se toma el 20/3 (bp informada 9/4). 11/4 se agenda para día 18/4 c/dr. Ramos para ev bp, se indica TAC cabeza cuello cara la cual no se tramita porque la tiene paciente, 25/4 se trae orden y se tramita. pendiente toma y citar con resultados. 29/5 los resultados están listos desde 16/5. Paciente citado para el 11/6 11:30hrs, se evalua a paciente, se indica presentar a comité CyC (28/6 se presenta). 9/8 se realiza agendamiento para el 12/8 16:30hrs para entrega resolución comité, es evaluada, se entrega resolución, se firma C.I. y se entrega ficha en U. preqx. Corresponde resección, toma de biopsia y representar a comité con resultado.  9/10 se cita a usuario con Dr. Oyarzun para el 10/10 16:30hrs, evaluada se solicita evaluacion preanestésica, se prioriza IC evaluada el 14/10 por Dra cofré, se da pase operatorio. P) INT QX. operada 28/10. 15/11 se recibe resultado de bp, se realiza agendamiento para el día 20/11 15:30hrs c/Dr RAMOS, evaluada  con resultado de bp postop, se indica presentar a comité CYC para seguimiento. 22/11 se guarda cupo para comité el 28/11 15:30hrs c/Dr RAMOS, luego presentar a comité CYC. 29/11 es presentada, se define seguimiento, se cita para el día 03/12 15:00hrs c/dr RAMOS, evaluada se entrega resolución se solicita IC a dental (04/12 se prioriza) y control en 1 mes. P) CITAR EN ENERO/2025.</t>
    </r>
    <r>
      <rPr>
        <sz val="11"/>
        <color rgb="FF00B0F0"/>
        <rFont val="Calibri"/>
        <family val="2"/>
        <scheme val="minor"/>
      </rPr>
      <t xml:space="preserve"> 20/01 se realiza agendamiento para el día 23/01 14:30hrs control seguimiento c/Dr RAMOS, evaluada se solicita TAC cerebro,cara,cuello y torax c/c (en modulo ). P) Citar c/resultados.// </t>
    </r>
    <r>
      <rPr>
        <sz val="11"/>
        <color rgb="FFFF0000"/>
        <rFont val="Calibri"/>
        <family val="2"/>
        <scheme val="minor"/>
      </rPr>
      <t>3-4-25 resutlados listos, citar</t>
    </r>
  </si>
  <si>
    <t>SIN ECO AUN</t>
  </si>
  <si>
    <t>CITAR CON ECO TIROIDES</t>
  </si>
  <si>
    <t>ROXANA RIVERA CASTILLO</t>
  </si>
  <si>
    <t>adenomacarcinoma de fosa pterigo maxilar izq</t>
  </si>
  <si>
    <r>
      <rPr>
        <sz val="11"/>
        <color rgb="FF000000"/>
        <rFont val="Calibri"/>
        <scheme val="minor"/>
      </rPr>
      <t>Seguimiento Enf: Paciente con IC a Maxilofacial evaluada el 7/3 x Dr. Ziller, quedando en controles para obtener pase dental en atenciones c/ Dra Quijada (20/3).  20/3 Evaluado también por Dr. Osman, quien evalua paciente en BCG, cita control para Julio/2024. Se presentó a comité 5/4 donde se indica tactap rmn y presentar a cuidados paliativos y pase dental. 17/4 se gestiona orden examenes para toma de tac hoy 14hrs, 9/5 imagenes listas en sistema + examenes, se habla con Dra. Salcedo, se envia correo con carpeta antecedentes para ser presentada a comité CyC. 13/5 presentada a comité, se entrega resolución por Dra. Salcedo, es evaluado el 13/5 por Dr. Acosta quien indica priorizar IC pendiente de nutrición (se realiza Priorización de IC, se recibe hora para el 30/5). y citar a control en 1 mes (13/Junio/2024). Paciente visto por Dr. Acosta el 10/6, se indica priorizar consulta con maxilo facial (visto por Dr. ziller 12/6) y en espera de llamado HLS para iniciarRDT (18/7 se consulta a gestoras HLS x derivación a HCVB)  29/7 se recibe hora para el 1/8 11:00hrs en HCVB. 2/8 SE PRESENTA a COR CYC, usuaria no recieb RDT en HCVB ya recibio en 2016 y no es factible, en resolucion se indica presentar a comité onco 4ta region para tto sistemico y cuidados paliativos. 9/8 fue presentada y se decidio CPE. P) entrega de resolución (x HLS). 8/10 usuaria se tomo 4/10 TAC y angioTAC, se priorizan informes, con resultados hablar c/Dr. ZIller. 10/10 estudios listos, se registra, se discutirá caso entre ziller y acosta para representar a comtié. 23/10 evaluada por Dr Acosta quien comunica resolución de comité CPE. P) gestionar controles por CPYAD.10/01 seguimiento,a cude a modulo a consultar por IC a CyC, se le indica solicitar IC a dr. acosta o a dr ziller luego priorizarla. (usuaria quiere explicacion de indicación de CPE, sin embargo, sabe su diagnóstico y sabe que no pueden operarla). P) IC a CyC</t>
    </r>
    <r>
      <rPr>
        <sz val="11"/>
        <color rgb="FF00B0F0"/>
        <rFont val="Calibri"/>
        <scheme val="minor"/>
      </rPr>
      <t xml:space="preserve">. </t>
    </r>
    <r>
      <rPr>
        <b/>
        <sz val="11"/>
        <color rgb="FF000000"/>
        <rFont val="Calibri"/>
        <scheme val="minor"/>
      </rPr>
      <t>SE DERIVA DESDE LA SERENA A CONSULTA CON DR. OAYRZUN PARA ENLAZAR A INC. SE LLAMA PARA AGENDAR EL 27-05 PCTE RECHAZA HORA ESTA EN SNATIAGO. PCTE LLAMA DE VUELTA Y TOMA HORA OCN DR. OYARZUN QUIEN EVALUA Y SOLICITA PET-CT Y RNM, 07/07 PACIENTE CON INFORMES DE EXAMENES OK. SE SOLICITA DERIVACIONA INSTITUTO DE NCX, PERO EN PRIMERA ISNTANCIA DEBE SER DESDETIMADA POR HCVB. 15/07 DR. RAMOS REALIZA IC PARA NEUROCIRUGIA DE HSP CPQ. 17/07 SE HABLA CON GESTORA DE COQUIMBO PARA DERIVACION, SE ENVIA CARPETA DE ANTECEDENTES. PACIENTE RECHAZADA DESDE HSP COQUIMBO POR DR. HORTAL. SE VUELVE A EVALUAR EN OVALLE 03/12/25 DOCTOR INDICA ASISTIR A MEDICO EN SANTIAGO. ADEMAS SE SOLICITA NUEVA RNM BASE DE CRANEO</t>
    </r>
  </si>
  <si>
    <t>SE SOLICITA RNM BASE CRANEO</t>
  </si>
  <si>
    <t xml:space="preserve">RUBEN PLAZA CORTES </t>
  </si>
  <si>
    <t xml:space="preserve">CARCINOMA ESCAMOSO DE LARINGE </t>
  </si>
  <si>
    <t>Radioterapia Curativa</t>
  </si>
  <si>
    <r>
      <t>Seguimiento Enf: Paciente en espera de radioterapia (se envia carpeta a hcv). El 29-01-24 se indica bp (lista), se solicita etapificación (se toma TAC TAP (listo 31-01), el 14/2 se presenta a comité oncologico por Dra. Sanchez, se indica readioterapia en HCVB, se inicia el 21/3 viaja a Valparaiso para iniciar terapia. 3/6 se recibe contrarreferencia desde HCVB,  posterior a radioterapia curativa, se realizó RDT en región glótica 63 gy en 28 fracciones de 2,25 Gy día, iniciada el 9/4/24 y finalizada el 17/5/24. Corresponde citar con Otorrino (dra. Sanchez), 11/6 se gestiona hora de atención con otorrino Dra. Sanchez, se otorga hora para el 12/6 14:00hrs, se evalua y se solicita TAC nariz y seno paran</t>
    </r>
    <r>
      <rPr>
        <sz val="11"/>
        <rFont val="Calibri"/>
        <family val="2"/>
        <scheme val="minor"/>
      </rPr>
      <t>asal. Usuario evaluado el 10/7 con resultado de TAC, se plantea etmoidectomia + antrostomia y se envía a U. preqx. P) INT. QX. --&gt; 31/01 aun poendiente cx, se cita c/Dr Oyarzun para programar intervencion el 05/02 16:00hrs.</t>
    </r>
    <r>
      <rPr>
        <sz val="11"/>
        <color rgb="FF00B0F0"/>
        <rFont val="Calibri"/>
        <family val="2"/>
        <scheme val="minor"/>
      </rPr>
      <t xml:space="preserve"> </t>
    </r>
    <r>
      <rPr>
        <b/>
        <sz val="11"/>
        <color theme="4"/>
        <rFont val="Calibri"/>
        <family val="2"/>
        <scheme val="minor"/>
      </rPr>
      <t>citado con Dr. Oyarzun indica que cx se realiza en HLS por otorrino P) citar con OTORRINO PARA IC. PCTE evaluado por otorrino 10/02 quien indica INT Qx, y el mismo prioriza con jefe de otorrino. operado el 13/06 con controles posteriores y biopsias con polipos nasales sin cancer. evaluada el 15/10 control en 6 meses</t>
    </r>
  </si>
  <si>
    <t xml:space="preserve">DRA. SANCHEZ </t>
  </si>
  <si>
    <t>citar en abril 2026</t>
  </si>
  <si>
    <t>SAMUEL ÓRDENES BERRIOS</t>
  </si>
  <si>
    <t>CARCINOMA ESCAMOSO BIEN DIFERENCIADO / Tumor GLÓTICO</t>
  </si>
  <si>
    <t>CIRUGIA POR RECHAZO DE RT</t>
  </si>
  <si>
    <r>
      <t>Seguimiento Enf: 07/11 tomo conocimiento de caso, se recibe llamado desde policlínico otorrinolaringologia informando de paciente hospitalizado con alta sospecha de TU glótico. Se recibe biopsia positiva para carcinoma escamoso bien diferenciado. Usuario actualmente hospitalizado en MQ3, usuario cuenta con TAC TAP, recibo información de policlínico otorrinolaringologia informando que usuario será presentado a comité oncológico cabeza y cuello para definir conducta oncológica. P) PRESENTAR A COR CyC. 8/11 presentado a CyC, se define cirugia y representar con biopsia (laringectomia), se entregará resolución en piso, se consulta a dr oayrzun por disponbiilidad de cx aca o derivar a HLS. P) DEFINIR CONDUCTA LUNES 11/11. 15/11 Dra Sanchez solicita citar usuario con CyC para el mismo día otorrino semana del 25/11.  22/11 coordino con otorrino control para el dia 26/11 14:00hrs c/Dra Salcedo (no estará dra sanchez) y para el mismo dia citado 26/11 15:30hrs c/Dr Oyarzun, es evaluado sin embargo paciente con antecedente de analfabetismo contraindicación para laringectomia, se decide representar a comité CyC, Dra Sanchez me envia comité y se comunica a Caro HLS para representar el viernes 29/11. P) PRESENTAR A COR CYC. 29/11 se presenta a comité CyC, se define derivar a ORL HLS para evaluación y representar, se envia correo con IC y carpeta antecedentes, usuario será citado para el 02/12 c/Dra Sanchez para entrega de resolución y ver si acepta o rechaza procedimiento.en caso de rechazo cancelar derivcación y representar a comité. 03/12 hora en HLS con Dr. BErmeo el 10/12 15:00hrs en CDT. Se solicita RMN cuello + IC a maxilo para pase dental, se gestiona orden</t>
    </r>
    <r>
      <rPr>
        <b/>
        <sz val="11"/>
        <color theme="1"/>
        <rFont val="Calibri"/>
        <family val="2"/>
        <scheme val="minor"/>
      </rPr>
      <t xml:space="preserve"> (P)se avisa a hija que acuda a firmar orden para tramitar) e IC maxilo priorizada 11/12 P)hora</t>
    </r>
    <r>
      <rPr>
        <sz val="11"/>
        <color theme="1"/>
        <rFont val="Calibri"/>
        <family val="2"/>
        <scheme val="minor"/>
      </rPr>
      <t xml:space="preserve"> , hora el P) representar a comité por HLS. 23/12 pase dental ok ya enviado, tiene citación el 03/01/25 en HLS para toma de RMN cuello, luego presentar a comité cabeza y cuello por HLS.</t>
    </r>
    <r>
      <rPr>
        <sz val="11"/>
        <color rgb="FF00B0F0"/>
        <rFont val="Calibri"/>
        <family val="2"/>
        <scheme val="minor"/>
      </rPr>
      <t xml:space="preserve"> --&gt; 15/01 se recibe correo de HLS, se presentará a COR CYC el 17/01. </t>
    </r>
    <r>
      <rPr>
        <sz val="11"/>
        <color theme="1"/>
        <rFont val="Calibri"/>
        <family val="2"/>
        <scheme val="minor"/>
      </rPr>
      <t>PACIENTE EN COMITE SE INDICA RDT, A LA CUAL NO ASISTE POR NO TENER RED DE APOYO QUE LO ACOMPAÑE Y RECHAZA ACOMPAÑAMIENTO POR DAMAS DE BALNCO, ADEMAS ES UN AOCMPAÑAMIENTO PARCIAL Y NO CONTINUO. SE REPRESENTA EN HLS PARA CIRUGIA Y DECIDE OPERARSE operado  de laringectomia total + disección cervical bilateral el 06/10. CON CONTROL CON FONOAUDIOOLOGO EN HOV</t>
    </r>
    <r>
      <rPr>
        <sz val="11"/>
        <color rgb="FF00B0F0"/>
        <rFont val="Calibri"/>
        <family val="2"/>
        <scheme val="minor"/>
      </rPr>
      <t xml:space="preserve"> </t>
    </r>
  </si>
  <si>
    <t>llamar para seguimiento</t>
  </si>
  <si>
    <t>SARA GAMBOA CASANGA</t>
  </si>
  <si>
    <t>CBC DE FRENTE</t>
  </si>
  <si>
    <t>SEBASTIAN CHAVEZ TAPIA</t>
  </si>
  <si>
    <t xml:space="preserve">CANCER DE GLANDULA SALIVAL MENOR // CARCINOMA ADENOIDE QUISTICO </t>
  </si>
  <si>
    <t xml:space="preserve">PACIENTE INGFRESA A POLI DE CYC CON BIOPSIA POSITIVA TOMADO POR MAXILOFACIAL, DOCTOR RAMOS INDICA TAC DE CEREBRO, CUELLO, TAP. P) INFORME </t>
  </si>
  <si>
    <t xml:space="preserve">PENDIENTE INFORME  </t>
  </si>
  <si>
    <t>SEBASTIAN LARA ROJO</t>
  </si>
  <si>
    <t>CARCINOMA BASOCELULAR NASAL</t>
  </si>
  <si>
    <t>Radioterapia Stampede (rechazada x pcte), hormonoterapia y enviar RTU + imágenes</t>
  </si>
  <si>
    <r>
      <t>Seguimiento Enf: Paciente evaluado el 8-2-2024 por Dr. Osman, el cual indica plan exéresis. Se llama y envia correo a jefa LE para priorizar atención IC pabellon cx menor, hora de citación 3/4 c/ Dr. Osman, se consulta 24/4 bp pendiente informe (2/5 listo). Se cita para 10/5 evaluado x Dr. Osman, se evalua bp carcinoma basocelular multifocal, bordes qx libres, se cita para control en 3 meses. 24/7 se llama para citar, usuario está citado el 2/8 con Dr. Osman. 5/8 se revisa, es evaluado sin recidiva, se prioriza IC a cirugía menor para exeresis y corresponde citar en 6 meses ( CITAR EN FEBRERO/2025)</t>
    </r>
    <r>
      <rPr>
        <sz val="11"/>
        <color rgb="FF00B0F0"/>
        <rFont val="Calibri"/>
        <family val="2"/>
        <scheme val="minor"/>
      </rPr>
      <t xml:space="preserve"> --&gt; 24/01 se llama para citar sin embargo ya fue citado el 10/01 sin recidiva y Dr. Osman decide control en 1 año.</t>
    </r>
  </si>
  <si>
    <t xml:space="preserve"> CITAR EN ENERO/2026 </t>
  </si>
  <si>
    <t>SERGIO ANTONIO ARAYA ARAYA</t>
  </si>
  <si>
    <t>LESIÓN NEOPLÁSICA DERMOEPIDERMICA CON COMPROMISO DE PABELLÓN AURICULAR IZQUIERDO</t>
  </si>
  <si>
    <t xml:space="preserve">CIRUGIA PALITIVA </t>
  </si>
  <si>
    <t>Presentar en comité oncológico con resultado de biopsia post op con plan de Seguimiento.</t>
  </si>
  <si>
    <t>CITAR SEMANA DEL 26 ENERO</t>
  </si>
  <si>
    <t>SERGIO ARDILES CARREÑO</t>
  </si>
  <si>
    <t>CARCINOMA BASOCELUALR DE FRENTE</t>
  </si>
  <si>
    <t xml:space="preserve">SE PESQUIZA BIOPSIA (+) EN BAJO CONTROL GLOBAL EN ABRIL, SE CITA PACIENTE EL 24/04 PERO NSP. SE VUELVE A CITAR PARA EVALUACION DE BP. </t>
  </si>
  <si>
    <t xml:space="preserve">SERGIO CARRASCO ROJAS </t>
  </si>
  <si>
    <t xml:space="preserve">CARCINOMA BASOCELULAR DE MENTON </t>
  </si>
  <si>
    <r>
      <t>Seguimiento Enf: el día 12/3/24 acude a control c/ Dr. Osman, se evalúa bp: carcinoma basocelular nodular ulcerado, hda op. s/ signos recidiva, se agenda para cirugía menor (en LE). Se envia correo a Leila de Lista de espera para priozar CX menor en pabellon con Dr Osman (03/04), 22/4 se reitera solicitud x correo, SE DA HORA 24/4, SIN EMBARGO CITA SUSPENDIDA, REITERAR SOLICITUD Y/O REAGENDAR X ADMISIÓN. 24/6 se reagenda paciente para toma de bp el 26/6. 11/7 consulto por bp, fue tomada sin embargo aún no se encuentra informada, se prioriza resultado de bp. 24/7 se recibe resultado biopsia, se realiza agendamiento para el 9/8 15:00hrs con Dr. Osman. 19/8 se reagenda citación para el 20/8 14:0</t>
    </r>
    <r>
      <rPr>
        <sz val="11"/>
        <color theme="1"/>
        <rFont val="Calibri"/>
        <family val="2"/>
        <scheme val="minor"/>
      </rPr>
      <t>0hrs, evaluado, se evalua biopsia con herida cicatrizal en buen estado y citar en 3 meses. 12/11 se cita para el día 19/11 10:00hrs c/DR oSMAN CONTROL seguimiento, pero NSP. 09/01 se reagenda para el día 16/01 15:00hrs c/dr OSMAN, pero NSP. P) REAGENDAR x ULTIMA VEZ (2da inasistencia.).--&gt; 24/01 se reagenda para el 30/01 15:00hrs, se informa en caso de inasistencia se egresara, evaluado por dr. osman, quien indica resección en cirugía menor (31/01 se prioriza IC, pend hora).055/0</t>
    </r>
    <r>
      <rPr>
        <sz val="11"/>
        <color rgb="FF00B0F0"/>
        <rFont val="Calibri"/>
        <family val="2"/>
        <scheme val="minor"/>
      </rPr>
      <t xml:space="preserve">2 </t>
    </r>
    <r>
      <rPr>
        <b/>
        <sz val="11"/>
        <color theme="1"/>
        <rFont val="Calibri"/>
        <family val="2"/>
        <scheme val="minor"/>
      </rPr>
      <t xml:space="preserve">CX MENOR, CONTROL EN 1 MES// </t>
    </r>
    <r>
      <rPr>
        <b/>
        <sz val="11"/>
        <color theme="4"/>
        <rFont val="Calibri"/>
        <family val="2"/>
        <scheme val="minor"/>
      </rPr>
      <t>2</t>
    </r>
    <r>
      <rPr>
        <b/>
        <sz val="11"/>
        <color rgb="FFFF0000"/>
        <rFont val="Calibri"/>
        <family val="2"/>
        <scheme val="minor"/>
      </rPr>
      <t xml:space="preserve">8-3 SE CITARA CON DR OSMAN. </t>
    </r>
    <r>
      <rPr>
        <b/>
        <sz val="11"/>
        <color theme="1"/>
        <rFont val="Calibri"/>
        <family val="2"/>
        <scheme val="minor"/>
      </rPr>
      <t>PACIENTE ES EVAUADO POR OSMAN QUIEN REALIZA CX MENOR EL 05-02-2025, SE REVISA BP AUN NO  ESTA RESULTADO EN SISTEMA, SE LLAMARA A ANATOMIA</t>
    </r>
  </si>
  <si>
    <t>PREGUNTAR POR BIOPSIA</t>
  </si>
  <si>
    <t>SERGIO CORTÉS CORTÉS</t>
  </si>
  <si>
    <t>Carcinoma espinocelular moderadamente diferenciado, ulcerado, inflitrante en dermis reticular.</t>
  </si>
  <si>
    <r>
      <t>Seguimiento Enf: Se realiza gestión de caso, se estudia caso, el paciente fue evaluado el 24/4 por Dr. Osman Cortés, se estipula control con biopsia, se recibe resultado de biopsia mencionada, pendiente citar c/Dr. Osman Cortés con agenda disponible, se ingresa caso a bajo control CyC, tiene control el 13/6 con Dr. Osman 15:00hrs para evaluar biopsia (no asiste), 9/7 se realiza llamado para agendar a usuario, sin embargo me comunica que tiene citación para el 10/7 11:0hrs con Dr. Osman, usuaria es evaluada sin embargo sin evaluación en sistema, me comunico vía telefonica me indica que Dr. Osman le dejo exs. sangre para 11/7 y estudio TAC cara,maxilo y cuello. (15/7 se entrega orden en modulo onco)  17/7 se devuelve orden x valor de creatinina, 18/7 Dr. osman autoriza orden sin contraste .14/8 se recibe resultado. 19/8 se realiza gendamiento para el día 6/9 15:00hrs c/Dr. OSMAN, sin embargo se cancela poli. 10/9 se reagenda para el 24/9 10:00hrs c/Dr. OSMAN, evaluado TAC y bp sin recidiva, se plantea imiquimido y citar en 3 meses. 02/12 se cita a control para el 10/12 10:00hrs c/Dr OSMAN, NSP pero acudio el 04/12, shavo+electrocoagulación, citar en 3 meses (marzo/2025)//</t>
    </r>
    <r>
      <rPr>
        <sz val="11"/>
        <color rgb="FFFF0000"/>
        <rFont val="Calibri"/>
        <family val="2"/>
        <scheme val="minor"/>
      </rPr>
      <t>28-3, TUVO CONTROL EN ENERO, CITA EN 6 MESES CON DR OSMAN</t>
    </r>
  </si>
  <si>
    <t>citado el 01-12</t>
  </si>
  <si>
    <t>SERGIO HERNÁNDEZ OYANEDEL</t>
  </si>
  <si>
    <t>TU Cervical posterior</t>
  </si>
  <si>
    <r>
      <t>Seguimiento Enf: 15/10 tomo conocimiento de caso, recibo llamado desde imagenología informando resultado crítico en TAC cuello c/c, estudio caso, usuario en atenciones por cirugia adulto por tumor cervical posterior, tuvo evaluaciones por cirujano cabeza y cuello quien solicitó cintigrama oseo (listo), última evaluación se le solicitó TAC cuello que evidencia, entre otros, gran lesión cervical posterior con sospecha neoproliferativa. P) CITAR c/DR RAMOS. 18/10 se cita a usuario para el 24/10 15:30hrs c/Dr RAMOS, evaluado con aumento de masa cervical post., se solicita PAAF (priorizada en modulo) y con resultado citar con Dr. OYARZUn, se tomó PAFF el 16/11, pend biopsia, 02/12 se prioriza biopsia. P) CITAR c/resultados.</t>
    </r>
    <r>
      <rPr>
        <sz val="11"/>
        <color rgb="FF00B0F0"/>
        <rFont val="Calibri"/>
        <family val="2"/>
        <scheme val="minor"/>
      </rPr>
      <t xml:space="preserve"> --&gt; 17/01 se revisa bp, aun pend y se vuelve a priorizar (31/01 aun pend) // </t>
    </r>
    <r>
      <rPr>
        <sz val="11"/>
        <color rgb="FFFF0000"/>
        <rFont val="Calibri"/>
        <family val="2"/>
        <scheme val="minor"/>
      </rPr>
      <t xml:space="preserve">28-3 BP LISTA , SE CITARA //31-3-25 via telefonica  hija refiere que lo esta atendiendo particular.  26-05 </t>
    </r>
    <r>
      <rPr>
        <sz val="11"/>
        <color theme="4"/>
        <rFont val="Calibri"/>
        <family val="2"/>
        <scheme val="minor"/>
      </rPr>
      <t>seguira por fuera</t>
    </r>
    <r>
      <rPr>
        <sz val="11"/>
        <color rgb="FFFF0000"/>
        <rFont val="Calibri"/>
        <family val="2"/>
        <scheme val="minor"/>
      </rPr>
      <t xml:space="preserve"> // </t>
    </r>
  </si>
  <si>
    <t>EVALUAR SI SEGUIRA POR FUERA</t>
  </si>
  <si>
    <t>SILVIA CORTES PIZARRO</t>
  </si>
  <si>
    <t>MELANOMA INVASOR</t>
  </si>
  <si>
    <t>Cirugia ampliación y representar con biopsia</t>
  </si>
  <si>
    <r>
      <t>Seguimiento Enf: Se realiza seguimiento de caso, paciente sin atenciones en 2024, se presenta para comité de CyC el 23/02/24, se indica cirugia de ampliación y representar a comité. 24/4 se realiza seguimiento, me comunica hija cuidadora principal que en entrega resolución en febrero/24 rechazaron Cx y se indico continuar con curaciones en combarbalá (sin registro). 13/5 Se cita a paciente para el 16/5 15:00hrs para ingreso a CPYAD por rechazo de resolución comité, se estipula control en 6 meses 30/10 se agenda para el 05/11 16:00hrs c/Dr RAMOS, evaluado se solicita TAC cerebro,cara,cuello y tórax, sin embargo pcte rechaza cirugía nuevamente. 25/11 se recibe resultado tac cabeza y culloe, se cita x Dr RAMOS para el 28/11 16:30hrs, evaluada pero sin indicaciones, recepciono orden de PAAF y la entrego en modulo. P) Citar con resultado PAAF.</t>
    </r>
    <r>
      <rPr>
        <sz val="11"/>
        <color rgb="FFFF0000"/>
        <rFont val="Calibri"/>
        <family val="2"/>
        <scheme val="minor"/>
      </rPr>
      <t xml:space="preserve">//1-4-25 se cito pero la cancelaron sin a visarme, paciente ya estaba aca. </t>
    </r>
    <r>
      <rPr>
        <sz val="11"/>
        <color rgb="FF003366"/>
        <rFont val="Calibri"/>
        <family val="2"/>
        <scheme val="minor"/>
      </rPr>
      <t>PCTE EVALUADA POR DR. RAMOS QUIEJN INDCIA PET-CT. 26/06 SE TOMA PET -CT P) CITAR CON INFORME</t>
    </r>
  </si>
  <si>
    <t>SILVIA TAPIA MAMANI</t>
  </si>
  <si>
    <t>NODULO HIPOECOGÉNICO, TIRADS 3</t>
  </si>
  <si>
    <r>
      <rPr>
        <sz val="11"/>
        <color theme="1"/>
        <rFont val="Calibri"/>
        <family val="2"/>
        <scheme val="minor"/>
      </rPr>
      <t>Seguimiento Enf: 17/7 tomo conocimiento de caso, usuaria con atenciones previas con Dr. Oyarzún en 2021, se mantenía en seguimiento cada 6 meses con ecografía tiroidea (realizada fines 2021), sin embargo posteriormente sin controles por CYC, actualmente acudió a control con Dr. osman y pasó a consultar en modulo oncológico por atenciones de CYC. 22/7 se realiza agendamiento para el 23/7 14:30hrs c/Dr. Ramos, evaluado, se solicita eco tiroides y citar c/resultado. (21/8 aun no se toma, se prioriza). 27/8 se recibe resultado de eco. 30/8 se realiza agendamiento para el 3/9 11:30hrs, evaluada, se evalua eco cervical (tirads-3) y se plantea control en 6 meses c/eco tiroides. P) CITAR EN MARZO/2025//</t>
    </r>
    <r>
      <rPr>
        <sz val="11"/>
        <color rgb="FFFF0000"/>
        <rFont val="Calibri"/>
        <family val="2"/>
        <scheme val="minor"/>
      </rPr>
      <t>no tiene eco tomada</t>
    </r>
  </si>
  <si>
    <t>SOFANOR LOYOLA CASTILLO</t>
  </si>
  <si>
    <t>CARCINOMA BASOCELULAR TIPO ADENOESCAMOSO</t>
  </si>
  <si>
    <t xml:space="preserve">cirugía y representar con biopsia </t>
  </si>
  <si>
    <r>
      <t xml:space="preserve">Seguimiento Enf: 5/4 se recibe informe anatopatológico ( Carcinoma basocelular tipo adenoescamoso), pcte Evaluado por Dr. Ramos, que indica la realización de exámenes (listos) + toma de TAC c/c (tomado 23/4 pend. informe). 10/5 Se cita a pcte con Dr. Ramos para 15/5 16:00hrs para evaluacion de TAC c/c + exs listos. Se evalúa TAC de pcte  que evidencia carcinoma basocelular ala nasal izq°, se plantea PRESENTAR A COMITÉ CyC, se deja IC a otorrino por seno maxilar izq°. 24/5 se cita para 30/5 para </t>
    </r>
    <r>
      <rPr>
        <sz val="11"/>
        <rFont val="Calibri"/>
        <family val="2"/>
        <scheme val="minor"/>
      </rPr>
      <t>entrega resolucion comite oncologico CyC. Se entrega resolución, se llena ficha preqx. 4/6 se prioriza IC a Otorrino (26/6 evaluado). Hoy 10/6 se entrega C.I. + antecedentes a unidad preqx (Deissy). P) Int. Qx. (17/10 se actualizan exs preop + ECG). P) citar c/dr Oyarzun. 18/10 se cita c/dr Oyarzun el 23/10 16:30hrs, evaluado se solicita IC a anestesista (se prioriza c/ u.preqx. para programar cirugía, se da aviso a preqx para citación. P) ev. x anestesista e  INT QX --&gt; 31/01 usuaria no entregó decisión de operarse o no. P) Citar c/Dr Oyarzun vs seguimiento pcte</t>
    </r>
    <r>
      <rPr>
        <sz val="11"/>
        <color rgb="FF00B0F0"/>
        <rFont val="Calibri"/>
        <family val="2"/>
        <scheme val="minor"/>
      </rPr>
      <t xml:space="preserve">. </t>
    </r>
    <r>
      <rPr>
        <b/>
        <sz val="11"/>
        <color theme="4"/>
        <rFont val="Calibri"/>
        <family val="2"/>
        <scheme val="minor"/>
      </rPr>
      <t>se cita nuevamente con dr. oyarzun quien deriva a cardiologo. cardiologo indica que debe operarse en HLS para postoperatorio. evañluado el 21/07 con dr. ramos a quien indica que no se va a operar.</t>
    </r>
  </si>
  <si>
    <t>CPE /PRESENTAR A COMITÉ??</t>
  </si>
  <si>
    <t xml:space="preserve">STALIN BUSTAMANTE GALLEGUILLOS </t>
  </si>
  <si>
    <t>carcinoma epidermoide infiltrante en helix superior izq°</t>
  </si>
  <si>
    <t>1. Evaluacion en hospital La Serena.
2.- Evaluar factibilidad técnica de cirugía y re presentar con biopsia</t>
  </si>
  <si>
    <r>
      <rPr>
        <sz val="11"/>
        <color theme="1"/>
        <rFont val="Calibri"/>
        <family val="2"/>
        <scheme val="minor"/>
      </rPr>
      <t>Seguimiento Enf: 8/10 tomo conocimiento de caso, fue evaluado en Octubre/2024 por dermatólogo con resultado de biopsia extrasistema positiva a carcinoma epidermoide en hélix superior izq° (falta informe en ficha clínica), se solicitan estudios TAC TAP y se deriva a atenciones a CYC. (17/10 se prioriza informe TAC cerebro,cara,cuello y tórax, 21/10 listo) P) CITAR c/DR. RAMOS/Oyarzun. 21/10 seguimiento, usuario hospitalizado en Pensionado por lesión helix sup infectada, ingresado por otorrino. 30/10 se realiza agendamiento para el día 08/11 15:00hrs c/Dr RAMOS, evaluado se solicita RM cerebro+oido izq (tramitados x modulo). P) citar c/resultados. 21/11 usuario acudió a tomarse RM sin embargo tiene bala incrustada y no se la pueden tomar. 22/11 se agenda c/Dr Ramos para el 28/11 16:00hrs, s</t>
    </r>
    <r>
      <rPr>
        <b/>
        <sz val="11"/>
        <color theme="1"/>
        <rFont val="Calibri"/>
        <family val="2"/>
        <scheme val="minor"/>
      </rPr>
      <t xml:space="preserve">e define citar con DR. OYARZUN. </t>
    </r>
    <r>
      <rPr>
        <sz val="11"/>
        <color theme="1"/>
        <rFont val="Calibri"/>
        <family val="2"/>
        <scheme val="minor"/>
      </rPr>
      <t>29/11 se cita para el 03/12 15:00hrs c/Dr OYARZUN, evaluado se solicita PET-CT (se tomara pet particular, se avisa a paciente que acuda con resultado), con resultado presentar a COR CYC. 09/12 hija de usuario informa que ya se realizó estudio, P) traer PET (listo) y citar c/Dr Oyarzun para comité CYC.</t>
    </r>
    <r>
      <rPr>
        <b/>
        <sz val="11"/>
        <color theme="1"/>
        <rFont val="Calibri"/>
        <family val="2"/>
        <scheme val="minor"/>
      </rPr>
      <t xml:space="preserve"> 30/12 se consulta a dr. Oyarzun indica citar c/dr RAMOS,</t>
    </r>
    <r>
      <rPr>
        <sz val="11"/>
        <color theme="1"/>
        <rFont val="Calibri"/>
        <family val="2"/>
        <scheme val="minor"/>
      </rPr>
      <t xml:space="preserve"> citado el 03/01/25 15:00hrs c/Dr RAMOS. </t>
    </r>
    <r>
      <rPr>
        <sz val="11"/>
        <color rgb="FF00B0F0"/>
        <rFont val="Calibri"/>
        <family val="2"/>
        <scheme val="minor"/>
      </rPr>
      <t>03/01 se ingresa a CPYAD, evaluado se indica presentar a comité CyC.  10/01 se cita cupo comité el dia 15/01 16:30hrs c/Dr RAMOS, luego presentar CyC. 17/01</t>
    </r>
    <r>
      <rPr>
        <sz val="11"/>
        <rFont val="Calibri"/>
        <family val="2"/>
        <scheme val="minor"/>
      </rPr>
      <t xml:space="preserve"> fue presentada a COR cabeza y cuello</t>
    </r>
    <r>
      <rPr>
        <sz val="11"/>
        <color rgb="FF00B0F0"/>
        <rFont val="Calibri"/>
        <family val="2"/>
        <scheme val="minor"/>
      </rPr>
      <t>, se sube resolución de comite. 20/01 se llama para agendar entrega resolución sin embargo usuario hospitalizado en servicio urgencia, se difiere agendamiento ante evolución clínica de usuario. --&gt; usuario fue visto por Dr. oyarzun y lo entrará a pabellón de urgencia. P) consutlar dr. oyarzunr. 30/01 llama Caro HLS informando que hija de usuario solicita hora x otorrino y cirujan oCyC. P) agendar c/Dr OYarzun para emitir IC correpsondientes.</t>
    </r>
  </si>
  <si>
    <t xml:space="preserve">EN CURACIONES EN HLS </t>
  </si>
  <si>
    <t xml:space="preserve">Stalin Contreras Zepeda </t>
  </si>
  <si>
    <t xml:space="preserve">CARCINOMA BASOCELULAR DE NARIZ </t>
  </si>
  <si>
    <t>Seguimiento Enf: Paciente evaluado por Dr. Ramos el 4-1-24, se indica TAC DE MACISO FACIAL, CEREBRO Y CUELLO (no disponible en synapse ni en documentos modulo) Se consulta a pcte (ateinde esposa Ana) quien refiere tener orden de TAC, se entrega orden, se toma el 5/4. Citar c/dr. ramos con informe de tac y Presentar a comité para ampliación de márgenes. Se cita para 18/4 15 hrs para ev. de tac, se evalua y se indica presentar a comité el 26/4. 10/5  Se cita a pcte con Dr. Ramos para 15/5 15:00hrs para entrega resolucion comité oncologico. 16/5 paciente asistió a control c/Dr. Ramos, se realiza entrega resolución comité oncológico --&gt; Plan Seguimiento en 6 meses (Noviembre/2024). 04/11 se realiza agendamiento para el día 08/11 15:30hrs c/Dr RAMos para seguimiento, evaluado sin recidiva, se solicita TAC(en módulo). P) CITAR c/RESULTADOS. 22/11 se tomo hoy TAC, P) priorizar y citar c/Dr RAMOS. 29/11 se recibe resultado TAC informado, se cita para el 03/12 14:30hrs c/dr RAMOS, evaluado TAC sin recidiva, control en 6 meses (Junio/2025). SE CITA EN DOS OPORTUNIDADES EN JUNIO PERO PACIENTE NSP POR LLUVIA. SE REAGENDA POR TERCERA VEZ EL 02/07 DOCTOR INDICA CONTROL CON TAC CON CONTRASTE Y POSTERIOR A ELLO DE ACUERDO RESULTADOS DE TAC PASAR CONTROLE A ANUALES.</t>
  </si>
  <si>
    <t>CITAR EN SEPTIEMBRE 2026</t>
  </si>
  <si>
    <t>SUSANA CHACANA</t>
  </si>
  <si>
    <t>Nódulo Tiroideo (coloideo bethedas 2) tirads 2</t>
  </si>
  <si>
    <t>Seguimiento Enf: Paciente fue evaluada el 2/5 por Dr. Ramos, en la cual se evalua bp con resutlado benigno y se plantea resolución quirúrgica Tiroidectomia total, se firma consentimiento, se llena ficha y se lleva a U. preqx. 20/5 paciente discutida en reunión imagenología, se resuelve citar con Dr. Ramos para el 23/5 14:30hrs sin embargo se cancela por PA. 31/5 se reagenda paciente para 3/6 12:00hrs con Dr. Ramos, se reagenda paciente para el 6/6 10:50hrs, pcte confirma asistencia, se reagenda para el 10/6 12:00hrs. Paciente evaluado por dr. ramos, se firma C.I. 22/11 se agenda con dr oyarzun para el 26/11 16:30hrs, evaluada se indica repetir PAAF. P) CITAR c/RESULTADO (bp de paaf)  --&gt; P) citar c/Dr Oyarzun ( no solicitó estudio)</t>
  </si>
  <si>
    <t>TERESA ASTORGA ARAYA</t>
  </si>
  <si>
    <t>CARCINOMA BASOCELULAR MORFEIFORME</t>
  </si>
  <si>
    <t xml:space="preserve">Intervención quirurgica </t>
  </si>
  <si>
    <t>Seguimiento Enf: Se realiza seguimiento de caso, paciente con estudios realizados (bp post-op lista), pendiente representar a comité con planteamiento de seguimiento. Evaluado x Dr. Ramos el 2/4 se solicita TAC maciso facial y cuello c/c y control c/resultados. 24/4 se recibe informe de eco, se cita con Dr. Ramos para 2/5, se revisa TAC sin evidencia malignidad, se estipula control en 6 meses, se deja IC a Otorrino priorizada 6/5 con hora para 11/5 11hrs. P) Citar en Noviembre/2024. 28/10 se realiza agendamiento para el 29/10 16:30hrs c/Dr RAMOS, evaluada se estipula control en 1 año. P) CITAR OCTUBRE/2025 a CyC</t>
  </si>
  <si>
    <t>CITAR EN OCTUBRE</t>
  </si>
  <si>
    <t>TOMAS ELGUETA PIZARRO</t>
  </si>
  <si>
    <t>CARCINOMA BASOCELULAR NODULAR EN PARANASAL IZQ°</t>
  </si>
  <si>
    <r>
      <rPr>
        <sz val="11"/>
        <color theme="1"/>
        <rFont val="Calibri"/>
        <family val="2"/>
        <scheme val="minor"/>
      </rPr>
      <t xml:space="preserve">Seguimiento Enf: 5/7 tomo conocimiento de caso, usuario en controles con Dr. Osman Cortés visto en Abril/2024, se evaluó lesión en dorso nasal izq° y se solicita exeresis en pabellón cirugía menor, procedimiento realizado el 12/Junio. Hoy se recibe resultado de biopsia que evidencia Carcinoma basocelular. 9/7 se realiza agendamiento para el día 12/7 15:00hrs c/dr.Osman, evaluado, se estipula control en 3 meses ( CITAR EN OCTUBRE/2024). 30/9 se cita para control el 25/10 15:00hrs c/Dr. OSMAN, pero se cancela poli. 25/10 se realiza reagendamiento para el día 06/11 15:00hrs, pero NSP. </t>
    </r>
    <r>
      <rPr>
        <sz val="11"/>
        <color rgb="FF00B0F0"/>
        <rFont val="Calibri"/>
        <family val="2"/>
        <scheme val="minor"/>
      </rPr>
      <t>09/01 se reagenda citación para el día 16/01 15:00hrs c/dr OSMAN, pero NSP. P) REAGENDAR X ULTIMA VEZ. 20/01 se reagenda para el 31/01 15:00hrs c/Dr OSMAN (se avisa en caso de inaistencia)</t>
    </r>
    <r>
      <rPr>
        <b/>
        <sz val="11"/>
        <color theme="4"/>
        <rFont val="Calibri"/>
        <family val="2"/>
        <scheme val="minor"/>
      </rPr>
      <t xml:space="preserve"> EV POR DOCTOR CONTROL EN 1 AÑO</t>
    </r>
  </si>
  <si>
    <t>CONTROL 1 AÑO</t>
  </si>
  <si>
    <t>CITAR EN ENERO 2026</t>
  </si>
  <si>
    <t>Verónica Rivera Briones</t>
  </si>
  <si>
    <t>Nodulo coloideo involutivo tirads 3</t>
  </si>
  <si>
    <t>Confirmación /Etapificación</t>
  </si>
  <si>
    <t>Seguimiento Enf: 5/6 tomo conocimiento de caso, paciente estuvo en controles con Dr. Scarton en mayo/2023, en seguimiento con ecotomografia tiroideas  con nodulo tiroides izq° que se observa como posible nodulo coloideo involutivo, manteniéndose en vigilancia activa tirads-3, posteriormente sin controles. 22/7 se realiza agendamiento con Dr. Ramos para el 25/7 16:00hrs, sin embargo NSP. 9/8 se realiza reagendamiento para el 13/8 15:00hrs, es evaluada, se le solicita eco tiroides y citar c/resultados. (25/9 aun pend. toma) 14/11 se realiza seguimiento, me comunico con hija que indica usuaria tiene malo celular y mala señal, se contactará con ella para retomar atenciones y/o tomar eco tiroideos pendiente. P) Seguimiento vs citar c/resultados.//</t>
  </si>
  <si>
    <t>CONTACTAR PARA RETOMAR ATENCIONES</t>
  </si>
  <si>
    <t xml:space="preserve">VICTOR ORREGO VARGAS </t>
  </si>
  <si>
    <t>CARCINOMA BASOCEULAR PUNTA NASAL</t>
  </si>
  <si>
    <r>
      <t>Seguimiento Enf: Paciente en controles c/ Dr.Ramos, último control el 7/3 donde se revisa bp (CBC nasal), se solicita TAC CyC (listo). Se agenda c/ Dr. Ramos 4/4 16:00 hrs. Se evalua TAC y se indica Presentar a comité el 19/4, se presenta se indica Cx reconstrucción y representar con bp. 27/5 se cita a paciente para entrega de resolución comité oncológico para el 30/5/2024 16:30hrs. 31/5 paciente no asistió a control.  19/6 intento contacto telefónico sin embargo no responde para agendar control. 12/7 se intenta llamado para citar, no responde. P) Seguimiento vs consultar c/Dr. Ramos. 21/8 se consulta caso con Sergio T. para realizar VDI y actualizar estado de usuario. 26/9 recibo novedades que usuario se mantiene solo y en malas condiciones con edema en ee.ii., vuelve a llamar Sergio informando que viene a SUR en HOV por hernia inguinal con dehisencia. 05/10 hospitalizado en MQ2, operado el 27/9 operado por Hernia, laparotomia, está con drenaje, con sonda naso., se avisará a médico tratante para evaluar a usuario. 14/10 se agenda para el 18/10 14:00hrs c/Dr RAMOS, evaluado se entrega resolución, se llena ficha clinica y se envia a u.preqx, en relación a zona inguinal continuará con curaciones. P) INT QX. 14/11 se revisa caso, usuario fue evaluado el 05/11 x dra cofre quien decide diferir intervención 1 mes por reciente antecedente de cx. riesgo intermedio. 05/12 paciente programable. P) INT QX.</t>
    </r>
    <r>
      <rPr>
        <sz val="11"/>
        <color rgb="FFFF0000"/>
        <rFont val="Calibri"/>
        <family val="2"/>
        <scheme val="minor"/>
      </rPr>
      <t xml:space="preserve">3-4-25 op 24-2-25, llego bp, citar con medico. </t>
    </r>
    <r>
      <rPr>
        <b/>
        <sz val="11"/>
        <color theme="4"/>
        <rFont val="Calibri"/>
        <family val="2"/>
        <scheme val="minor"/>
      </rPr>
      <t xml:space="preserve">se cita con Dr. Oyarzun el 08/04, se presenta a comite el 11/04. </t>
    </r>
  </si>
  <si>
    <t>PRIORIZAR IC OTORRINO/ CITAR EN MARZO 2026</t>
  </si>
  <si>
    <t xml:space="preserve">VICTOR PIZARRO ROJAS </t>
  </si>
  <si>
    <t>TUMOR DE LABIO</t>
  </si>
  <si>
    <t>PACIENTE OPERADO POR TU DE LABIO, LLEGA RESULTADO DE BIOPSIA. PENDIENTE CITAR</t>
  </si>
  <si>
    <t>CITAR BP OK</t>
  </si>
  <si>
    <t>WALDO TELLO ROJAS</t>
  </si>
  <si>
    <r>
      <rPr>
        <sz val="11"/>
        <color theme="1"/>
        <rFont val="Calibri"/>
        <family val="2"/>
        <scheme val="minor"/>
      </rPr>
      <t xml:space="preserve">Seguimiento Enf:  Paciente evaluado el 10/05 por Dr. Osman, se evalua bp con ampliacion No se identifican evidencias de neoplasia maligna residual en los cortes histológicos examinados Tac cabeza y cuello: carcinoma espinocelular operado sin evidencia de diseminación local ni a distancia.  Proximo control en 3 meses (citar en agosto/2024) 24/7 se llama, usuaria debe ser citado el L-M-V por locomoción. 10/9 se realiza agendamiento para el 25/9 11:00hrs c/Dr. OSMAN, evaluado sin recidiva, se plantea control en 6 meses. P) </t>
    </r>
    <r>
      <rPr>
        <sz val="11"/>
        <color rgb="FFFF0000"/>
        <rFont val="Calibri"/>
        <family val="2"/>
        <scheme val="minor"/>
      </rPr>
      <t>CITAR EN MARZO/2025 c/Dr. OSMAN</t>
    </r>
  </si>
  <si>
    <t>WALTER CORTES ROJAS</t>
  </si>
  <si>
    <t>OBS TU PAROTIDA.</t>
  </si>
  <si>
    <r>
      <t>Seguimiento Enf: 26/11 tomo conocimiento de caso,  usuario recientemente evaluado en consulta cabeza y cuello por hiperparatiroidismo secundario (x dr Ramos el 14/11), se indicó resolución quirúrgica (paratiroidectomia) set qx en u.preqx. Se ingresa a bajo control cabeza y cuello, corresponde agendamiento con cirujano cabeza y cuello. 29/11 s</t>
    </r>
    <r>
      <rPr>
        <sz val="11"/>
        <rFont val="Calibri"/>
        <family val="2"/>
        <scheme val="minor"/>
      </rPr>
      <t>e cita para el día 03/12 16:00hrs c/Dr OYARZUN, evaluado se solicita evaluación por anestesista, fecha prob. de cx el 23/12. 30/12 usuario ingresado en piso MQ1 postoperado parotidectomia, se tomó biopsia. P)priorizar bp parotida y con resultado citar a poli CyC --&gt; 15/01 se consulta a anatopato, me indica que tiene bp rapida sin embargo tiene una diferida que está en revisión x Dra Garzon. P) consultar inicios febrero. 21/01 evaluado x dr oyarzun alta hospitalizad, se prioriza IC a nefro (pend hora). Corresponde agendamiento con biopsia definitiva de parótida. (ya priorizada)</t>
    </r>
    <r>
      <rPr>
        <sz val="11"/>
        <color rgb="FF00B0F0"/>
        <rFont val="Calibri"/>
        <family val="2"/>
        <scheme val="minor"/>
      </rPr>
      <t xml:space="preserve">. </t>
    </r>
    <r>
      <rPr>
        <sz val="11"/>
        <color rgb="FFFF0000"/>
        <rFont val="Calibri"/>
        <family val="2"/>
        <scheme val="minor"/>
      </rPr>
      <t>citar bp en sistema</t>
    </r>
    <r>
      <rPr>
        <sz val="11"/>
        <color theme="1"/>
        <rFont val="Calibri"/>
        <family val="2"/>
        <scheme val="minor"/>
      </rPr>
      <t>.</t>
    </r>
    <r>
      <rPr>
        <b/>
        <sz val="11"/>
        <color theme="4"/>
        <rFont val="Calibri"/>
        <family val="2"/>
        <scheme val="minor"/>
      </rPr>
      <t xml:space="preserve"> CITADO 23/04/25. EVALUA DR. RAMOS, BP SIN SIGNOS DE MALIGNIDAD... ALTA POR CyC??</t>
    </r>
  </si>
  <si>
    <t>WILSON CONTRERAS MIRANDA</t>
  </si>
  <si>
    <t>CARCINOMA FOSA NASAL DERECHA</t>
  </si>
  <si>
    <t>Seguimiento Enf: Paciente presentado a comité 23-02-24 se estipula cuidados paliativos exclusivos, además de radioterapia, la cual va a iniciar 33 sesiones en Valparaiso en semana 18/3. Pendiente seguimiento fines de abril. 14/4 AÚN EN RDT 24/4 se llama s/resp. 18/6 se intetan realizar contacto telefónico, sin recibir respuesta. 11/7  logro realizar seguimiento, usuario culminó RDT el 4/6 y tuvo control con Dr. Bermeo en HLS quien indica control en septiembre/2024 para definir conducta, se gestiona con CPYAD hora para usuaria ya que se encuentra con dolor en ojo D°. P) Avisar en Agosto/septiembre a HLS para control c/Dr. Bermeo. 14/11 seguimiento tuvo control en septiembre y  proximo control para enero/2025, sin recidiva en buenas condiciones, acudirá a solicitar control CPYAD pendiente de octubre, usuario en BCG. P) Seguimiento enero 2025 y observar atenciones x CPYAD.</t>
  </si>
  <si>
    <t>4 MESES</t>
  </si>
  <si>
    <t>DR. BERMEO</t>
  </si>
  <si>
    <t>CONTROL 21/10 CON DR. BERMEO</t>
  </si>
  <si>
    <t>XIMENA  MUNDACA ROJAS</t>
  </si>
  <si>
    <r>
      <t xml:space="preserve">Seguimiento Enf: Paciente evaluado el 31/1/24 por Oftalmología (DRA. Gonzalez Mora), se propone control en 6 meses (Julio/2024), 18/6 visto por dermatología por CA parpado D° operado, sin signos recidiva, se indica control en 6 meses. (Citar en Diciembre/2024 c/dr. Osman). Hoy 11/7 me comunico con oftalmo para que tenga control en Julio, se citara x plan 500. P) hora (27/7 es evaluada por Dra. Gonzalez, se indica control en 6 meses. P) AVISAR para citar en Enero/2025 c/oftalmo). 26/12 se realiza agendamiento para el 31/12 10:00hrs c/dr OSMAN, </t>
    </r>
    <r>
      <rPr>
        <sz val="11"/>
        <color rgb="FF00B0F0"/>
        <rFont val="Calibri"/>
        <family val="2"/>
        <scheme val="minor"/>
      </rPr>
      <t>evaluada, se solicita exeresis en pabellón cx menor (02/01 se prioriza IC, se recibe hora el 08/01.).--&gt; evaluado se realiza electrocoagulación de lesión en mejilla. P) CONSULTAR ANATOPATO x bp?.</t>
    </r>
    <r>
      <rPr>
        <b/>
        <sz val="11"/>
        <color theme="4"/>
        <rFont val="Calibri"/>
        <family val="2"/>
        <scheme val="minor"/>
      </rPr>
      <t>14/04 se llamaa anato no se encuentra bp</t>
    </r>
  </si>
  <si>
    <t>6 MESES OFT</t>
  </si>
  <si>
    <t>DRA. GONZALES / DR. OSMAN</t>
  </si>
  <si>
    <t>CITAR EN MAYO OFT / CONTROL ENERO DERMATO</t>
  </si>
  <si>
    <t>YENIFER AGUILERA POZO</t>
  </si>
  <si>
    <t>Bocio nodular D° + tumor paratiroideo Izq°</t>
  </si>
  <si>
    <r>
      <t>Seguimiento Enf: 24/06 tomo conocimiento de caso, usuaria previamente en seguimiento por Dra. Palma, quien por bocio nodular solicita la evaluación por parte de Cabeza y Cuello, fue evaluado por Dr. Azúa (CyC) en Agosto/2023, se solicitan pabellón para resolución quirúrgica sin embargo sin resolución, posteriormente es visto por Dr. César Ramos (CyC) en Mayo/2024, se conversó caso con endocrinología, imagenología y Dr. Scarton, se solicita ciurgía tiroidectomia total y paratiroidectomia izq°, se envían documentos correspondientes a unidad prequirúrgica y C.I. P) INT. QX. 15/10 evaluado por Dr. oyarzun se solicitó evaluación x endocrino (en atenciones, pendiente pase endocrinologia citado 19/11), calcicemia (ya realizada) y pase anestesia. Con eventual pase endocrino lo evaluarán por anestesia. P) INT QX. operada el 24/12, se mantiene en recuperación en MQ3 equilibrio de Calcio, se consulta a anatopato y tienen muestra de biopsia. P) Seguimiento x egreso de MQ3 y P) resultado de biopsia para agendamiento.</t>
    </r>
    <r>
      <rPr>
        <sz val="11"/>
        <color rgb="FF00B0F0"/>
        <rFont val="Calibri"/>
        <family val="2"/>
        <scheme val="minor"/>
      </rPr>
      <t xml:space="preserve"> --&gt; 15/01 evaluado por Dr. Oyarzun, se solicitan exs sangre y pendien resultado bp. P) priorizar Bp y citar c/resultado a dr. Oyaruzn.// 31-3-25 p) examenes y estudios de reestratificacion// </t>
    </r>
    <r>
      <rPr>
        <sz val="11"/>
        <color rgb="FFFF0000"/>
        <rFont val="Calibri"/>
        <family val="2"/>
        <scheme val="minor"/>
      </rPr>
      <t xml:space="preserve">ag 1-3-25// 3-4-25 PLAN: PRESENTAR A COMITÉ TIROIDES PARA DEFINIR RAI. SUSPENDER APORTE DE CALCIO.
MANTENER LVT. </t>
    </r>
    <r>
      <rPr>
        <sz val="11"/>
        <color theme="1"/>
        <rFont val="Calibri"/>
        <family val="2"/>
        <scheme val="minor"/>
      </rPr>
      <t>PCTE OPERADA, CON RADIO YODO YA EN CONTROL OCN ENDOCRINO</t>
    </r>
  </si>
  <si>
    <t>PCTE OPERADA EN CONTROL CON ENDOCRINO</t>
  </si>
  <si>
    <t>YOEL BLANCO</t>
  </si>
  <si>
    <t>PAPILOMA ESCAMOSO</t>
  </si>
  <si>
    <t>RADIOTERAPIA:
 Radioterapia Curativa exclusiva
Cuidados paliativos servicio de origen
Evaluacion nutricional, fonoaudiología y kinesiología servicio de origen.
RM Cabeza y cuello con contraste</t>
  </si>
  <si>
    <r>
      <rPr>
        <sz val="11"/>
        <color theme="1"/>
        <rFont val="Calibri"/>
        <family val="2"/>
        <scheme val="minor"/>
      </rPr>
      <t>Seguimiento Enf: 26/11 tomo conocimiento de caso, usuario con aumento de volumen cervical en estudio con TAC de cuello sugerente de neoplasia, usuario ya en controles por otorrinolaringología, usuario tiene IC a box adulto (cabeza y cuello), se prioriza IC con jefaLEconsultas. P) agendamiento x CyC y pendiente resultado biopsia amigdala derecha?? Consultar anatopato. 27/11 se recibe citación para CyC el 28/11 14:00hrs, pero NSP porque se estaba tomando pet-ct.29/11 REAGENDADO CON dr Ramos como sobrecupo 14:00hrs, evaluado pendiente resultado bp amigdala, se solicita pase dental (se prioriza IC a maxilofacial). 12/12 acude dra blanco a modulo con exs extrasistema, se recibe resultado bp positiva papiloma escamoso, pase dental listo. 13/12 se realiza agendamiento para el 18/12 15:00hrs c/Dr RAMOS, evaluado se define presentar a COR CYC el 20/12. 20/12 se presenta a comité, se realiza derivación a gestoras HLS para RDT, IC a kine,fono y nutri (pend x3) e ingreso CPYAD (pend). P) citar con Dr. Ramos entrega resolucion y solicitud de RM cabeza y cuello. 23/12 Dr. Ramos le entregó a Dra Blanco resolución, se tomará RM particular, derivación ya realizada. P) faltan IC según comité (kine, nutri y fono) solicitar a Dr. Ramos. 31/12 SE COMUNICA DRA BLANCO, usuario cuenta con RM realizada (P enviar x correo de solicitud RDT) y hará IC a fono, nutri y kine (pendiente priorizar).</t>
    </r>
    <r>
      <rPr>
        <sz val="11"/>
        <color rgb="FF00B0F0"/>
        <rFont val="Calibri"/>
        <family val="2"/>
        <scheme val="minor"/>
      </rPr>
      <t xml:space="preserve"> 06/01 se priorizan IC a box nutri, fono y kine (se recibe hora para el 07/01 y 08/01) y se envia correo a jefaLEconsultas y se envia RMN cerebro x correo. 16/01 se entrega IPD de ingreso a CPYAD.</t>
    </r>
  </si>
  <si>
    <t>PCTE EN CONTROLES EN HLS EN ENERO 2026</t>
  </si>
  <si>
    <t>ZACARIAS BARRAZA ASTUDILLO</t>
  </si>
  <si>
    <t>CARCINOMA ESPINOCELULAR en cuero cabelludo</t>
  </si>
  <si>
    <t>Seguimiento Enf: 03/01/25 tomo conocimiento de caso, usuario previamente evaluado por dermatólogo, usuario con CA espinocelular en cuero cabelludo, le solicitaron TAC cerebro,cara y cuello contrastada la cual se encuentra informada. Usuario acude a modulo oncológico para consultar por su proceso oncológico, se realiza agendamiento para el día martes 07/01 10:00hrs a consulta dermatología, se le indica a hija de usuaria traer resultado de biopsia para subir a ficha clínica, es evaluado con resultado de TAC, sin recidiva se estipula control en 6 meses (Julio/2025)</t>
  </si>
  <si>
    <t>ZOILA TAPIA VILLALOBOS</t>
  </si>
  <si>
    <t>CARCINOMA ESPINOCELULAR PUNTA NASAL</t>
  </si>
  <si>
    <t>Seguimiento en hospital de origen (HOV)</t>
  </si>
  <si>
    <r>
      <t xml:space="preserve">Seguimiento Enf: Visto el 02/2/24 por Dr. Ramos quien indica toma de TAC maciso-facial y cuello (listo). El 14/3 asiste a control c/ Dr. Ramos para entrega resolución comité y evaluación de imágenes. Se indica Cx, se firma consentimiento informado enviado a unidad preqx. 17/4 paciente será operada el 27/4 por dr. ramos/scarton/oyarzun. Se realiza control post op 3/5 RESECCIÓN AMPLIA + INJERTO DERMOEPIDERMICO, aposito de aspecto vital s/signos infección, se indica control en 2 semanas. Se cita para control el 20/5 con Dr. Ramos, paciente hay que citarla prox semana y luego presentar a comité oncólogico. 24/5 se cita a paciente con Dr. Ramos para el 30/5 14:30hrs. Se presenta paciente a COR, se decide seguimiento onco en HOV, se sube a sidra, a planilla derivación y correpsonde. Se cita para 3/6 entrega reoslución comité oncologico a las 11:00hrs, se reagenda cita para el 6/6 11:00hrs, se reagenda para el 10/6 12:30hrs. Paciente evaluado por Dr. Ramos, se indica control en 1 mes para control. 5/7 se realiza agendamiento para el 10/7 15:00hrs, se priorizan IC a Otorrino (citada 13/7) e IC a Neurología (citada 17/7). 11/7 la usuaria fue </t>
    </r>
    <r>
      <rPr>
        <sz val="11"/>
        <rFont val="Calibri"/>
        <family val="2"/>
        <scheme val="minor"/>
      </rPr>
      <t>evaluada en poli, se indica control en 6 meses (Citar en Enero/2025). 6/9 se realiza agendamiento para el 13/9 15:30hrs  x solicitud de Dr. RAMOS, evalujada se indica control c/dr acosta y dr escalona, y citar en enero/2025 c/dr RAMOS. 10/01 se realiza agendamiento para el 15/01 16:30hrs c/Dr OYARZUN, pero NSP? P) reagendar. --&gt; fue reagendada el 28/01, evaluada sin recidiva se solicito TAC cara c/c (consultar x orden). P) CITAR c/resultados c/Dr Ramos.</t>
    </r>
    <r>
      <rPr>
        <b/>
        <sz val="11"/>
        <color theme="4"/>
        <rFont val="Calibri"/>
        <family val="2"/>
        <scheme val="minor"/>
      </rPr>
      <t xml:space="preserve"> SE CITA EL 12/05 CON DR. RAMOS EVAÑLUA EXAMENE SE INDICA CONTROL EN 6 MESES</t>
    </r>
  </si>
  <si>
    <t>ZOILA VITALIA CASTILLO</t>
  </si>
  <si>
    <t>Seguimiento Enf: Se prioriza IC nefrologia para 22/3, evaluada por Dr. Mora, quien solicita evaluar posibilidad de realizar estudio para iniciar tto, además hace IC a Hematologia (IC se envia correo para priorizar el 3/4, P) respuesta 18/4. Pendiente definir conducta por médico tratante (Dr.Ramos), es evaluado el 2/5 por Dr. Ramos, paciente rechaza todo procedimiento qx, se plantea cuidados paliativos, además se cita para 9/5 por PB con Dr. Azúa, se le solicita TAC TAP sin contraste + laboratorios + biopsia.seguimiento  P) presentar a comité para CPE? consultar dr. Ramos. 18/6 se envió correo a Dr. Ramos para presentar a comité sin respuesta. 22/7 se cita 10:00hrs para confección de informe COR, se hace comité. 26/7 se presenta a COR CyC, se indica CPE, dr. ramos hace IPD ingreso a CPYAD. 29/7 se cita usuario para el 1/8 14:30hrs entrega resolución, se entrega resolución. Corresponde seguimiento controles por CPYAD (último control en Junio/2024). 24/9 último control por CPYAD actualización de receta, se mantiene estable. P) seguimiento diciembre. 30/12 se realiza seguimiento, usuaria en domicilio, se moviliza con apoyo, sin dolor pero está con repetición de receta por CPYAD con medicamentos para dolor, recibe asistencia desde CESFAM, en buenas condiciones generales dentro de su condición. P) Seguimiento ENERO/FEBRERO 2025</t>
  </si>
  <si>
    <t>CPE / SEGUIMIENTO</t>
  </si>
  <si>
    <t>ALEJANDRINA BUGUEÑO TALAMILLA</t>
  </si>
  <si>
    <t>ESTELA  MONTENEGRO RIVADENEIRA</t>
  </si>
  <si>
    <t xml:space="preserve">ANTONIA </t>
  </si>
  <si>
    <t>INES ESPINOSA IBAÑEZ</t>
  </si>
  <si>
    <t xml:space="preserve">
7080135</t>
  </si>
  <si>
    <t>CARCINOMA EPIDERMOIDE DE LA PIEL</t>
  </si>
  <si>
    <t>AMPLIAR MARGENES Y REPRESENTAR</t>
  </si>
  <si>
    <t>PACIENTE DERIVADA A CyC POR DERMATOLOGO, QUIEN FUE ATENDIDA POR DR. OYARZUN PRESENTANDO A COMITE E INDICANDO AMPLIACION DE MARGENES Y REPRESENTAR CON BIOPSIA</t>
  </si>
  <si>
    <t>CITAR CON BIOPSIA</t>
  </si>
  <si>
    <t>JUAN CAMPOS ROJAS</t>
  </si>
  <si>
    <t>CARCINOMA EPSINOCELUALR PABELLON PREAURICULAR</t>
  </si>
  <si>
    <t xml:space="preserve">ORLANDO ARAYA </t>
  </si>
  <si>
    <t xml:space="preserve">CEC PABELLON AURICULAR DERECHO </t>
  </si>
  <si>
    <t xml:space="preserve">PCIENTE CON </t>
  </si>
  <si>
    <t>PRESENTAR A COMITE CYC</t>
  </si>
  <si>
    <t xml:space="preserve">JAIME ANDRÉS ARDILES ACEITUNO </t>
  </si>
  <si>
    <t>ARCINOMA
ESPINOCELULAR	INFILTRANTE	MODERADAMENTE	DIFERENCIADO	Y	ULCERADO CLAVICULAR DERECHO</t>
  </si>
  <si>
    <t>AMPLIACION DE MARGENES</t>
  </si>
  <si>
    <t>EN ESPERA DE CIRUGIA</t>
  </si>
  <si>
    <t>PCTE CON BIOPSIA POR DERMATOLOGO INDICA CEC CLAVICULAR DERECHO, AMPLIA MARGENES INSUFICIENTES, SE DERIVA A CYC QUIEN PRESENTANA C OMITE Y DECIDEN AMPLAIR MARGENES CON PREVIA ETAPIFICACION. SET QX EN MQ1</t>
  </si>
  <si>
    <t>DR. AZUA /</t>
  </si>
  <si>
    <t>VERIFICAR SET MQ1 Y PEDIR CIRUGIA</t>
  </si>
  <si>
    <t>YAGODA MARCELLA BERNAL ROJAS</t>
  </si>
  <si>
    <t>NODULO TIROIDEO.</t>
  </si>
  <si>
    <t xml:space="preserve">CONTROL DEL DIA 04/02/2026 SE INDICA SOLICITUD DE PABELLON PARA TT </t>
  </si>
  <si>
    <t>DR OYARZUN</t>
  </si>
  <si>
    <t>AURELIO FLORES CARVAJAL</t>
  </si>
  <si>
    <t>CARCINOMA BSOCELUALR MORFEIFORME DORSO CUELLO</t>
  </si>
  <si>
    <t>EN ESPERA EVALUACION CYC</t>
  </si>
  <si>
    <t>PCTE EVALUADO POR DERMATOLOGO QUIEN TOMA BP Y EVALUA RESULTADO, DECIDE DERIVAR A CyC CON IC</t>
  </si>
  <si>
    <t>MARIA ANGEL ROJAS</t>
  </si>
  <si>
    <t>TUNOR TIROIDES BETHESDA IV, CELULAS DE HURTLE</t>
  </si>
  <si>
    <t xml:space="preserve">PACIENTE EVALUADA POR CIRUJANO CYC QUIEN INDICA CIRUGIA TT SE ENTREGA SET A PREQx. </t>
  </si>
  <si>
    <t>CITAR CON BP</t>
  </si>
  <si>
    <t>CITACION 30/12/2025</t>
  </si>
  <si>
    <t>NOMBRE</t>
  </si>
  <si>
    <t>RUN</t>
  </si>
  <si>
    <t>CITADO</t>
  </si>
  <si>
    <t>7828314-9</t>
  </si>
  <si>
    <t xml:space="preserve">LUIS TORREJON ROBLES </t>
  </si>
  <si>
    <t>12815149-4</t>
  </si>
  <si>
    <t>TUMOR CERVICAL</t>
  </si>
  <si>
    <t>14551834-2</t>
  </si>
  <si>
    <t>CITAR SEMANA DEL 5 DE ENERO</t>
  </si>
  <si>
    <t>agendado el 28/01</t>
  </si>
  <si>
    <t>6714728-6</t>
  </si>
  <si>
    <t xml:space="preserve">CARCINOMA CEJA </t>
  </si>
  <si>
    <t>CITAR SEMANA DEL 20 CON OYARZUN</t>
  </si>
  <si>
    <t>CITAR LUNES 01-12</t>
  </si>
  <si>
    <t>FECHA CITACION</t>
  </si>
  <si>
    <t>7568963-2</t>
  </si>
  <si>
    <t>6723775-7</t>
  </si>
  <si>
    <t>9726989-0</t>
  </si>
  <si>
    <t>5993352-3</t>
  </si>
  <si>
    <t>7176092-8</t>
  </si>
  <si>
    <t>11020756-5</t>
  </si>
  <si>
    <t xml:space="preserve">control en 6 meses, julio </t>
  </si>
  <si>
    <t>5536672-1</t>
  </si>
  <si>
    <t>11260849-4</t>
  </si>
  <si>
    <t>CITAR A CONTROL</t>
  </si>
  <si>
    <t>4591814-9</t>
  </si>
  <si>
    <t>EVALUAR LESION</t>
  </si>
  <si>
    <t>9333791-3</t>
  </si>
  <si>
    <t>EVALUAR EXAMENES</t>
  </si>
  <si>
    <t>4036023-9</t>
  </si>
  <si>
    <t>reagendar</t>
  </si>
  <si>
    <t>10527149-2</t>
  </si>
  <si>
    <t>BP OK</t>
  </si>
  <si>
    <t>alta 06-01-2026</t>
  </si>
  <si>
    <t>tac ok</t>
  </si>
  <si>
    <t>Listado de usuarios en espera de toma de BP</t>
  </si>
  <si>
    <t>nombre</t>
  </si>
  <si>
    <t>Run</t>
  </si>
  <si>
    <t>Diagnostico</t>
  </si>
  <si>
    <t xml:space="preserve">observacion </t>
  </si>
  <si>
    <t>PARTES BLANDAS</t>
  </si>
  <si>
    <t>EDUARDO AGUIRRE CARMONA</t>
  </si>
  <si>
    <t>4612794-3</t>
  </si>
  <si>
    <t>ENF de BOWEN en dorso</t>
  </si>
  <si>
    <t>se derivo a cx menor el 6-2-25</t>
  </si>
  <si>
    <t>ORLANDO ENRIQUE CORTEZ PASTÉN</t>
  </si>
  <si>
    <t>3793779-7</t>
  </si>
  <si>
    <t>6-2-25 se indico cx menor</t>
  </si>
  <si>
    <t>4112500-4</t>
  </si>
  <si>
    <t>dr osman indica exeresis</t>
  </si>
  <si>
    <t>alta por osman</t>
  </si>
  <si>
    <t>5841216-3</t>
  </si>
  <si>
    <t>DR RAMOS INDICA CX MENOR</t>
  </si>
  <si>
    <t>sin cx</t>
  </si>
  <si>
    <t>5747013-5</t>
  </si>
  <si>
    <t>extiroacion por cx menor, inasistente 2 veces s egreso ic</t>
  </si>
  <si>
    <t xml:space="preserve">paciente en antofa </t>
  </si>
  <si>
    <t>10619081-k</t>
  </si>
  <si>
    <t>bp de nariz</t>
  </si>
  <si>
    <t>cx menor ic</t>
  </si>
  <si>
    <t>sin cx rechazo primer agendamiento por cuidador con lumbago</t>
  </si>
  <si>
    <t>ERCIRA JIMENEZ ROJAS</t>
  </si>
  <si>
    <t>4297914-7</t>
  </si>
  <si>
    <t xml:space="preserve">LESION REGION MALAR </t>
  </si>
  <si>
    <t>se solicito cx menor y en 2 ocaciones se le ha cancelado</t>
  </si>
  <si>
    <t>se llama no contestan</t>
  </si>
  <si>
    <t>5127401-6</t>
  </si>
  <si>
    <t xml:space="preserve">DR. RAMOS INDICA Cx MENOR CON IC EN SISTEMA </t>
  </si>
  <si>
    <t>5443239-9</t>
  </si>
  <si>
    <t>Lesion descamativa y pigmentada preauricular izquierda.</t>
  </si>
  <si>
    <t xml:space="preserve">BP OK </t>
  </si>
  <si>
    <t>CIRUGIA MENOR</t>
  </si>
  <si>
    <t>Nombre</t>
  </si>
  <si>
    <t xml:space="preserve">INDICACION </t>
  </si>
  <si>
    <t>FALTA</t>
  </si>
  <si>
    <t>INTERCONSULTA A CIRUGÍA MENOR UPA PARA TOMA DE BIOPSIA INCISIONAL DE LESIÓN DE PIEL DE PUNTA NASAL. PCTE CON ANTECEDENTES DE LESION EN LABIO</t>
  </si>
  <si>
    <t>BIOPSIA TOMADA</t>
  </si>
  <si>
    <t>TUMOR EN PIEL DE LABIO SUPERIOR. DR. RAMOS INDICA EN MARZO/2025 CX MENOR Y LESION CON AUMENTO DE TAMAÑO. PCTE CON ANTECEDENTES RECIENTES DE ACV, ECOG 1, CON AFASIA MOTORA.</t>
  </si>
  <si>
    <t>LESIÓN ULCERADA, DE 1,5 CMS APROXIMADAMENTE EN PIEL DE ALA NASAL IZQUIERDA QUE IMPRESIONARA TOMAR TODO EL ESPESOR HASTA EL CARTILAGO NASAL, BIOPSIA INCISIONAL CON PUNCH EN CIRUGÍA MENOR.DR. RAMOS INDICA EN NOVIEMBRE 2024  (PCTE CON ALZHEIMER)</t>
  </si>
  <si>
    <t>12597681-6</t>
  </si>
  <si>
    <t>LESIONES NODULARES MELANOCITICAS EN AMBAS OREJAS.EVALUADO POR DR. RAMOS EN JUNIO/2025 INDICA CX MENOR</t>
  </si>
  <si>
    <t>4238572-7</t>
  </si>
  <si>
    <t>HUGO RAMÍREZ ÁLVAREZ</t>
  </si>
  <si>
    <t xml:space="preserve">Lesión en cuero cabelludo de 4 x 4 cms sobre levantada, ulcerada movil. SIN adenopatías en cuello. Dr. Ramos solicita cx menor. Evaluado el 09/12 </t>
  </si>
  <si>
    <t>15822058-k</t>
  </si>
  <si>
    <t>CRISTIAN JIMENEZCORNEJO</t>
  </si>
  <si>
    <t>Lesión plana ulkcerada de 5mm aprox en borde interno de labio a 5 mm de linea media a derecha, cuello sin adneopatías. Dr. Ramos indica Biopsia incisional de lesión en labio el 09/12</t>
  </si>
  <si>
    <t>4389616-4</t>
  </si>
  <si>
    <t>DR. OSMAN INDICA CX MENOR LESIONES PECTORAL  +- 1CM APROX EN JULIO 2025</t>
  </si>
  <si>
    <t>YA TOMADA POR OSMAN</t>
  </si>
  <si>
    <t>4212757-4</t>
  </si>
  <si>
    <t>DR. OSMAN INDICA Cx MENOR ANGULO MANDIBULAR D°</t>
  </si>
  <si>
    <t>4684346-0</t>
  </si>
  <si>
    <t>lesion pigmentada perlda de 0, 7 cm de diametro region malar derecha , lesion iden de 2 mm mejilla derecha y de +- 4 mmde diametro en menton // evañuado por osman en sep 2025</t>
  </si>
  <si>
    <t>4341553-0</t>
  </si>
  <si>
    <t>DR. OSMAN INDICA CX MENOR POR VERRUGAS FACIALES.</t>
  </si>
  <si>
    <t>4864087-7</t>
  </si>
  <si>
    <t>DR. OSMAN INDICA EXCERESIS VERRUGA FACIAL</t>
  </si>
  <si>
    <t>PENDIENTES</t>
  </si>
  <si>
    <t>PENDIENTE BIOPSIA  CEJA</t>
  </si>
  <si>
    <t>CBC ALA NASAL D°</t>
  </si>
  <si>
    <t>CONTROL   C Y C</t>
  </si>
  <si>
    <t>edad</t>
  </si>
  <si>
    <t>CON Dr.</t>
  </si>
  <si>
    <t>CONTROL EN MAYO</t>
  </si>
  <si>
    <t>OSMAN</t>
  </si>
  <si>
    <t>AGENDADO 15/07</t>
  </si>
  <si>
    <t>CARCINOMA BASOCELULAR NODULAR en dorso nasal</t>
  </si>
  <si>
    <t>AGENDADO 04/07</t>
  </si>
  <si>
    <t>CONTROL EN ABRIL</t>
  </si>
  <si>
    <t>agendada 04/07</t>
  </si>
  <si>
    <t>OSMAN// Y OTORRINO</t>
  </si>
  <si>
    <t>AGENDADO 01/07</t>
  </si>
  <si>
    <t>CITAR JUNIO</t>
  </si>
  <si>
    <t>AGENDADO 22/07</t>
  </si>
  <si>
    <t>GABRIELA DE LAS MERCEDES BUGUEÑO CISTERNAS</t>
  </si>
  <si>
    <t>CBC NODULAR, INFILTRANTE DERMIS RETICULAR EN BOZO</t>
  </si>
  <si>
    <t>CITADO 01/07</t>
  </si>
  <si>
    <t>no quiere atenciones por DERMATOLOGO</t>
  </si>
  <si>
    <t>CITAR ABRIL</t>
  </si>
  <si>
    <t>no quiere atenciones por el hospital</t>
  </si>
  <si>
    <t>CITAR MAYO</t>
  </si>
  <si>
    <t>no tiene acompañante el 11/08</t>
  </si>
  <si>
    <t xml:space="preserve">CITAR </t>
  </si>
  <si>
    <t>citada 12/08</t>
  </si>
  <si>
    <t>CBC</t>
  </si>
  <si>
    <t>CITAR TAC OK</t>
  </si>
  <si>
    <t>,</t>
  </si>
  <si>
    <t>JAIME ARDILES ACEITUNO</t>
  </si>
  <si>
    <t>ENFERMEDAD DE BOWEN</t>
  </si>
  <si>
    <t>COMITÉ CON TAC DE JULIO!!!</t>
  </si>
  <si>
    <t>DR. OYARZUN/ RAMOS</t>
  </si>
  <si>
    <t>p) ECO CUELLO PARA CONTROL</t>
  </si>
  <si>
    <t>p) ECO TIROIDES PARA CONTROL</t>
  </si>
  <si>
    <t>P) ECO DE CUELLO</t>
  </si>
  <si>
    <t>p) ECO TIROIDEA</t>
  </si>
  <si>
    <t>DR. AZUA INDICA ECO+ BP CON DERMATO</t>
  </si>
  <si>
    <t>JORGE SEGOVIA ALVAREZ</t>
  </si>
  <si>
    <t xml:space="preserve">P) ECO </t>
  </si>
  <si>
    <t>ROSA ROMERO ROJAS</t>
  </si>
  <si>
    <t>EDAD</t>
  </si>
  <si>
    <t>PENDIENTE CONTROL</t>
  </si>
  <si>
    <t>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</si>
</sst>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Calibri"/>
      <charset val="134"/>
      <scheme val="minor"/>
    </font>
    <font>
      <sz val="11"/>
      <color theme="1"/>
      <name val="Calibri"/>
      <scheme val="minor"/>
    </font>
    <font>
      <sz val="11"/>
      <color theme="1"/>
      <name val="Calibri"/>
      <family val="2"/>
      <scheme val="minor"/>
    </font>
    <font>
      <b/>
      <sz val="11"/>
      <color theme="1"/>
      <name val="Calibri"/>
      <family val="2"/>
      <scheme val="minor"/>
    </font>
    <font>
      <sz val="11"/>
      <name val="Calibri"/>
      <family val="2"/>
      <scheme val="minor"/>
    </font>
    <font>
      <sz val="11"/>
      <name val="Calibri"/>
      <family val="2"/>
    </font>
    <font>
      <b/>
      <sz val="11"/>
      <name val="Calibri"/>
      <family val="2"/>
      <scheme val="minor"/>
    </font>
    <font>
      <sz val="28"/>
      <color theme="0"/>
      <name val="Calibri"/>
      <family val="2"/>
      <scheme val="minor"/>
    </font>
    <font>
      <b/>
      <sz val="11"/>
      <color theme="1"/>
      <name val="Calibri"/>
      <family val="2"/>
    </font>
    <font>
      <sz val="11"/>
      <color rgb="FFFF0000"/>
      <name val="Calibri"/>
      <family val="2"/>
      <scheme val="minor"/>
    </font>
    <font>
      <b/>
      <sz val="11"/>
      <color rgb="FF000000"/>
      <name val="Calibri"/>
      <family val="2"/>
    </font>
    <font>
      <sz val="11"/>
      <color rgb="FF00B0F0"/>
      <name val="Calibri"/>
      <family val="2"/>
      <scheme val="minor"/>
    </font>
    <font>
      <sz val="12"/>
      <color theme="1"/>
      <name val="Calibri"/>
      <family val="2"/>
      <scheme val="minor"/>
    </font>
    <font>
      <b/>
      <sz val="14"/>
      <color theme="1"/>
      <name val="Calibri"/>
      <family val="2"/>
      <scheme val="minor"/>
    </font>
    <font>
      <sz val="11"/>
      <color rgb="FF000000"/>
      <name val="Calibri"/>
      <family val="2"/>
      <scheme val="minor"/>
    </font>
    <font>
      <sz val="11"/>
      <color rgb="FFFF0000"/>
      <name val="Calibri"/>
      <family val="2"/>
    </font>
    <font>
      <sz val="11"/>
      <color rgb="FF424242"/>
      <name val="Calibri"/>
      <family val="2"/>
      <scheme val="minor"/>
    </font>
    <font>
      <sz val="11"/>
      <color theme="4" tint="-0.249977111117893"/>
      <name val="Calibri"/>
      <family val="2"/>
      <scheme val="minor"/>
    </font>
    <font>
      <b/>
      <sz val="16"/>
      <color theme="1"/>
      <name val="Calibri"/>
      <family val="2"/>
      <scheme val="minor"/>
    </font>
    <font>
      <sz val="16"/>
      <color theme="1"/>
      <name val="Calibri"/>
      <family val="2"/>
      <scheme val="minor"/>
    </font>
    <font>
      <b/>
      <sz val="11"/>
      <color rgb="FF00B0F0"/>
      <name val="Calibri"/>
      <family val="2"/>
      <scheme val="minor"/>
    </font>
    <font>
      <b/>
      <sz val="11"/>
      <color theme="4"/>
      <name val="Calibri"/>
      <family val="2"/>
      <scheme val="minor"/>
    </font>
    <font>
      <b/>
      <sz val="11"/>
      <color rgb="FFFF0000"/>
      <name val="Calibri"/>
      <family val="2"/>
      <scheme val="minor"/>
    </font>
    <font>
      <sz val="11"/>
      <color rgb="FF00B0F0"/>
      <name val="Calibri"/>
      <family val="2"/>
    </font>
    <font>
      <b/>
      <sz val="11"/>
      <color theme="4"/>
      <name val="Calibri"/>
      <family val="2"/>
    </font>
    <font>
      <b/>
      <sz val="11"/>
      <color rgb="FFFF0000"/>
      <name val="Calibri"/>
      <family val="2"/>
    </font>
    <font>
      <b/>
      <sz val="11"/>
      <color theme="8"/>
      <name val="Calibri"/>
      <family val="2"/>
      <scheme val="minor"/>
    </font>
    <font>
      <sz val="11"/>
      <color theme="4"/>
      <name val="Calibri"/>
      <family val="2"/>
      <scheme val="minor"/>
    </font>
    <font>
      <sz val="10"/>
      <color rgb="FF4B4B4B"/>
      <name val="Arial"/>
      <family val="2"/>
    </font>
    <font>
      <sz val="11"/>
      <color theme="3"/>
      <name val="Calibri"/>
      <family val="2"/>
      <scheme val="minor"/>
    </font>
    <font>
      <sz val="8"/>
      <name val="Calibri"/>
      <family val="2"/>
      <scheme val="minor"/>
    </font>
    <font>
      <sz val="11"/>
      <color rgb="FF003366"/>
      <name val="Calibri"/>
      <family val="2"/>
      <scheme val="minor"/>
    </font>
    <font>
      <b/>
      <sz val="11"/>
      <color rgb="FF00B0F0"/>
      <name val="Calibri"/>
      <family val="2"/>
    </font>
    <font>
      <sz val="11"/>
      <color rgb="FF4B4B4B"/>
      <name val="Calibri"/>
      <family val="2"/>
      <scheme val="minor"/>
    </font>
    <font>
      <sz val="12"/>
      <color theme="1"/>
      <name val="Aptos"/>
      <family val="2"/>
    </font>
    <font>
      <b/>
      <sz val="22"/>
      <color theme="1"/>
      <name val="Calibri"/>
      <family val="2"/>
      <scheme val="minor"/>
    </font>
    <font>
      <sz val="10"/>
      <color rgb="FF666666"/>
      <name val="SourceSansPro-Regular"/>
    </font>
    <font>
      <sz val="9.9"/>
      <color rgb="FF666666"/>
      <name val="SourceSansPro-Regular"/>
    </font>
    <font>
      <sz val="10"/>
      <color theme="1"/>
      <name val="Verdana"/>
      <family val="2"/>
    </font>
    <font>
      <sz val="9"/>
      <color theme="1"/>
      <name val="Calibri "/>
    </font>
    <font>
      <sz val="11"/>
      <color theme="1"/>
      <name val="Calibri"/>
      <family val="2"/>
    </font>
    <font>
      <b/>
      <sz val="11"/>
      <color rgb="FFFFFFFF"/>
      <name val="Calibri"/>
      <family val="2"/>
    </font>
    <font>
      <b/>
      <sz val="12"/>
      <color rgb="FF4B4B4B"/>
      <name val="Calibri"/>
      <family val="2"/>
    </font>
    <font>
      <sz val="10"/>
      <color rgb="FF4B4B4B"/>
      <name val="Calibri"/>
      <family val="2"/>
    </font>
    <font>
      <sz val="12"/>
      <name val="Calibri"/>
      <family val="2"/>
      <scheme val="minor"/>
    </font>
    <font>
      <b/>
      <sz val="12"/>
      <name val="Calibri"/>
      <family val="2"/>
      <scheme val="minor"/>
    </font>
    <font>
      <sz val="12"/>
      <color rgb="FF434343"/>
      <name val="Calibri"/>
      <family val="2"/>
      <scheme val="minor"/>
    </font>
    <font>
      <sz val="12"/>
      <color theme="1" tint="4.9989318521683403E-2"/>
      <name val="Calibri"/>
      <family val="2"/>
      <scheme val="minor"/>
    </font>
    <font>
      <b/>
      <sz val="12"/>
      <color theme="1"/>
      <name val="Calibri"/>
      <family val="2"/>
      <scheme val="minor"/>
    </font>
    <font>
      <b/>
      <sz val="11"/>
      <color rgb="FF000000"/>
      <name val="Calibri"/>
      <scheme val="minor"/>
    </font>
    <font>
      <sz val="11"/>
      <color rgb="FF000000"/>
      <name val="Calibri"/>
      <scheme val="minor"/>
    </font>
    <font>
      <sz val="11"/>
      <color theme="1"/>
      <name val="Calibri "/>
    </font>
    <font>
      <sz val="10"/>
      <color rgb="FF4B4B4B"/>
      <name val="Arial"/>
      <family val="2"/>
      <charset val="1"/>
    </font>
    <font>
      <sz val="10"/>
      <color theme="1"/>
      <name val="Arial"/>
      <family val="2"/>
    </font>
    <font>
      <b/>
      <sz val="11"/>
      <color theme="1"/>
      <name val="Calibri"/>
      <scheme val="minor"/>
    </font>
    <font>
      <sz val="11"/>
      <color rgb="FF00B0F0"/>
      <name val="Calibri"/>
      <scheme val="minor"/>
    </font>
    <font>
      <sz val="10"/>
      <color rgb="FF4B4B4B"/>
      <name val="Arial"/>
    </font>
    <font>
      <b/>
      <sz val="11"/>
      <color rgb="FF4472C4"/>
      <name val="Calibri"/>
      <scheme val="minor"/>
    </font>
    <font>
      <sz val="11"/>
      <color rgb="FF000000"/>
      <name val="Calibri"/>
      <charset val="1"/>
    </font>
  </fonts>
  <fills count="55">
    <fill>
      <patternFill patternType="none"/>
    </fill>
    <fill>
      <patternFill patternType="gray125"/>
    </fill>
    <fill>
      <patternFill patternType="solid">
        <fgColor rgb="FFFFFFFF"/>
        <bgColor indexed="64"/>
      </patternFill>
    </fill>
    <fill>
      <patternFill patternType="solid">
        <fgColor theme="7" tint="0.59999389629810485"/>
        <bgColor indexed="64"/>
      </patternFill>
    </fill>
    <fill>
      <patternFill patternType="solid">
        <fgColor theme="3" tint="0.79995117038483843"/>
        <bgColor indexed="64"/>
      </patternFill>
    </fill>
    <fill>
      <patternFill patternType="solid">
        <fgColor theme="0"/>
        <bgColor rgb="FF800000"/>
      </patternFill>
    </fill>
    <fill>
      <patternFill patternType="solid">
        <fgColor theme="0"/>
        <bgColor indexed="64"/>
      </patternFill>
    </fill>
    <fill>
      <patternFill patternType="solid">
        <fgColor theme="0"/>
        <bgColor rgb="FF00B050"/>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
      <patternFill patternType="solid">
        <fgColor theme="6" tint="0.59999389629810485"/>
        <bgColor indexed="64"/>
      </patternFill>
    </fill>
    <fill>
      <patternFill patternType="solid">
        <fgColor rgb="FF003366"/>
        <bgColor indexed="64"/>
      </patternFill>
    </fill>
    <fill>
      <patternFill patternType="solid">
        <fgColor theme="0" tint="-0.14996795556505021"/>
        <bgColor rgb="FFDAE3F3"/>
      </patternFill>
    </fill>
    <fill>
      <patternFill patternType="solid">
        <fgColor rgb="FFFF66FF"/>
        <bgColor indexed="64"/>
      </patternFill>
    </fill>
    <fill>
      <patternFill patternType="solid">
        <fgColor rgb="FFFFC000"/>
        <bgColor indexed="64"/>
      </patternFill>
    </fill>
    <fill>
      <patternFill patternType="solid">
        <fgColor rgb="FF92D050"/>
        <bgColor indexed="64"/>
      </patternFill>
    </fill>
    <fill>
      <patternFill patternType="solid">
        <fgColor theme="0"/>
        <bgColor rgb="FFE2F0D9"/>
      </patternFill>
    </fill>
    <fill>
      <patternFill patternType="solid">
        <fgColor theme="0"/>
        <bgColor rgb="FFFFD966"/>
      </patternFill>
    </fill>
    <fill>
      <patternFill patternType="solid">
        <fgColor theme="7" tint="0.59999389629810485"/>
        <bgColor rgb="FF00A933"/>
      </patternFill>
    </fill>
    <fill>
      <patternFill patternType="solid">
        <fgColor theme="0" tint="-0.14996795556505021"/>
        <bgColor indexed="64"/>
      </patternFill>
    </fill>
    <fill>
      <patternFill patternType="solid">
        <fgColor theme="8" tint="0.59999389629810485"/>
        <bgColor theme="8" tint="0.59999389629810485"/>
      </patternFill>
    </fill>
    <fill>
      <patternFill patternType="solid">
        <fgColor theme="8" tint="0.79995117038483843"/>
        <bgColor theme="8" tint="0.79995117038483843"/>
      </patternFill>
    </fill>
    <fill>
      <patternFill patternType="solid">
        <fgColor theme="9"/>
        <bgColor indexed="64"/>
      </patternFill>
    </fill>
    <fill>
      <patternFill patternType="solid">
        <fgColor theme="0"/>
        <bgColor rgb="FF77BC65"/>
      </patternFill>
    </fill>
    <fill>
      <patternFill patternType="solid">
        <fgColor theme="0"/>
        <bgColor rgb="FFFF99FF"/>
      </patternFill>
    </fill>
    <fill>
      <patternFill patternType="solid">
        <fgColor rgb="FF00B050"/>
        <bgColor indexed="64"/>
      </patternFill>
    </fill>
    <fill>
      <patternFill patternType="solid">
        <fgColor rgb="FF00B0F0"/>
        <bgColor indexed="64"/>
      </patternFill>
    </fill>
    <fill>
      <patternFill patternType="solid">
        <fgColor theme="0"/>
        <bgColor rgb="FFB4C7E7"/>
      </patternFill>
    </fill>
    <fill>
      <patternFill patternType="solid">
        <fgColor theme="0"/>
        <bgColor rgb="FFCC99FF"/>
      </patternFill>
    </fill>
    <fill>
      <patternFill patternType="solid">
        <fgColor theme="1"/>
        <bgColor indexed="64"/>
      </patternFill>
    </fill>
    <fill>
      <patternFill patternType="solid">
        <fgColor theme="5" tint="0.59999389629810485"/>
        <bgColor theme="8" tint="0.59999389629810485"/>
      </patternFill>
    </fill>
    <fill>
      <patternFill patternType="solid">
        <fgColor theme="7" tint="0.79998168889431442"/>
        <bgColor theme="8" tint="0.59999389629810485"/>
      </patternFill>
    </fill>
    <fill>
      <patternFill patternType="solid">
        <fgColor theme="7"/>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79998168889431442"/>
        <bgColor theme="8" tint="0.59999389629810485"/>
      </patternFill>
    </fill>
    <fill>
      <patternFill patternType="solid">
        <fgColor theme="9" tint="0.39997558519241921"/>
        <bgColor indexed="64"/>
      </patternFill>
    </fill>
    <fill>
      <patternFill patternType="solid">
        <fgColor theme="9" tint="0.39997558519241921"/>
        <bgColor theme="8" tint="0.59999389629810485"/>
      </patternFill>
    </fill>
    <fill>
      <patternFill patternType="solid">
        <fgColor theme="2" tint="-9.9978637043366805E-2"/>
        <bgColor theme="9"/>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2" tint="-9.9978637043366805E-2"/>
        <bgColor rgb="FFDAE3F3"/>
      </patternFill>
    </fill>
    <fill>
      <patternFill patternType="solid">
        <fgColor theme="9" tint="0.59999389629810485"/>
        <bgColor theme="8" tint="0.59999389629810485"/>
      </patternFill>
    </fill>
    <fill>
      <patternFill patternType="solid">
        <fgColor theme="7" tint="0.59999389629810485"/>
        <bgColor theme="8" tint="0.59999389629810485"/>
      </patternFill>
    </fill>
    <fill>
      <patternFill patternType="solid">
        <fgColor theme="4" tint="0.79998168889431442"/>
        <bgColor indexed="64"/>
      </patternFill>
    </fill>
    <fill>
      <patternFill patternType="solid">
        <fgColor rgb="FFFF5050"/>
        <bgColor indexed="64"/>
      </patternFill>
    </fill>
    <fill>
      <patternFill patternType="solid">
        <fgColor theme="9" tint="0.59999389629810485"/>
        <bgColor theme="8" tint="0.79995117038483843"/>
      </patternFill>
    </fill>
    <fill>
      <patternFill patternType="solid">
        <fgColor theme="5" tint="0.39997558519241921"/>
        <bgColor theme="8" tint="0.59999389629810485"/>
      </patternFill>
    </fill>
    <fill>
      <patternFill patternType="solid">
        <fgColor theme="5" tint="0.79998168889431442"/>
        <bgColor indexed="64"/>
      </patternFill>
    </fill>
    <fill>
      <patternFill patternType="solid">
        <fgColor rgb="FFFFCCFF"/>
        <bgColor indexed="64"/>
      </patternFill>
    </fill>
    <fill>
      <patternFill patternType="solid">
        <fgColor theme="4" tint="-0.499984740745262"/>
        <bgColor indexed="64"/>
      </patternFill>
    </fill>
    <fill>
      <patternFill patternType="solid">
        <fgColor theme="6" tint="0.39997558519241921"/>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78">
    <xf numFmtId="0" fontId="0" fillId="0" borderId="0" xfId="0"/>
    <xf numFmtId="0" fontId="0" fillId="0" borderId="0" xfId="0" applyAlignment="1">
      <alignment wrapText="1"/>
    </xf>
    <xf numFmtId="0" fontId="0" fillId="0" borderId="1" xfId="0" applyBorder="1"/>
    <xf numFmtId="0" fontId="3" fillId="0" borderId="1" xfId="0" applyFont="1" applyBorder="1"/>
    <xf numFmtId="0" fontId="3" fillId="3" borderId="1" xfId="0" applyFont="1" applyFill="1" applyBorder="1"/>
    <xf numFmtId="0" fontId="4" fillId="0" borderId="1" xfId="0" applyFont="1" applyBorder="1" applyAlignment="1">
      <alignment horizontal="left" wrapText="1"/>
    </xf>
    <xf numFmtId="0" fontId="0" fillId="0" borderId="1" xfId="0" applyBorder="1" applyAlignment="1">
      <alignment horizontal="left" wrapText="1"/>
    </xf>
    <xf numFmtId="0" fontId="0" fillId="0" borderId="1" xfId="0" applyBorder="1" applyAlignment="1">
      <alignment horizontal="left"/>
    </xf>
    <xf numFmtId="0" fontId="0" fillId="5" borderId="1" xfId="0" applyFill="1" applyBorder="1" applyAlignment="1">
      <alignment horizontal="left" wrapText="1"/>
    </xf>
    <xf numFmtId="0" fontId="4" fillId="6" borderId="1" xfId="0" applyFont="1" applyFill="1" applyBorder="1" applyAlignment="1">
      <alignment horizontal="left" wrapText="1"/>
    </xf>
    <xf numFmtId="0" fontId="0" fillId="0" borderId="1" xfId="0" applyBorder="1" applyAlignment="1">
      <alignment wrapText="1"/>
    </xf>
    <xf numFmtId="0" fontId="0" fillId="6" borderId="0" xfId="0" applyFill="1"/>
    <xf numFmtId="0" fontId="0" fillId="8" borderId="0" xfId="0" applyFill="1"/>
    <xf numFmtId="0" fontId="0" fillId="8" borderId="1" xfId="0" applyFill="1" applyBorder="1"/>
    <xf numFmtId="0" fontId="0" fillId="9" borderId="0" xfId="0" applyFill="1"/>
    <xf numFmtId="0" fontId="0" fillId="10" borderId="0" xfId="0" applyFill="1"/>
    <xf numFmtId="0" fontId="0" fillId="11" borderId="0" xfId="0" applyFill="1"/>
    <xf numFmtId="0" fontId="0" fillId="11" borderId="1" xfId="0" applyFill="1" applyBorder="1"/>
    <xf numFmtId="0" fontId="8" fillId="13" borderId="1" xfId="0" applyFont="1" applyFill="1" applyBorder="1" applyAlignment="1">
      <alignment vertical="center"/>
    </xf>
    <xf numFmtId="0" fontId="0" fillId="11" borderId="1" xfId="0" applyFill="1" applyBorder="1" applyAlignment="1">
      <alignment horizontal="left" wrapText="1"/>
    </xf>
    <xf numFmtId="0" fontId="0" fillId="14" borderId="1" xfId="0" applyFill="1" applyBorder="1" applyAlignment="1">
      <alignment horizontal="left" wrapText="1"/>
    </xf>
    <xf numFmtId="0" fontId="0" fillId="15" borderId="1" xfId="0" applyFill="1" applyBorder="1" applyAlignment="1">
      <alignment horizontal="left" wrapText="1"/>
    </xf>
    <xf numFmtId="0" fontId="0" fillId="16" borderId="1" xfId="0" applyFill="1" applyBorder="1" applyAlignment="1">
      <alignment horizontal="left" wrapText="1"/>
    </xf>
    <xf numFmtId="0" fontId="0" fillId="8" borderId="1" xfId="0" applyFill="1" applyBorder="1" applyAlignment="1">
      <alignment horizontal="left" wrapText="1"/>
    </xf>
    <xf numFmtId="0" fontId="0" fillId="6" borderId="1" xfId="0" applyFill="1" applyBorder="1" applyAlignment="1">
      <alignment horizontal="left" wrapText="1"/>
    </xf>
    <xf numFmtId="0" fontId="9" fillId="0" borderId="1" xfId="0" applyFont="1" applyBorder="1" applyAlignment="1">
      <alignment horizontal="left" wrapText="1"/>
    </xf>
    <xf numFmtId="1" fontId="0" fillId="0" borderId="1" xfId="0" applyNumberFormat="1" applyBorder="1" applyAlignment="1">
      <alignment horizontal="left" wrapText="1"/>
    </xf>
    <xf numFmtId="0" fontId="0" fillId="7" borderId="1" xfId="0" applyFill="1" applyBorder="1" applyAlignment="1">
      <alignment horizontal="left" wrapText="1"/>
    </xf>
    <xf numFmtId="0" fontId="9" fillId="6" borderId="1" xfId="0" applyFont="1" applyFill="1" applyBorder="1" applyAlignment="1">
      <alignment horizontal="left" wrapText="1"/>
    </xf>
    <xf numFmtId="0" fontId="8" fillId="13" borderId="1" xfId="0" applyFont="1" applyFill="1" applyBorder="1" applyAlignment="1">
      <alignment vertical="center" wrapText="1"/>
    </xf>
    <xf numFmtId="14" fontId="0" fillId="0" borderId="1" xfId="0" applyNumberFormat="1" applyBorder="1" applyAlignment="1">
      <alignment horizontal="left" wrapText="1"/>
    </xf>
    <xf numFmtId="14" fontId="0" fillId="5" borderId="1" xfId="0" applyNumberFormat="1" applyFill="1" applyBorder="1" applyAlignment="1">
      <alignment horizontal="left" wrapText="1"/>
    </xf>
    <xf numFmtId="17" fontId="0" fillId="0" borderId="1" xfId="0" applyNumberFormat="1" applyBorder="1" applyAlignment="1">
      <alignment horizontal="left" wrapText="1"/>
    </xf>
    <xf numFmtId="14" fontId="0" fillId="6" borderId="1" xfId="0" applyNumberFormat="1" applyFill="1" applyBorder="1" applyAlignment="1">
      <alignment horizontal="left" wrapText="1"/>
    </xf>
    <xf numFmtId="14" fontId="0" fillId="7" borderId="1" xfId="0" applyNumberFormat="1" applyFill="1" applyBorder="1" applyAlignment="1">
      <alignment horizontal="left" wrapText="1"/>
    </xf>
    <xf numFmtId="0" fontId="8" fillId="19" borderId="1" xfId="0" applyFont="1" applyFill="1" applyBorder="1" applyAlignment="1">
      <alignment horizontal="center" vertical="center"/>
    </xf>
    <xf numFmtId="0" fontId="10" fillId="13" borderId="1" xfId="0" applyFont="1" applyFill="1" applyBorder="1" applyAlignment="1">
      <alignment vertical="center" wrapText="1"/>
    </xf>
    <xf numFmtId="0" fontId="3" fillId="20" borderId="1" xfId="0" applyFont="1" applyFill="1" applyBorder="1" applyAlignment="1">
      <alignment vertical="center" wrapText="1"/>
    </xf>
    <xf numFmtId="0" fontId="6" fillId="20" borderId="1" xfId="0" applyFont="1" applyFill="1" applyBorder="1" applyAlignment="1">
      <alignment vertical="center"/>
    </xf>
    <xf numFmtId="0" fontId="0" fillId="21" borderId="1" xfId="0" applyFill="1" applyBorder="1" applyAlignment="1">
      <alignment horizontal="left" wrapText="1"/>
    </xf>
    <xf numFmtId="0" fontId="11" fillId="0" borderId="1" xfId="0" applyFont="1" applyBorder="1" applyAlignment="1">
      <alignment horizontal="left" wrapText="1"/>
    </xf>
    <xf numFmtId="0" fontId="0" fillId="22" borderId="1" xfId="0" applyFill="1" applyBorder="1" applyAlignment="1">
      <alignment horizontal="left" wrapText="1"/>
    </xf>
    <xf numFmtId="0" fontId="0" fillId="9" borderId="1" xfId="0" applyFill="1" applyBorder="1"/>
    <xf numFmtId="0" fontId="3" fillId="0" borderId="0" xfId="0" applyFont="1"/>
    <xf numFmtId="0" fontId="0" fillId="9" borderId="1" xfId="0" applyFill="1" applyBorder="1" applyAlignment="1">
      <alignment horizontal="left" wrapText="1"/>
    </xf>
    <xf numFmtId="0" fontId="12" fillId="0" borderId="1" xfId="0" applyFont="1" applyBorder="1" applyAlignment="1">
      <alignment horizontal="left" wrapText="1"/>
    </xf>
    <xf numFmtId="0" fontId="0" fillId="0" borderId="2" xfId="0" applyBorder="1"/>
    <xf numFmtId="0" fontId="0" fillId="6" borderId="1" xfId="0" applyFill="1" applyBorder="1"/>
    <xf numFmtId="0" fontId="3" fillId="0" borderId="1" xfId="0" applyFont="1" applyBorder="1" applyAlignment="1">
      <alignment horizontal="left" wrapText="1"/>
    </xf>
    <xf numFmtId="0" fontId="5" fillId="0" borderId="1" xfId="0" applyFont="1" applyBorder="1" applyAlignment="1">
      <alignment horizontal="left" wrapText="1"/>
    </xf>
    <xf numFmtId="0" fontId="14" fillId="0" borderId="1" xfId="0" applyFont="1" applyBorder="1" applyAlignment="1">
      <alignment horizontal="left" wrapText="1"/>
    </xf>
    <xf numFmtId="0" fontId="15" fillId="24" borderId="1" xfId="0" applyFont="1" applyFill="1" applyBorder="1" applyAlignment="1">
      <alignment horizontal="left" wrapText="1"/>
    </xf>
    <xf numFmtId="0" fontId="5" fillId="24" borderId="1" xfId="0" applyFont="1" applyFill="1" applyBorder="1" applyAlignment="1">
      <alignment horizontal="left" wrapText="1"/>
    </xf>
    <xf numFmtId="0" fontId="0" fillId="25" borderId="1" xfId="0" applyFill="1" applyBorder="1" applyAlignment="1">
      <alignment horizontal="left" wrapText="1"/>
    </xf>
    <xf numFmtId="0" fontId="0" fillId="24" borderId="1" xfId="0" applyFill="1" applyBorder="1" applyAlignment="1">
      <alignment horizontal="left" wrapText="1"/>
    </xf>
    <xf numFmtId="14" fontId="5" fillId="0" borderId="1" xfId="0" applyNumberFormat="1" applyFont="1" applyBorder="1" applyAlignment="1">
      <alignment horizontal="left" wrapText="1"/>
    </xf>
    <xf numFmtId="14" fontId="5" fillId="24" borderId="1" xfId="0" applyNumberFormat="1" applyFont="1" applyFill="1" applyBorder="1" applyAlignment="1">
      <alignment horizontal="left" wrapText="1"/>
    </xf>
    <xf numFmtId="16" fontId="0" fillId="0" borderId="1" xfId="0" applyNumberFormat="1" applyBorder="1" applyAlignment="1">
      <alignment horizontal="left" wrapText="1"/>
    </xf>
    <xf numFmtId="16" fontId="0" fillId="0" borderId="0" xfId="0" applyNumberFormat="1"/>
    <xf numFmtId="0" fontId="0" fillId="2" borderId="1" xfId="0" applyFill="1" applyBorder="1" applyAlignment="1">
      <alignment horizontal="left" wrapText="1"/>
    </xf>
    <xf numFmtId="0" fontId="0" fillId="0" borderId="0" xfId="0" applyAlignment="1">
      <alignment horizontal="left" wrapText="1"/>
    </xf>
    <xf numFmtId="0" fontId="12" fillId="0" borderId="0" xfId="0" applyFont="1" applyAlignment="1">
      <alignment vertical="center" wrapText="1"/>
    </xf>
    <xf numFmtId="0" fontId="0" fillId="12" borderId="0" xfId="0" applyFill="1"/>
    <xf numFmtId="0" fontId="0" fillId="17" borderId="1" xfId="0" applyFill="1" applyBorder="1"/>
    <xf numFmtId="0" fontId="0" fillId="17" borderId="1" xfId="0" applyFill="1" applyBorder="1" applyAlignment="1">
      <alignment horizontal="center"/>
    </xf>
    <xf numFmtId="0" fontId="0" fillId="6" borderId="1" xfId="0" applyFill="1" applyBorder="1" applyAlignment="1">
      <alignment horizontal="center"/>
    </xf>
    <xf numFmtId="0" fontId="0" fillId="18" borderId="1" xfId="0" applyFill="1" applyBorder="1"/>
    <xf numFmtId="0" fontId="0" fillId="18" borderId="1" xfId="0" applyFill="1" applyBorder="1" applyAlignment="1">
      <alignment horizontal="center"/>
    </xf>
    <xf numFmtId="0" fontId="0" fillId="18" borderId="1" xfId="0" applyFill="1" applyBorder="1" applyAlignment="1">
      <alignment horizontal="right" vertical="center"/>
    </xf>
    <xf numFmtId="0" fontId="0" fillId="18" borderId="1" xfId="0" applyFill="1" applyBorder="1" applyAlignment="1">
      <alignment horizontal="left" vertical="center"/>
    </xf>
    <xf numFmtId="0" fontId="0" fillId="18" borderId="4" xfId="0" applyFill="1" applyBorder="1"/>
    <xf numFmtId="0" fontId="0" fillId="6" borderId="4" xfId="0" applyFill="1" applyBorder="1"/>
    <xf numFmtId="0" fontId="0" fillId="6" borderId="1" xfId="0" applyFill="1" applyBorder="1" applyAlignment="1">
      <alignment horizontal="right"/>
    </xf>
    <xf numFmtId="0" fontId="0" fillId="5" borderId="1" xfId="0" applyFill="1" applyBorder="1"/>
    <xf numFmtId="0" fontId="0" fillId="5" borderId="1" xfId="0" applyFill="1" applyBorder="1" applyAlignment="1">
      <alignment horizontal="center"/>
    </xf>
    <xf numFmtId="0" fontId="0" fillId="5" borderId="4" xfId="0" applyFill="1" applyBorder="1"/>
    <xf numFmtId="0" fontId="0" fillId="18" borderId="0" xfId="0" applyFill="1" applyAlignment="1">
      <alignment horizontal="right" vertical="center"/>
    </xf>
    <xf numFmtId="0" fontId="0" fillId="29" borderId="1" xfId="0" applyFill="1" applyBorder="1"/>
    <xf numFmtId="0" fontId="0" fillId="29" borderId="1" xfId="0" applyFill="1" applyBorder="1" applyAlignment="1">
      <alignment horizontal="center"/>
    </xf>
    <xf numFmtId="0" fontId="0" fillId="17" borderId="0" xfId="0" applyFill="1"/>
    <xf numFmtId="0" fontId="0" fillId="6" borderId="1" xfId="0" applyFill="1" applyBorder="1" applyAlignment="1">
      <alignment horizontal="right" vertical="center"/>
    </xf>
    <xf numFmtId="0" fontId="0" fillId="6" borderId="1" xfId="0" applyFill="1" applyBorder="1" applyAlignment="1">
      <alignment horizontal="left" vertical="center"/>
    </xf>
    <xf numFmtId="0" fontId="0" fillId="24" borderId="1" xfId="0" applyFill="1" applyBorder="1"/>
    <xf numFmtId="0" fontId="0" fillId="24" borderId="1" xfId="0" applyFill="1" applyBorder="1" applyAlignment="1">
      <alignment horizontal="center"/>
    </xf>
    <xf numFmtId="0" fontId="0" fillId="28" borderId="1" xfId="0" applyFill="1" applyBorder="1"/>
    <xf numFmtId="0" fontId="0" fillId="28" borderId="1" xfId="0" applyFill="1" applyBorder="1" applyAlignment="1">
      <alignment horizontal="center"/>
    </xf>
    <xf numFmtId="0" fontId="0" fillId="0" borderId="3" xfId="0" applyBorder="1"/>
    <xf numFmtId="0" fontId="0" fillId="6" borderId="3" xfId="0" applyFill="1" applyBorder="1"/>
    <xf numFmtId="0" fontId="0" fillId="6" borderId="3" xfId="0" applyFill="1" applyBorder="1" applyAlignment="1">
      <alignment horizontal="center"/>
    </xf>
    <xf numFmtId="0" fontId="0" fillId="6" borderId="1" xfId="0" applyFill="1" applyBorder="1" applyAlignment="1">
      <alignment wrapText="1"/>
    </xf>
    <xf numFmtId="0" fontId="0" fillId="15" borderId="1" xfId="0" applyFill="1" applyBorder="1"/>
    <xf numFmtId="0" fontId="0" fillId="14" borderId="1" xfId="0" applyFill="1" applyBorder="1" applyAlignment="1">
      <alignment wrapText="1"/>
    </xf>
    <xf numFmtId="0" fontId="0" fillId="17" borderId="1" xfId="0" applyFill="1" applyBorder="1" applyAlignment="1">
      <alignment horizontal="left"/>
    </xf>
    <xf numFmtId="14" fontId="0" fillId="6" borderId="1" xfId="0" applyNumberFormat="1" applyFill="1" applyBorder="1"/>
    <xf numFmtId="0" fontId="0" fillId="6" borderId="1" xfId="0" applyFill="1" applyBorder="1" applyAlignment="1">
      <alignment horizontal="left"/>
    </xf>
    <xf numFmtId="14" fontId="0" fillId="18" borderId="1" xfId="0" applyNumberFormat="1" applyFill="1" applyBorder="1" applyAlignment="1">
      <alignment horizontal="left"/>
    </xf>
    <xf numFmtId="0" fontId="0" fillId="18" borderId="1" xfId="0" applyFill="1" applyBorder="1" applyAlignment="1">
      <alignment horizontal="left"/>
    </xf>
    <xf numFmtId="14" fontId="0" fillId="6" borderId="2" xfId="0" applyNumberFormat="1" applyFill="1" applyBorder="1"/>
    <xf numFmtId="0" fontId="0" fillId="6" borderId="3" xfId="0" applyFill="1" applyBorder="1" applyAlignment="1">
      <alignment horizontal="left"/>
    </xf>
    <xf numFmtId="14" fontId="0" fillId="5" borderId="1" xfId="0" applyNumberFormat="1" applyFill="1" applyBorder="1"/>
    <xf numFmtId="0" fontId="0" fillId="5" borderId="2" xfId="0" applyFill="1" applyBorder="1" applyAlignment="1">
      <alignment horizontal="left"/>
    </xf>
    <xf numFmtId="0" fontId="0" fillId="5" borderId="1" xfId="0" applyFill="1" applyBorder="1" applyAlignment="1">
      <alignment horizontal="left"/>
    </xf>
    <xf numFmtId="14" fontId="0" fillId="17" borderId="1" xfId="0" applyNumberFormat="1" applyFill="1" applyBorder="1"/>
    <xf numFmtId="0" fontId="0" fillId="6" borderId="2" xfId="0" applyFill="1" applyBorder="1"/>
    <xf numFmtId="14" fontId="0" fillId="6" borderId="1" xfId="0" applyNumberFormat="1" applyFill="1" applyBorder="1" applyAlignment="1">
      <alignment horizontal="left"/>
    </xf>
    <xf numFmtId="0" fontId="0" fillId="24" borderId="1" xfId="0" applyFill="1" applyBorder="1" applyAlignment="1">
      <alignment horizontal="left"/>
    </xf>
    <xf numFmtId="14" fontId="0" fillId="0" borderId="1" xfId="0" applyNumberFormat="1" applyBorder="1" applyAlignment="1">
      <alignment wrapText="1"/>
    </xf>
    <xf numFmtId="14" fontId="0" fillId="0" borderId="1" xfId="0" applyNumberFormat="1" applyBorder="1"/>
    <xf numFmtId="0" fontId="3" fillId="20" borderId="1" xfId="0" applyFont="1" applyFill="1" applyBorder="1" applyAlignment="1">
      <alignment vertical="center"/>
    </xf>
    <xf numFmtId="0" fontId="0" fillId="17" borderId="1" xfId="0" applyFill="1" applyBorder="1" applyAlignment="1">
      <alignment wrapText="1"/>
    </xf>
    <xf numFmtId="0" fontId="0" fillId="18" borderId="1" xfId="0" applyFill="1" applyBorder="1" applyAlignment="1">
      <alignment wrapText="1"/>
    </xf>
    <xf numFmtId="0" fontId="0" fillId="5" borderId="1" xfId="0" applyFill="1" applyBorder="1" applyAlignment="1">
      <alignment wrapText="1"/>
    </xf>
    <xf numFmtId="0" fontId="0" fillId="29" borderId="1" xfId="0" applyFill="1" applyBorder="1" applyAlignment="1">
      <alignment wrapText="1"/>
    </xf>
    <xf numFmtId="0" fontId="0" fillId="24" borderId="1" xfId="0" applyFill="1" applyBorder="1" applyAlignment="1">
      <alignment wrapText="1"/>
    </xf>
    <xf numFmtId="0" fontId="0" fillId="6" borderId="3" xfId="0" applyFill="1" applyBorder="1" applyAlignment="1">
      <alignment wrapText="1"/>
    </xf>
    <xf numFmtId="14" fontId="0" fillId="6" borderId="1" xfId="0" applyNumberFormat="1" applyFill="1" applyBorder="1" applyAlignment="1">
      <alignment wrapText="1"/>
    </xf>
    <xf numFmtId="0" fontId="0" fillId="21" borderId="1" xfId="0" applyFill="1" applyBorder="1"/>
    <xf numFmtId="14" fontId="3" fillId="6" borderId="1" xfId="0" applyNumberFormat="1" applyFont="1" applyFill="1" applyBorder="1"/>
    <xf numFmtId="0" fontId="0" fillId="22" borderId="1" xfId="0" applyFill="1" applyBorder="1"/>
    <xf numFmtId="0" fontId="3" fillId="6" borderId="1" xfId="0" applyFont="1" applyFill="1" applyBorder="1"/>
    <xf numFmtId="14" fontId="0" fillId="6" borderId="5" xfId="0" applyNumberFormat="1" applyFill="1" applyBorder="1"/>
    <xf numFmtId="14" fontId="0" fillId="6" borderId="0" xfId="0" applyNumberFormat="1" applyFill="1"/>
    <xf numFmtId="0" fontId="0" fillId="6" borderId="5" xfId="0" applyFill="1" applyBorder="1"/>
    <xf numFmtId="16" fontId="3" fillId="0" borderId="1" xfId="0" applyNumberFormat="1" applyFont="1" applyBorder="1" applyAlignment="1">
      <alignment horizontal="left" wrapText="1"/>
    </xf>
    <xf numFmtId="0" fontId="19" fillId="0" borderId="0" xfId="0" applyFont="1"/>
    <xf numFmtId="0" fontId="18" fillId="0" borderId="0" xfId="0" applyFont="1"/>
    <xf numFmtId="0" fontId="0" fillId="31" borderId="1" xfId="0" applyFill="1" applyBorder="1" applyAlignment="1">
      <alignment horizontal="left" wrapText="1"/>
    </xf>
    <xf numFmtId="0" fontId="0" fillId="32" borderId="1" xfId="0" applyFill="1" applyBorder="1" applyAlignment="1">
      <alignment horizontal="left" wrapText="1"/>
    </xf>
    <xf numFmtId="0" fontId="0" fillId="33" borderId="1" xfId="0" applyFill="1" applyBorder="1" applyAlignment="1">
      <alignment horizontal="left" wrapText="1"/>
    </xf>
    <xf numFmtId="0" fontId="3" fillId="0" borderId="1" xfId="0" applyFont="1" applyBorder="1"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xf>
    <xf numFmtId="0" fontId="0" fillId="0" borderId="1" xfId="0" applyBorder="1" applyAlignment="1">
      <alignment horizontal="center" wrapText="1"/>
    </xf>
    <xf numFmtId="0" fontId="0" fillId="11" borderId="1" xfId="0" applyFill="1" applyBorder="1" applyAlignment="1">
      <alignment horizontal="left"/>
    </xf>
    <xf numFmtId="0" fontId="0" fillId="8" borderId="1" xfId="0" applyFill="1" applyBorder="1" applyAlignment="1">
      <alignment horizontal="left"/>
    </xf>
    <xf numFmtId="0" fontId="9" fillId="0" borderId="1" xfId="0" applyFont="1" applyBorder="1" applyAlignment="1">
      <alignment horizontal="left"/>
    </xf>
    <xf numFmtId="14" fontId="0" fillId="0" borderId="1" xfId="0" applyNumberFormat="1" applyBorder="1" applyAlignment="1">
      <alignment horizontal="left"/>
    </xf>
    <xf numFmtId="0" fontId="0" fillId="31" borderId="1" xfId="0" applyFill="1" applyBorder="1" applyAlignment="1">
      <alignment horizontal="left"/>
    </xf>
    <xf numFmtId="0" fontId="0" fillId="27" borderId="1" xfId="0" applyFill="1" applyBorder="1" applyAlignment="1">
      <alignment horizontal="left"/>
    </xf>
    <xf numFmtId="0" fontId="0" fillId="35" borderId="0" xfId="0" applyFill="1"/>
    <xf numFmtId="0" fontId="0" fillId="6" borderId="1" xfId="0" applyFill="1" applyBorder="1" applyAlignment="1">
      <alignment horizontal="center" wrapText="1"/>
    </xf>
    <xf numFmtId="0" fontId="0" fillId="36" borderId="1" xfId="0" applyFill="1" applyBorder="1" applyAlignment="1">
      <alignment horizontal="left" wrapText="1"/>
    </xf>
    <xf numFmtId="0" fontId="0" fillId="37" borderId="1" xfId="0" applyFill="1" applyBorder="1" applyAlignment="1">
      <alignment horizontal="left" wrapText="1"/>
    </xf>
    <xf numFmtId="0" fontId="0" fillId="39" borderId="1" xfId="0" applyFill="1" applyBorder="1" applyAlignment="1">
      <alignment horizontal="left" wrapText="1"/>
    </xf>
    <xf numFmtId="0" fontId="6" fillId="40" borderId="1" xfId="0" applyFont="1" applyFill="1" applyBorder="1" applyAlignment="1">
      <alignment wrapText="1"/>
    </xf>
    <xf numFmtId="0" fontId="6" fillId="40" borderId="1" xfId="0" applyFont="1" applyFill="1" applyBorder="1"/>
    <xf numFmtId="0" fontId="0" fillId="36" borderId="1" xfId="0" applyFill="1" applyBorder="1" applyAlignment="1">
      <alignment horizontal="left"/>
    </xf>
    <xf numFmtId="0" fontId="0" fillId="6" borderId="1" xfId="0" applyFill="1" applyBorder="1" applyAlignment="1">
      <alignment horizontal="center" vertical="center" wrapText="1"/>
    </xf>
    <xf numFmtId="0" fontId="0" fillId="5" borderId="1" xfId="0" applyFill="1" applyBorder="1" applyAlignment="1">
      <alignment horizontal="center" vertical="center" wrapText="1"/>
    </xf>
    <xf numFmtId="0" fontId="0" fillId="17" borderId="1" xfId="0" applyFill="1" applyBorder="1" applyAlignment="1">
      <alignment horizontal="center" vertical="center" wrapText="1"/>
    </xf>
    <xf numFmtId="0" fontId="5" fillId="2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38" borderId="1" xfId="0" applyFill="1" applyBorder="1"/>
    <xf numFmtId="0" fontId="0" fillId="18" borderId="1" xfId="0" applyFill="1" applyBorder="1" applyAlignment="1">
      <alignment horizontal="left" wrapText="1"/>
    </xf>
    <xf numFmtId="14" fontId="0" fillId="18" borderId="1" xfId="0" applyNumberFormat="1" applyFill="1" applyBorder="1" applyAlignment="1">
      <alignment horizontal="left" wrapText="1"/>
    </xf>
    <xf numFmtId="0" fontId="0" fillId="32" borderId="1" xfId="0" applyFill="1" applyBorder="1" applyAlignment="1">
      <alignment horizontal="left"/>
    </xf>
    <xf numFmtId="0" fontId="0" fillId="5" borderId="1" xfId="0" applyFill="1" applyBorder="1" applyAlignment="1">
      <alignment horizontal="left" vertical="center" wrapText="1"/>
    </xf>
    <xf numFmtId="0" fontId="8" fillId="13" borderId="1" xfId="0" applyFont="1" applyFill="1" applyBorder="1" applyAlignment="1">
      <alignment horizontal="center"/>
    </xf>
    <xf numFmtId="0" fontId="0" fillId="5" borderId="1" xfId="0" applyFill="1" applyBorder="1" applyAlignment="1">
      <alignment horizontal="center" wrapText="1"/>
    </xf>
    <xf numFmtId="0" fontId="0" fillId="18" borderId="1" xfId="0" applyFill="1" applyBorder="1" applyAlignment="1">
      <alignment horizontal="center" wrapText="1"/>
    </xf>
    <xf numFmtId="3" fontId="0" fillId="6" borderId="1" xfId="0" applyNumberFormat="1" applyFill="1" applyBorder="1" applyAlignment="1">
      <alignment horizontal="center" wrapText="1"/>
    </xf>
    <xf numFmtId="0" fontId="14" fillId="0" borderId="1" xfId="0" applyFont="1" applyBorder="1" applyAlignment="1">
      <alignment horizontal="center" wrapText="1"/>
    </xf>
    <xf numFmtId="0" fontId="28" fillId="0" borderId="1" xfId="0" applyFont="1" applyBorder="1"/>
    <xf numFmtId="0" fontId="16" fillId="0" borderId="1" xfId="0" applyFont="1" applyBorder="1" applyAlignment="1">
      <alignment horizontal="center" wrapText="1"/>
    </xf>
    <xf numFmtId="0" fontId="0" fillId="17" borderId="1" xfId="0" applyFill="1" applyBorder="1" applyAlignment="1">
      <alignment horizontal="center" wrapText="1"/>
    </xf>
    <xf numFmtId="3" fontId="0" fillId="0" borderId="1" xfId="0" applyNumberFormat="1" applyBorder="1" applyAlignment="1">
      <alignment horizontal="center"/>
    </xf>
    <xf numFmtId="0" fontId="0" fillId="7" borderId="1" xfId="0" applyFill="1" applyBorder="1" applyAlignment="1">
      <alignment horizontal="center" wrapText="1"/>
    </xf>
    <xf numFmtId="0" fontId="0" fillId="28" borderId="1" xfId="0" applyFill="1" applyBorder="1" applyAlignment="1">
      <alignment horizontal="center" wrapText="1"/>
    </xf>
    <xf numFmtId="0" fontId="3" fillId="36" borderId="1" xfId="0" applyFont="1" applyFill="1" applyBorder="1" applyAlignment="1">
      <alignment wrapText="1"/>
    </xf>
    <xf numFmtId="0" fontId="3" fillId="36" borderId="1" xfId="0" applyFont="1" applyFill="1" applyBorder="1" applyAlignment="1">
      <alignment horizontal="center"/>
    </xf>
    <xf numFmtId="0" fontId="3" fillId="36" borderId="1" xfId="0" applyFont="1" applyFill="1" applyBorder="1" applyAlignment="1">
      <alignment horizontal="center" vertical="center"/>
    </xf>
    <xf numFmtId="0" fontId="3" fillId="42" borderId="1" xfId="0" applyFont="1" applyFill="1" applyBorder="1" applyAlignment="1">
      <alignment horizontal="center" vertical="center"/>
    </xf>
    <xf numFmtId="0" fontId="3" fillId="42" borderId="1" xfId="0" applyFont="1" applyFill="1" applyBorder="1" applyAlignment="1">
      <alignment vertical="center" wrapText="1"/>
    </xf>
    <xf numFmtId="0" fontId="3" fillId="42" borderId="1" xfId="0" applyFont="1" applyFill="1" applyBorder="1" applyAlignment="1">
      <alignment vertical="center"/>
    </xf>
    <xf numFmtId="0" fontId="0" fillId="36" borderId="1" xfId="0" applyFill="1" applyBorder="1"/>
    <xf numFmtId="0" fontId="0" fillId="36" borderId="0" xfId="0" applyFill="1"/>
    <xf numFmtId="0" fontId="8" fillId="44" borderId="1" xfId="0" applyFont="1" applyFill="1" applyBorder="1" applyAlignment="1">
      <alignment vertical="center"/>
    </xf>
    <xf numFmtId="0" fontId="3" fillId="0" borderId="1" xfId="0" applyFont="1" applyBorder="1" applyAlignment="1">
      <alignment horizontal="left"/>
    </xf>
    <xf numFmtId="0" fontId="13" fillId="0" borderId="1" xfId="0" applyFont="1" applyBorder="1" applyAlignment="1">
      <alignment wrapText="1"/>
    </xf>
    <xf numFmtId="16" fontId="0" fillId="0" borderId="1" xfId="0" applyNumberFormat="1" applyBorder="1" applyAlignment="1">
      <alignment horizontal="left"/>
    </xf>
    <xf numFmtId="0" fontId="0" fillId="0" borderId="1" xfId="0" applyBorder="1" applyAlignment="1">
      <alignment vertical="center"/>
    </xf>
    <xf numFmtId="17" fontId="0" fillId="0" borderId="1" xfId="0" applyNumberFormat="1" applyBorder="1"/>
    <xf numFmtId="0" fontId="28" fillId="0" borderId="1" xfId="0" applyFont="1" applyBorder="1" applyAlignment="1">
      <alignment horizontal="center" vertical="center"/>
    </xf>
    <xf numFmtId="0" fontId="9" fillId="8" borderId="1" xfId="0" applyFont="1" applyFill="1" applyBorder="1"/>
    <xf numFmtId="0" fontId="0" fillId="0" borderId="2" xfId="0" applyBorder="1" applyAlignment="1">
      <alignment horizontal="left" wrapText="1"/>
    </xf>
    <xf numFmtId="0" fontId="6" fillId="0" borderId="1" xfId="0" applyFont="1" applyBorder="1"/>
    <xf numFmtId="0" fontId="28" fillId="0" borderId="0" xfId="0" applyFont="1"/>
    <xf numFmtId="0" fontId="0" fillId="0" borderId="14" xfId="0" applyBorder="1" applyAlignment="1">
      <alignment horizontal="left" wrapText="1"/>
    </xf>
    <xf numFmtId="0" fontId="0" fillId="36" borderId="3" xfId="0"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14" fontId="0" fillId="0" borderId="3" xfId="0" applyNumberFormat="1" applyBorder="1" applyAlignment="1">
      <alignment horizontal="left" wrapText="1"/>
    </xf>
    <xf numFmtId="0" fontId="0" fillId="36" borderId="5" xfId="0" applyFill="1" applyBorder="1" applyAlignment="1">
      <alignment horizontal="left" wrapText="1"/>
    </xf>
    <xf numFmtId="0" fontId="0" fillId="0" borderId="5" xfId="0" applyBorder="1" applyAlignment="1">
      <alignment horizontal="center"/>
    </xf>
    <xf numFmtId="0" fontId="0" fillId="0" borderId="5" xfId="0" applyBorder="1"/>
    <xf numFmtId="0" fontId="0" fillId="0" borderId="5" xfId="0" applyBorder="1" applyAlignment="1">
      <alignment horizontal="left" wrapText="1"/>
    </xf>
    <xf numFmtId="0" fontId="0" fillId="0" borderId="5" xfId="0" applyBorder="1" applyAlignment="1">
      <alignment wrapText="1"/>
    </xf>
    <xf numFmtId="14" fontId="0" fillId="0" borderId="5" xfId="0" applyNumberFormat="1" applyBorder="1"/>
    <xf numFmtId="0" fontId="0" fillId="41" borderId="1" xfId="0" applyFill="1" applyBorder="1" applyAlignment="1">
      <alignment horizontal="left" wrapText="1"/>
    </xf>
    <xf numFmtId="0" fontId="0" fillId="36" borderId="1" xfId="0" applyFill="1" applyBorder="1" applyAlignment="1">
      <alignment horizontal="center"/>
    </xf>
    <xf numFmtId="0" fontId="21" fillId="0" borderId="1" xfId="0" applyFont="1" applyBorder="1" applyAlignment="1">
      <alignment wrapText="1"/>
    </xf>
    <xf numFmtId="0" fontId="33" fillId="0" borderId="1" xfId="0" applyFont="1" applyBorder="1" applyAlignment="1">
      <alignment wrapText="1"/>
    </xf>
    <xf numFmtId="0" fontId="28" fillId="0" borderId="1" xfId="0" applyFont="1" applyBorder="1" applyAlignment="1">
      <alignment horizontal="center"/>
    </xf>
    <xf numFmtId="0" fontId="0" fillId="6" borderId="5" xfId="0" applyFill="1" applyBorder="1" applyAlignment="1">
      <alignment horizontal="left" wrapText="1"/>
    </xf>
    <xf numFmtId="0" fontId="6" fillId="17" borderId="1" xfId="0" applyFont="1" applyFill="1" applyBorder="1" applyAlignment="1">
      <alignment horizontal="left" wrapText="1"/>
    </xf>
    <xf numFmtId="0" fontId="3" fillId="36" borderId="1" xfId="0" applyFont="1" applyFill="1" applyBorder="1"/>
    <xf numFmtId="0" fontId="6" fillId="0" borderId="0" xfId="0" applyFont="1"/>
    <xf numFmtId="0" fontId="3" fillId="23" borderId="0" xfId="0" applyFont="1" applyFill="1"/>
    <xf numFmtId="0" fontId="3" fillId="6" borderId="0" xfId="0" applyFont="1" applyFill="1"/>
    <xf numFmtId="0" fontId="0" fillId="8" borderId="2" xfId="0" applyFill="1" applyBorder="1"/>
    <xf numFmtId="0" fontId="0" fillId="34" borderId="0" xfId="0" applyFill="1"/>
    <xf numFmtId="0" fontId="0" fillId="34" borderId="0" xfId="0" applyFill="1" applyAlignment="1">
      <alignment horizontal="left" wrapText="1"/>
    </xf>
    <xf numFmtId="14" fontId="0" fillId="6" borderId="5" xfId="0" applyNumberFormat="1" applyFill="1" applyBorder="1" applyAlignment="1">
      <alignment horizontal="left" wrapText="1"/>
    </xf>
    <xf numFmtId="0" fontId="0" fillId="45" borderId="1" xfId="0" applyFill="1" applyBorder="1" applyAlignment="1">
      <alignment horizontal="left" wrapText="1"/>
    </xf>
    <xf numFmtId="0" fontId="0" fillId="46" borderId="1" xfId="0" applyFill="1" applyBorder="1" applyAlignment="1">
      <alignment horizontal="left" wrapText="1"/>
    </xf>
    <xf numFmtId="0" fontId="0" fillId="47" borderId="1" xfId="0" applyFill="1" applyBorder="1" applyAlignment="1">
      <alignment horizontal="left" wrapText="1"/>
    </xf>
    <xf numFmtId="0" fontId="0" fillId="36" borderId="4" xfId="0" applyFill="1" applyBorder="1"/>
    <xf numFmtId="0" fontId="0" fillId="0" borderId="4" xfId="0" applyBorder="1" applyAlignment="1">
      <alignment wrapText="1"/>
    </xf>
    <xf numFmtId="0" fontId="0" fillId="0" borderId="15" xfId="0" applyBorder="1" applyAlignment="1">
      <alignment wrapText="1"/>
    </xf>
    <xf numFmtId="0" fontId="12" fillId="0" borderId="1" xfId="0" applyFont="1" applyBorder="1" applyAlignment="1">
      <alignment wrapText="1"/>
    </xf>
    <xf numFmtId="0" fontId="3" fillId="2" borderId="4" xfId="0" applyFont="1" applyFill="1" applyBorder="1" applyAlignment="1">
      <alignment wrapText="1"/>
    </xf>
    <xf numFmtId="0" fontId="37" fillId="2" borderId="1" xfId="0" applyFont="1" applyFill="1" applyBorder="1" applyAlignment="1">
      <alignment horizontal="center" vertical="center" wrapText="1"/>
    </xf>
    <xf numFmtId="0" fontId="39" fillId="0" borderId="0" xfId="0" applyFont="1" applyAlignment="1">
      <alignment wrapText="1"/>
    </xf>
    <xf numFmtId="0" fontId="17" fillId="0" borderId="1" xfId="0" applyFont="1" applyBorder="1" applyAlignment="1">
      <alignment horizontal="left" wrapText="1"/>
    </xf>
    <xf numFmtId="0" fontId="40" fillId="0" borderId="1" xfId="0" applyFont="1" applyBorder="1" applyAlignment="1">
      <alignment horizontal="left" wrapText="1"/>
    </xf>
    <xf numFmtId="0" fontId="40" fillId="5" borderId="1" xfId="0" applyFont="1" applyFill="1" applyBorder="1" applyAlignment="1">
      <alignment horizontal="left" wrapText="1"/>
    </xf>
    <xf numFmtId="0" fontId="40" fillId="0" borderId="1" xfId="0" applyFont="1" applyBorder="1"/>
    <xf numFmtId="0" fontId="40" fillId="0" borderId="1" xfId="0" applyFont="1" applyBorder="1" applyAlignment="1">
      <alignment wrapText="1"/>
    </xf>
    <xf numFmtId="0" fontId="40" fillId="6" borderId="1" xfId="0" applyFont="1" applyFill="1" applyBorder="1" applyAlignment="1">
      <alignment horizontal="left" wrapText="1"/>
    </xf>
    <xf numFmtId="0" fontId="40" fillId="17" borderId="1" xfId="0" applyFont="1" applyFill="1" applyBorder="1" applyAlignment="1">
      <alignment horizontal="left" wrapText="1"/>
    </xf>
    <xf numFmtId="0" fontId="40" fillId="7" borderId="1" xfId="0" applyFont="1" applyFill="1" applyBorder="1" applyAlignment="1">
      <alignment horizontal="left" wrapText="1"/>
    </xf>
    <xf numFmtId="0" fontId="5" fillId="6" borderId="1" xfId="0" applyFont="1" applyFill="1" applyBorder="1" applyAlignment="1">
      <alignment horizontal="left" wrapText="1"/>
    </xf>
    <xf numFmtId="0" fontId="40" fillId="25" borderId="1" xfId="0" applyFont="1" applyFill="1" applyBorder="1" applyAlignment="1">
      <alignment horizontal="left" wrapText="1"/>
    </xf>
    <xf numFmtId="0" fontId="40" fillId="0" borderId="3" xfId="0" applyFont="1" applyBorder="1" applyAlignment="1">
      <alignment horizontal="left" wrapText="1"/>
    </xf>
    <xf numFmtId="0" fontId="5" fillId="17" borderId="1" xfId="0" applyFont="1" applyFill="1" applyBorder="1" applyAlignment="1">
      <alignment horizontal="left" wrapText="1"/>
    </xf>
    <xf numFmtId="0" fontId="8" fillId="2" borderId="1" xfId="0" applyFont="1" applyFill="1" applyBorder="1" applyAlignment="1">
      <alignment horizontal="left" wrapText="1"/>
    </xf>
    <xf numFmtId="0" fontId="42" fillId="0" borderId="1" xfId="0" applyFont="1" applyBorder="1" applyAlignment="1">
      <alignment wrapText="1"/>
    </xf>
    <xf numFmtId="0" fontId="43" fillId="0" borderId="1" xfId="0" applyFont="1" applyBorder="1"/>
    <xf numFmtId="0" fontId="40" fillId="0" borderId="0" xfId="0" applyFont="1"/>
    <xf numFmtId="14" fontId="18" fillId="0" borderId="1" xfId="0" applyNumberFormat="1" applyFont="1" applyBorder="1" applyAlignment="1">
      <alignment horizontal="left" wrapText="1"/>
    </xf>
    <xf numFmtId="17" fontId="0" fillId="0" borderId="1" xfId="0" applyNumberFormat="1" applyBorder="1" applyAlignment="1">
      <alignment horizontal="left"/>
    </xf>
    <xf numFmtId="0" fontId="35" fillId="0" borderId="1" xfId="0" applyFont="1" applyBorder="1" applyAlignment="1">
      <alignment wrapText="1"/>
    </xf>
    <xf numFmtId="0" fontId="0" fillId="30" borderId="1" xfId="0" applyFill="1" applyBorder="1" applyAlignment="1">
      <alignment wrapText="1"/>
    </xf>
    <xf numFmtId="0" fontId="0" fillId="9" borderId="1" xfId="0" applyFill="1" applyBorder="1" applyAlignment="1">
      <alignment wrapText="1"/>
    </xf>
    <xf numFmtId="17" fontId="0" fillId="0" borderId="1" xfId="0" applyNumberFormat="1" applyBorder="1" applyAlignment="1">
      <alignment wrapText="1"/>
    </xf>
    <xf numFmtId="0" fontId="12" fillId="6" borderId="1" xfId="0" applyFont="1" applyFill="1" applyBorder="1" applyAlignment="1">
      <alignment horizontal="left" wrapText="1"/>
    </xf>
    <xf numFmtId="0" fontId="12" fillId="36" borderId="1" xfId="0" applyFont="1" applyFill="1" applyBorder="1" applyAlignment="1">
      <alignment horizontal="left" wrapText="1"/>
    </xf>
    <xf numFmtId="0" fontId="12" fillId="0" borderId="1" xfId="0" applyFont="1" applyBorder="1" applyAlignment="1">
      <alignment horizontal="center" wrapText="1"/>
    </xf>
    <xf numFmtId="14" fontId="12" fillId="0" borderId="1" xfId="0" applyNumberFormat="1" applyFont="1" applyBorder="1" applyAlignment="1">
      <alignment horizontal="left" wrapText="1"/>
    </xf>
    <xf numFmtId="0" fontId="12" fillId="8" borderId="1" xfId="0" applyFont="1" applyFill="1" applyBorder="1" applyAlignment="1">
      <alignment horizontal="left" wrapText="1"/>
    </xf>
    <xf numFmtId="0" fontId="44" fillId="0" borderId="1" xfId="0" applyFont="1" applyBorder="1" applyAlignment="1">
      <alignment horizontal="left" wrapText="1"/>
    </xf>
    <xf numFmtId="17" fontId="12" fillId="0" borderId="1" xfId="0" applyNumberFormat="1" applyFont="1" applyBorder="1" applyAlignment="1">
      <alignment horizontal="left" wrapText="1"/>
    </xf>
    <xf numFmtId="14" fontId="12" fillId="6" borderId="1" xfId="0" applyNumberFormat="1" applyFont="1" applyFill="1" applyBorder="1" applyAlignment="1">
      <alignment horizontal="left" wrapText="1"/>
    </xf>
    <xf numFmtId="0" fontId="12" fillId="6" borderId="1" xfId="0" applyFont="1" applyFill="1" applyBorder="1" applyAlignment="1">
      <alignment horizontal="center" wrapText="1"/>
    </xf>
    <xf numFmtId="0" fontId="12" fillId="7" borderId="1" xfId="0" applyFont="1" applyFill="1" applyBorder="1" applyAlignment="1">
      <alignment horizontal="left" wrapText="1"/>
    </xf>
    <xf numFmtId="14" fontId="12" fillId="7" borderId="1" xfId="0" applyNumberFormat="1" applyFont="1" applyFill="1" applyBorder="1" applyAlignment="1">
      <alignment horizontal="left" wrapText="1"/>
    </xf>
    <xf numFmtId="0" fontId="12" fillId="0" borderId="1" xfId="0" applyFont="1" applyBorder="1"/>
    <xf numFmtId="0" fontId="12" fillId="0" borderId="1" xfId="0" applyFont="1" applyBorder="1" applyAlignment="1">
      <alignment horizontal="center"/>
    </xf>
    <xf numFmtId="14" fontId="12" fillId="0" borderId="1" xfId="0" applyNumberFormat="1" applyFont="1" applyBorder="1"/>
    <xf numFmtId="0" fontId="12" fillId="15" borderId="1" xfId="0" applyFont="1" applyFill="1" applyBorder="1" applyAlignment="1">
      <alignment horizontal="left" wrapText="1"/>
    </xf>
    <xf numFmtId="0" fontId="46" fillId="0" borderId="1" xfId="0" applyFont="1" applyBorder="1" applyAlignment="1">
      <alignment horizontal="left" wrapText="1"/>
    </xf>
    <xf numFmtId="0" fontId="12" fillId="36" borderId="1" xfId="0" applyFont="1" applyFill="1" applyBorder="1"/>
    <xf numFmtId="0" fontId="44" fillId="6" borderId="1" xfId="0" applyFont="1" applyFill="1" applyBorder="1" applyAlignment="1">
      <alignment horizontal="left" wrapText="1"/>
    </xf>
    <xf numFmtId="0" fontId="12" fillId="24" borderId="1" xfId="0" applyFont="1" applyFill="1" applyBorder="1" applyAlignment="1">
      <alignment horizontal="left" wrapText="1"/>
    </xf>
    <xf numFmtId="14" fontId="12" fillId="24" borderId="1" xfId="0" applyNumberFormat="1" applyFont="1" applyFill="1" applyBorder="1" applyAlignment="1">
      <alignment horizontal="left" wrapText="1"/>
    </xf>
    <xf numFmtId="0" fontId="12" fillId="7" borderId="1" xfId="0" applyFont="1" applyFill="1" applyBorder="1" applyAlignment="1">
      <alignment horizontal="center" wrapText="1"/>
    </xf>
    <xf numFmtId="0" fontId="12" fillId="5" borderId="1" xfId="0" applyFont="1" applyFill="1" applyBorder="1" applyAlignment="1">
      <alignment horizontal="left" wrapText="1"/>
    </xf>
    <xf numFmtId="0" fontId="12" fillId="5" borderId="1" xfId="0" applyFont="1" applyFill="1" applyBorder="1" applyAlignment="1">
      <alignment horizontal="center" wrapText="1"/>
    </xf>
    <xf numFmtId="14" fontId="12" fillId="5" borderId="1" xfId="0" applyNumberFormat="1" applyFont="1" applyFill="1" applyBorder="1" applyAlignment="1">
      <alignment horizontal="left" wrapText="1"/>
    </xf>
    <xf numFmtId="0" fontId="12" fillId="36" borderId="1" xfId="0" applyFont="1" applyFill="1" applyBorder="1" applyAlignment="1">
      <alignment horizontal="left"/>
    </xf>
    <xf numFmtId="0" fontId="12" fillId="0" borderId="1" xfId="0" applyFont="1" applyBorder="1" applyAlignment="1">
      <alignment horizontal="left"/>
    </xf>
    <xf numFmtId="14" fontId="12" fillId="0" borderId="1" xfId="0" applyNumberFormat="1" applyFont="1" applyBorder="1" applyAlignment="1">
      <alignment horizontal="left"/>
    </xf>
    <xf numFmtId="0" fontId="47" fillId="0" borderId="1" xfId="0" applyFont="1" applyBorder="1" applyAlignment="1">
      <alignment horizontal="center" wrapText="1"/>
    </xf>
    <xf numFmtId="0" fontId="12" fillId="41" borderId="1" xfId="0" applyFont="1" applyFill="1" applyBorder="1" applyAlignment="1">
      <alignment horizontal="left" wrapText="1"/>
    </xf>
    <xf numFmtId="0" fontId="12" fillId="24" borderId="1" xfId="0" applyFont="1" applyFill="1" applyBorder="1" applyAlignment="1">
      <alignment horizontal="center" wrapText="1"/>
    </xf>
    <xf numFmtId="14" fontId="12" fillId="0" borderId="1" xfId="0" applyNumberFormat="1" applyFont="1" applyBorder="1" applyAlignment="1">
      <alignment horizontal="center" wrapText="1"/>
    </xf>
    <xf numFmtId="0" fontId="0" fillId="34" borderId="1" xfId="0" applyFill="1" applyBorder="1"/>
    <xf numFmtId="0" fontId="0" fillId="49" borderId="1" xfId="0" applyFill="1" applyBorder="1" applyAlignment="1">
      <alignment horizontal="left" wrapText="1"/>
    </xf>
    <xf numFmtId="0" fontId="0" fillId="50" borderId="1" xfId="0" applyFill="1" applyBorder="1" applyAlignment="1">
      <alignment horizontal="left" wrapText="1"/>
    </xf>
    <xf numFmtId="0" fontId="12" fillId="37" borderId="1" xfId="0" applyFont="1" applyFill="1" applyBorder="1" applyAlignment="1">
      <alignment horizontal="left" wrapText="1"/>
    </xf>
    <xf numFmtId="0" fontId="12" fillId="50" borderId="1" xfId="0" applyFont="1" applyFill="1" applyBorder="1" applyAlignment="1">
      <alignment horizontal="left" wrapText="1"/>
    </xf>
    <xf numFmtId="0" fontId="12" fillId="45" borderId="1" xfId="0" applyFont="1" applyFill="1" applyBorder="1" applyAlignment="1">
      <alignment horizontal="left" wrapText="1"/>
    </xf>
    <xf numFmtId="0" fontId="12" fillId="46" borderId="1" xfId="0" applyFont="1" applyFill="1" applyBorder="1" applyAlignment="1">
      <alignment horizontal="left" wrapText="1"/>
    </xf>
    <xf numFmtId="0" fontId="12" fillId="38" borderId="1" xfId="0" applyFont="1" applyFill="1" applyBorder="1"/>
    <xf numFmtId="0" fontId="12" fillId="34" borderId="1" xfId="0" applyFont="1" applyFill="1" applyBorder="1" applyAlignment="1">
      <alignment horizontal="left" wrapText="1"/>
    </xf>
    <xf numFmtId="0" fontId="9" fillId="0" borderId="0" xfId="0" applyFont="1" applyAlignment="1">
      <alignment horizontal="left" wrapText="1"/>
    </xf>
    <xf numFmtId="0" fontId="0" fillId="51" borderId="1" xfId="0" applyFill="1" applyBorder="1" applyAlignment="1">
      <alignment wrapText="1"/>
    </xf>
    <xf numFmtId="0" fontId="0" fillId="51" borderId="1" xfId="0" applyFill="1" applyBorder="1"/>
    <xf numFmtId="0" fontId="0" fillId="5" borderId="4" xfId="0" applyFill="1" applyBorder="1" applyAlignment="1">
      <alignment horizontal="left" wrapText="1"/>
    </xf>
    <xf numFmtId="0" fontId="12" fillId="6" borderId="4" xfId="0" applyFont="1" applyFill="1" applyBorder="1" applyAlignment="1">
      <alignment horizontal="left" wrapText="1"/>
    </xf>
    <xf numFmtId="0" fontId="40" fillId="2" borderId="1" xfId="0" applyFont="1" applyFill="1" applyBorder="1" applyAlignment="1">
      <alignment horizontal="left" wrapText="1"/>
    </xf>
    <xf numFmtId="14" fontId="0" fillId="0" borderId="1" xfId="0" applyNumberFormat="1" applyBorder="1" applyAlignment="1">
      <alignment horizontal="right" wrapText="1"/>
    </xf>
    <xf numFmtId="0" fontId="48" fillId="0" borderId="1" xfId="0" applyFont="1" applyBorder="1" applyAlignment="1">
      <alignment horizontal="left" wrapText="1"/>
    </xf>
    <xf numFmtId="0" fontId="48" fillId="0" borderId="1" xfId="0" applyFont="1" applyBorder="1" applyAlignment="1">
      <alignment horizontal="center" wrapText="1"/>
    </xf>
    <xf numFmtId="0" fontId="48" fillId="0" borderId="1" xfId="0" applyFont="1" applyBorder="1" applyAlignment="1">
      <alignment horizontal="center"/>
    </xf>
    <xf numFmtId="0" fontId="48" fillId="0" borderId="1" xfId="0" applyFont="1" applyBorder="1" applyAlignment="1">
      <alignment wrapText="1"/>
    </xf>
    <xf numFmtId="0" fontId="18" fillId="0" borderId="1" xfId="0" applyFont="1" applyBorder="1" applyAlignment="1">
      <alignment wrapText="1"/>
    </xf>
    <xf numFmtId="0" fontId="0" fillId="0" borderId="3" xfId="0" applyBorder="1" applyAlignment="1">
      <alignment wrapText="1"/>
    </xf>
    <xf numFmtId="0" fontId="40" fillId="0" borderId="5" xfId="0" applyFont="1" applyBorder="1" applyAlignment="1">
      <alignment horizontal="left" wrapText="1"/>
    </xf>
    <xf numFmtId="0" fontId="0" fillId="52" borderId="1" xfId="0" applyFill="1" applyBorder="1" applyAlignment="1">
      <alignment horizontal="left" wrapText="1"/>
    </xf>
    <xf numFmtId="0" fontId="12" fillId="52" borderId="1" xfId="0" applyFont="1" applyFill="1" applyBorder="1" applyAlignment="1">
      <alignment horizontal="left" wrapText="1"/>
    </xf>
    <xf numFmtId="0" fontId="12" fillId="52" borderId="3" xfId="0" applyFont="1" applyFill="1" applyBorder="1" applyAlignment="1">
      <alignment horizontal="left" wrapText="1"/>
    </xf>
    <xf numFmtId="0" fontId="0" fillId="52" borderId="5" xfId="0" applyFill="1" applyBorder="1" applyAlignment="1">
      <alignment horizontal="left" wrapText="1"/>
    </xf>
    <xf numFmtId="0" fontId="12" fillId="52" borderId="1" xfId="0" applyFont="1" applyFill="1" applyBorder="1"/>
    <xf numFmtId="0" fontId="12" fillId="52" borderId="5" xfId="0" applyFont="1" applyFill="1" applyBorder="1" applyAlignment="1">
      <alignment horizontal="left" wrapText="1"/>
    </xf>
    <xf numFmtId="0" fontId="0" fillId="0" borderId="15" xfId="0" applyBorder="1" applyAlignment="1">
      <alignment horizontal="left" wrapText="1"/>
    </xf>
    <xf numFmtId="0" fontId="0" fillId="3" borderId="1" xfId="0" applyFill="1" applyBorder="1"/>
    <xf numFmtId="0" fontId="0" fillId="3" borderId="1" xfId="0" applyFill="1" applyBorder="1" applyAlignment="1">
      <alignment horizontal="left" wrapText="1"/>
    </xf>
    <xf numFmtId="0" fontId="33" fillId="3" borderId="1" xfId="0" applyFont="1" applyFill="1" applyBorder="1" applyAlignment="1">
      <alignment horizontal="center"/>
    </xf>
    <xf numFmtId="0" fontId="0" fillId="3" borderId="1" xfId="0" applyFill="1" applyBorder="1" applyAlignment="1">
      <alignment horizontal="center"/>
    </xf>
    <xf numFmtId="0" fontId="34" fillId="6" borderId="1" xfId="0" applyFont="1" applyFill="1" applyBorder="1" applyAlignment="1">
      <alignment horizontal="left" wrapText="1"/>
    </xf>
    <xf numFmtId="0" fontId="0" fillId="15" borderId="3" xfId="0" applyFill="1" applyBorder="1" applyAlignment="1">
      <alignment horizontal="left" wrapText="1"/>
    </xf>
    <xf numFmtId="0" fontId="40" fillId="6" borderId="5" xfId="0" applyFont="1" applyFill="1" applyBorder="1" applyAlignment="1">
      <alignment horizontal="left" wrapText="1"/>
    </xf>
    <xf numFmtId="0" fontId="40" fillId="0" borderId="5" xfId="0" applyFont="1" applyBorder="1" applyAlignment="1">
      <alignment wrapText="1"/>
    </xf>
    <xf numFmtId="0" fontId="36" fillId="0" borderId="1" xfId="0" applyFont="1" applyBorder="1"/>
    <xf numFmtId="0" fontId="0" fillId="0" borderId="0" xfId="0" applyAlignment="1">
      <alignment horizontal="center" wrapText="1"/>
    </xf>
    <xf numFmtId="0" fontId="38" fillId="0" borderId="1" xfId="0" applyFont="1" applyBorder="1"/>
    <xf numFmtId="0" fontId="0" fillId="0" borderId="5" xfId="0" applyBorder="1" applyAlignment="1">
      <alignment horizontal="center" wrapText="1"/>
    </xf>
    <xf numFmtId="0" fontId="0" fillId="6" borderId="5" xfId="0" applyFill="1" applyBorder="1" applyAlignment="1">
      <alignment horizontal="center" wrapText="1"/>
    </xf>
    <xf numFmtId="0" fontId="0" fillId="0" borderId="3" xfId="0" applyBorder="1" applyAlignment="1">
      <alignment horizontal="center" vertical="center" wrapText="1"/>
    </xf>
    <xf numFmtId="0" fontId="0" fillId="0" borderId="4" xfId="0" applyBorder="1"/>
    <xf numFmtId="0" fontId="12" fillId="0" borderId="4" xfId="0" applyFont="1" applyBorder="1" applyAlignment="1">
      <alignment horizontal="left" wrapText="1"/>
    </xf>
    <xf numFmtId="0" fontId="12" fillId="0" borderId="14" xfId="0" applyFont="1" applyBorder="1" applyAlignment="1">
      <alignment horizontal="left" wrapText="1"/>
    </xf>
    <xf numFmtId="0" fontId="0" fillId="6" borderId="3" xfId="0" applyFill="1" applyBorder="1" applyAlignment="1">
      <alignment horizontal="left" wrapText="1"/>
    </xf>
    <xf numFmtId="0" fontId="0" fillId="45" borderId="3" xfId="0" applyFill="1" applyBorder="1" applyAlignment="1">
      <alignment horizontal="left" wrapText="1"/>
    </xf>
    <xf numFmtId="0" fontId="18" fillId="9" borderId="1" xfId="0" applyFont="1" applyFill="1" applyBorder="1" applyAlignment="1">
      <alignment wrapText="1"/>
    </xf>
    <xf numFmtId="0" fontId="35" fillId="0" borderId="4" xfId="0" applyFont="1" applyBorder="1" applyAlignment="1">
      <alignment wrapText="1"/>
    </xf>
    <xf numFmtId="0" fontId="3" fillId="48" borderId="1" xfId="0" applyFont="1" applyFill="1" applyBorder="1" applyAlignment="1">
      <alignment wrapText="1"/>
    </xf>
    <xf numFmtId="0" fontId="2" fillId="0" borderId="1" xfId="0" applyFont="1" applyBorder="1" applyAlignment="1">
      <alignment wrapText="1"/>
    </xf>
    <xf numFmtId="17" fontId="0" fillId="6" borderId="3" xfId="0" applyNumberFormat="1" applyFill="1" applyBorder="1" applyAlignment="1">
      <alignment wrapText="1"/>
    </xf>
    <xf numFmtId="0" fontId="2" fillId="0" borderId="1" xfId="0" applyFont="1" applyBorder="1" applyAlignment="1">
      <alignment horizontal="left" wrapText="1"/>
    </xf>
    <xf numFmtId="0" fontId="2" fillId="0" borderId="0" xfId="0" applyFont="1" applyAlignment="1">
      <alignment horizontal="center"/>
    </xf>
    <xf numFmtId="0" fontId="2" fillId="0" borderId="1" xfId="0" applyFont="1" applyBorder="1" applyAlignment="1">
      <alignment horizontal="left"/>
    </xf>
    <xf numFmtId="0" fontId="2" fillId="0" borderId="1" xfId="0" applyFont="1" applyBorder="1"/>
    <xf numFmtId="0" fontId="2" fillId="26" borderId="1" xfId="0" applyFont="1" applyFill="1" applyBorder="1"/>
    <xf numFmtId="0" fontId="2" fillId="6" borderId="1" xfId="0" applyFont="1" applyFill="1" applyBorder="1" applyAlignment="1">
      <alignment horizontal="left" wrapText="1"/>
    </xf>
    <xf numFmtId="14" fontId="2" fillId="0" borderId="1" xfId="0" applyNumberFormat="1" applyFont="1" applyBorder="1" applyAlignment="1">
      <alignment horizontal="left" wrapText="1"/>
    </xf>
    <xf numFmtId="0" fontId="2" fillId="0" borderId="1" xfId="0" applyFont="1" applyBorder="1" applyAlignment="1">
      <alignment horizontal="center"/>
    </xf>
    <xf numFmtId="0" fontId="2" fillId="0" borderId="1" xfId="0" applyFont="1" applyBorder="1" applyAlignment="1">
      <alignment horizontal="left" vertical="top" wrapText="1"/>
    </xf>
    <xf numFmtId="0" fontId="2" fillId="5" borderId="1" xfId="0" applyFont="1" applyFill="1" applyBorder="1" applyAlignment="1">
      <alignment horizontal="left" wrapText="1"/>
    </xf>
    <xf numFmtId="17" fontId="2" fillId="0" borderId="1" xfId="0" applyNumberFormat="1" applyFont="1" applyBorder="1" applyAlignment="1">
      <alignment horizontal="left" wrapText="1"/>
    </xf>
    <xf numFmtId="0" fontId="2" fillId="9" borderId="1" xfId="0" applyFont="1" applyFill="1" applyBorder="1" applyAlignment="1">
      <alignment wrapText="1"/>
    </xf>
    <xf numFmtId="0" fontId="2" fillId="36" borderId="1" xfId="0" applyFont="1" applyFill="1" applyBorder="1"/>
    <xf numFmtId="0" fontId="2" fillId="0" borderId="1" xfId="0" applyFont="1" applyBorder="1" applyAlignment="1">
      <alignment horizontal="left" vertical="center" wrapText="1"/>
    </xf>
    <xf numFmtId="14" fontId="2" fillId="6" borderId="1" xfId="0" applyNumberFormat="1" applyFont="1" applyFill="1" applyBorder="1" applyAlignment="1">
      <alignment horizontal="left" wrapText="1"/>
    </xf>
    <xf numFmtId="0" fontId="2" fillId="8" borderId="1" xfId="0" applyFont="1" applyFill="1" applyBorder="1" applyAlignment="1">
      <alignment horizontal="left" wrapText="1"/>
    </xf>
    <xf numFmtId="0" fontId="2" fillId="0" borderId="0" xfId="0" applyFont="1" applyAlignment="1">
      <alignment horizontal="left" wrapText="1"/>
    </xf>
    <xf numFmtId="0" fontId="2" fillId="17" borderId="1" xfId="0" applyFont="1" applyFill="1" applyBorder="1" applyAlignment="1">
      <alignment horizontal="left" wrapText="1"/>
    </xf>
    <xf numFmtId="0" fontId="2" fillId="15" borderId="1" xfId="0" applyFont="1" applyFill="1" applyBorder="1" applyAlignment="1">
      <alignment wrapText="1"/>
    </xf>
    <xf numFmtId="0" fontId="2" fillId="47" borderId="1" xfId="0" applyFont="1" applyFill="1" applyBorder="1" applyAlignment="1">
      <alignment horizontal="left" wrapText="1"/>
    </xf>
    <xf numFmtId="0" fontId="2" fillId="18" borderId="1" xfId="0" applyFont="1" applyFill="1" applyBorder="1" applyAlignment="1">
      <alignment horizontal="left" wrapText="1"/>
    </xf>
    <xf numFmtId="17" fontId="2" fillId="43" borderId="1" xfId="0" applyNumberFormat="1" applyFont="1" applyFill="1" applyBorder="1" applyAlignment="1">
      <alignment horizontal="left" wrapText="1"/>
    </xf>
    <xf numFmtId="0" fontId="2" fillId="34" borderId="0" xfId="0" applyFont="1" applyFill="1" applyAlignment="1">
      <alignment wrapText="1"/>
    </xf>
    <xf numFmtId="0" fontId="2" fillId="7" borderId="1" xfId="0" applyFont="1" applyFill="1" applyBorder="1" applyAlignment="1">
      <alignment horizontal="left" wrapText="1"/>
    </xf>
    <xf numFmtId="3" fontId="2" fillId="0" borderId="1" xfId="0" applyNumberFormat="1" applyFont="1" applyBorder="1" applyAlignment="1">
      <alignment horizontal="center" wrapText="1"/>
    </xf>
    <xf numFmtId="0" fontId="2" fillId="0" borderId="3" xfId="0" applyFont="1" applyBorder="1" applyAlignment="1">
      <alignment horizontal="left" wrapText="1"/>
    </xf>
    <xf numFmtId="0" fontId="2" fillId="6" borderId="5" xfId="0" applyFont="1" applyFill="1" applyBorder="1" applyAlignment="1">
      <alignment horizontal="left" wrapText="1"/>
    </xf>
    <xf numFmtId="17" fontId="2" fillId="0" borderId="5" xfId="0" applyNumberFormat="1" applyFont="1" applyBorder="1" applyAlignment="1">
      <alignment horizontal="left" wrapText="1"/>
    </xf>
    <xf numFmtId="0" fontId="2" fillId="0" borderId="5" xfId="0" applyFont="1" applyBorder="1" applyAlignment="1">
      <alignment horizontal="left" wrapText="1"/>
    </xf>
    <xf numFmtId="0" fontId="2" fillId="0" borderId="5" xfId="0" applyFont="1" applyBorder="1" applyAlignment="1">
      <alignment wrapText="1"/>
    </xf>
    <xf numFmtId="22" fontId="2" fillId="0" borderId="1" xfId="0" applyNumberFormat="1" applyFont="1" applyBorder="1" applyAlignment="1">
      <alignment wrapText="1"/>
    </xf>
    <xf numFmtId="0" fontId="2" fillId="0" borderId="1" xfId="0" applyFont="1" applyBorder="1" applyAlignment="1">
      <alignment horizontal="center" wrapText="1"/>
    </xf>
    <xf numFmtId="0" fontId="2" fillId="41" borderId="0" xfId="0" applyFont="1" applyFill="1" applyAlignment="1">
      <alignment wrapText="1"/>
    </xf>
    <xf numFmtId="14" fontId="2" fillId="0" borderId="5" xfId="0" applyNumberFormat="1" applyFont="1" applyBorder="1" applyAlignment="1">
      <alignment horizontal="left" wrapText="1"/>
    </xf>
    <xf numFmtId="0" fontId="2" fillId="0" borderId="1" xfId="0" applyFont="1" applyBorder="1" applyAlignment="1">
      <alignment horizontal="center" vertical="center"/>
    </xf>
    <xf numFmtId="0" fontId="2" fillId="0" borderId="0" xfId="0" applyFont="1"/>
    <xf numFmtId="16" fontId="2" fillId="0" borderId="1" xfId="0" applyNumberFormat="1" applyFont="1" applyBorder="1" applyAlignment="1">
      <alignment horizontal="left" wrapText="1"/>
    </xf>
    <xf numFmtId="16" fontId="2" fillId="0" borderId="4" xfId="0" applyNumberFormat="1" applyFont="1" applyBorder="1" applyAlignment="1">
      <alignment horizontal="left" wrapText="1"/>
    </xf>
    <xf numFmtId="0" fontId="2" fillId="0" borderId="4" xfId="0" applyFont="1" applyBorder="1" applyAlignment="1">
      <alignment wrapText="1"/>
    </xf>
    <xf numFmtId="0" fontId="2" fillId="0" borderId="4" xfId="0" applyFont="1" applyBorder="1" applyAlignment="1">
      <alignment horizontal="left" wrapText="1"/>
    </xf>
    <xf numFmtId="0" fontId="2" fillId="24" borderId="1" xfId="0" applyFont="1" applyFill="1" applyBorder="1" applyAlignment="1">
      <alignment horizontal="left" wrapText="1"/>
    </xf>
    <xf numFmtId="14" fontId="2" fillId="0" borderId="1" xfId="0" applyNumberFormat="1" applyFont="1" applyBorder="1"/>
    <xf numFmtId="0" fontId="2" fillId="2" borderId="1" xfId="0" applyFont="1" applyFill="1" applyBorder="1" applyAlignment="1">
      <alignment horizontal="left" wrapText="1"/>
    </xf>
    <xf numFmtId="0" fontId="2" fillId="2" borderId="4" xfId="0" applyFont="1" applyFill="1" applyBorder="1" applyAlignment="1">
      <alignment wrapText="1"/>
    </xf>
    <xf numFmtId="0" fontId="2" fillId="0" borderId="5" xfId="0" applyFont="1" applyBorder="1"/>
    <xf numFmtId="0" fontId="2" fillId="0" borderId="12" xfId="0" applyFont="1" applyBorder="1" applyAlignment="1">
      <alignment wrapText="1"/>
    </xf>
    <xf numFmtId="0" fontId="2" fillId="5" borderId="1" xfId="0" applyFont="1" applyFill="1" applyBorder="1" applyAlignment="1">
      <alignment horizontal="center" wrapText="1"/>
    </xf>
    <xf numFmtId="0" fontId="2" fillId="36" borderId="1" xfId="0" applyFont="1" applyFill="1" applyBorder="1" applyAlignment="1">
      <alignment horizontal="left" wrapText="1"/>
    </xf>
    <xf numFmtId="0" fontId="2" fillId="3" borderId="1" xfId="0" applyFont="1" applyFill="1" applyBorder="1"/>
    <xf numFmtId="0" fontId="2" fillId="3" borderId="1" xfId="0" applyFont="1" applyFill="1" applyBorder="1" applyAlignment="1">
      <alignment horizontal="center"/>
    </xf>
    <xf numFmtId="0" fontId="2" fillId="0" borderId="1" xfId="0" applyFont="1" applyBorder="1" applyAlignment="1">
      <alignment vertical="center" wrapText="1"/>
    </xf>
    <xf numFmtId="0" fontId="2" fillId="6" borderId="1" xfId="0" applyFont="1" applyFill="1" applyBorder="1" applyAlignment="1">
      <alignment horizontal="center" wrapText="1"/>
    </xf>
    <xf numFmtId="0" fontId="2" fillId="6" borderId="0" xfId="0" applyFont="1" applyFill="1" applyAlignment="1">
      <alignment horizontal="left" wrapText="1"/>
    </xf>
    <xf numFmtId="0" fontId="40" fillId="6" borderId="16" xfId="0" applyFont="1" applyFill="1" applyBorder="1" applyAlignment="1">
      <alignment horizontal="left" wrapText="1"/>
    </xf>
    <xf numFmtId="0" fontId="0" fillId="6" borderId="16" xfId="0" applyFill="1" applyBorder="1" applyAlignment="1">
      <alignment horizontal="center" vertical="center" wrapText="1"/>
    </xf>
    <xf numFmtId="0" fontId="0" fillId="6" borderId="16" xfId="0" applyFill="1" applyBorder="1" applyAlignment="1">
      <alignment horizontal="left" wrapText="1"/>
    </xf>
    <xf numFmtId="0" fontId="12" fillId="0" borderId="4" xfId="0" applyFont="1" applyBorder="1" applyAlignment="1">
      <alignment horizontal="center"/>
    </xf>
    <xf numFmtId="0" fontId="12" fillId="0" borderId="0" xfId="0" applyFont="1" applyAlignment="1">
      <alignment horizontal="center"/>
    </xf>
    <xf numFmtId="0" fontId="12" fillId="0" borderId="0" xfId="0" applyFont="1" applyAlignment="1">
      <alignment horizontal="left" wrapText="1"/>
    </xf>
    <xf numFmtId="0" fontId="12" fillId="0" borderId="12" xfId="0" applyFont="1" applyBorder="1" applyAlignment="1">
      <alignment horizontal="center"/>
    </xf>
    <xf numFmtId="0" fontId="0" fillId="0" borderId="17" xfId="0" applyBorder="1"/>
    <xf numFmtId="0" fontId="0" fillId="0" borderId="18" xfId="0" applyBorder="1"/>
    <xf numFmtId="0" fontId="12" fillId="0" borderId="5" xfId="0" applyFont="1" applyBorder="1" applyAlignment="1">
      <alignment horizontal="left"/>
    </xf>
    <xf numFmtId="0" fontId="12" fillId="0" borderId="5" xfId="0" applyFont="1" applyBorder="1" applyAlignment="1">
      <alignment horizontal="center"/>
    </xf>
    <xf numFmtId="0" fontId="12" fillId="0" borderId="12" xfId="0" applyFont="1" applyBorder="1" applyAlignment="1">
      <alignment horizontal="left" wrapText="1"/>
    </xf>
    <xf numFmtId="14" fontId="0" fillId="0" borderId="16" xfId="0" applyNumberFormat="1" applyBorder="1"/>
    <xf numFmtId="0" fontId="50" fillId="0" borderId="1" xfId="0" applyFont="1" applyBorder="1" applyAlignment="1">
      <alignment wrapText="1"/>
    </xf>
    <xf numFmtId="0" fontId="0" fillId="36" borderId="16" xfId="0" applyFill="1" applyBorder="1" applyAlignment="1">
      <alignment horizontal="center"/>
    </xf>
    <xf numFmtId="0" fontId="0" fillId="36" borderId="16" xfId="0" applyFill="1" applyBorder="1"/>
    <xf numFmtId="0" fontId="0" fillId="0" borderId="16" xfId="0" applyBorder="1"/>
    <xf numFmtId="0" fontId="33" fillId="3" borderId="16" xfId="0" applyFont="1" applyFill="1" applyBorder="1" applyAlignment="1">
      <alignment horizontal="center"/>
    </xf>
    <xf numFmtId="0" fontId="2" fillId="3" borderId="16" xfId="0" applyFont="1" applyFill="1" applyBorder="1"/>
    <xf numFmtId="0" fontId="51" fillId="0" borderId="16" xfId="0" applyFont="1" applyBorder="1" applyAlignment="1">
      <alignment wrapText="1"/>
    </xf>
    <xf numFmtId="0" fontId="2" fillId="3" borderId="16" xfId="0" applyFont="1" applyFill="1" applyBorder="1" applyAlignment="1">
      <alignment horizontal="center"/>
    </xf>
    <xf numFmtId="0" fontId="0" fillId="3" borderId="16" xfId="0" applyFill="1" applyBorder="1" applyAlignment="1">
      <alignment horizontal="left" wrapText="1"/>
    </xf>
    <xf numFmtId="0" fontId="2" fillId="0" borderId="16" xfId="0" applyFont="1" applyBorder="1" applyAlignment="1">
      <alignment wrapText="1"/>
    </xf>
    <xf numFmtId="0" fontId="12" fillId="0" borderId="12" xfId="0" applyFont="1" applyBorder="1" applyAlignment="1">
      <alignment horizontal="center" wrapText="1"/>
    </xf>
    <xf numFmtId="0" fontId="52" fillId="2" borderId="0" xfId="0" applyFont="1" applyFill="1" applyAlignment="1">
      <alignment wrapText="1"/>
    </xf>
    <xf numFmtId="0" fontId="53" fillId="0" borderId="0" xfId="0" applyFont="1" applyAlignment="1">
      <alignment wrapText="1"/>
    </xf>
    <xf numFmtId="0" fontId="12" fillId="7" borderId="1" xfId="0" applyFont="1" applyFill="1" applyBorder="1" applyAlignment="1">
      <alignment horizontal="left"/>
    </xf>
    <xf numFmtId="0" fontId="44" fillId="7" borderId="1" xfId="0" applyFont="1" applyFill="1" applyBorder="1" applyAlignment="1">
      <alignment horizontal="center"/>
    </xf>
    <xf numFmtId="0" fontId="12" fillId="7" borderId="1" xfId="0" applyFont="1" applyFill="1" applyBorder="1" applyAlignment="1">
      <alignment horizontal="center"/>
    </xf>
    <xf numFmtId="14" fontId="12" fillId="7" borderId="1" xfId="0" applyNumberFormat="1" applyFont="1" applyFill="1" applyBorder="1" applyAlignment="1">
      <alignment horizontal="left"/>
    </xf>
    <xf numFmtId="0" fontId="12" fillId="6" borderId="1" xfId="0" applyFont="1" applyFill="1" applyBorder="1" applyAlignment="1">
      <alignment horizontal="left"/>
    </xf>
    <xf numFmtId="0" fontId="2" fillId="7" borderId="1" xfId="0" applyFont="1" applyFill="1" applyBorder="1" applyAlignment="1">
      <alignment horizontal="left"/>
    </xf>
    <xf numFmtId="0" fontId="0" fillId="46" borderId="1" xfId="0" applyFill="1" applyBorder="1" applyAlignment="1">
      <alignment horizontal="left"/>
    </xf>
    <xf numFmtId="17" fontId="2" fillId="0" borderId="4" xfId="0" applyNumberFormat="1" applyFont="1" applyBorder="1" applyAlignment="1">
      <alignment wrapText="1"/>
    </xf>
    <xf numFmtId="0" fontId="50" fillId="0" borderId="1" xfId="0" applyFont="1" applyBorder="1" applyAlignment="1">
      <alignment horizontal="left" wrapText="1"/>
    </xf>
    <xf numFmtId="17" fontId="50" fillId="0" borderId="1" xfId="0" applyNumberFormat="1" applyFont="1" applyBorder="1" applyAlignment="1">
      <alignment horizontal="left" wrapText="1"/>
    </xf>
    <xf numFmtId="0" fontId="52" fillId="0" borderId="0" xfId="0" applyFont="1"/>
    <xf numFmtId="0" fontId="0" fillId="11" borderId="16" xfId="0" applyFill="1" applyBorder="1"/>
    <xf numFmtId="0" fontId="40" fillId="0" borderId="16" xfId="0" applyFont="1" applyBorder="1"/>
    <xf numFmtId="0" fontId="0" fillId="0" borderId="16" xfId="0" applyBorder="1" applyAlignment="1">
      <alignment horizontal="center"/>
    </xf>
    <xf numFmtId="0" fontId="0" fillId="0" borderId="16" xfId="0" applyBorder="1" applyAlignment="1">
      <alignment wrapText="1"/>
    </xf>
    <xf numFmtId="0" fontId="52" fillId="2" borderId="16" xfId="0" applyFont="1" applyFill="1" applyBorder="1" applyAlignment="1">
      <alignment wrapText="1"/>
    </xf>
    <xf numFmtId="0" fontId="52" fillId="0" borderId="16" xfId="0" applyFont="1" applyBorder="1"/>
    <xf numFmtId="0" fontId="0" fillId="11" borderId="16" xfId="0" applyFill="1" applyBorder="1" applyAlignment="1">
      <alignment horizontal="center"/>
    </xf>
    <xf numFmtId="0" fontId="4" fillId="0" borderId="16" xfId="0" applyFont="1" applyBorder="1" applyAlignment="1">
      <alignment horizontal="left" wrapText="1"/>
    </xf>
    <xf numFmtId="0" fontId="0" fillId="0" borderId="16" xfId="0" applyBorder="1" applyAlignment="1">
      <alignment horizontal="left" wrapText="1"/>
    </xf>
    <xf numFmtId="0" fontId="56" fillId="0" borderId="16" xfId="0" applyFont="1" applyBorder="1"/>
    <xf numFmtId="0" fontId="12" fillId="46" borderId="16" xfId="0" applyFont="1" applyFill="1" applyBorder="1" applyAlignment="1">
      <alignment horizontal="left" wrapText="1"/>
    </xf>
    <xf numFmtId="0" fontId="12" fillId="46" borderId="3" xfId="0" applyFont="1" applyFill="1" applyBorder="1" applyAlignment="1">
      <alignment horizontal="left" wrapText="1"/>
    </xf>
    <xf numFmtId="0" fontId="0" fillId="53" borderId="0" xfId="0" applyFill="1" applyAlignment="1">
      <alignment wrapText="1"/>
    </xf>
    <xf numFmtId="0" fontId="0" fillId="53" borderId="0" xfId="0" applyFill="1"/>
    <xf numFmtId="0" fontId="3" fillId="54" borderId="1" xfId="0" applyFont="1" applyFill="1" applyBorder="1" applyAlignment="1">
      <alignment horizontal="center" wrapText="1"/>
    </xf>
    <xf numFmtId="0" fontId="0" fillId="54" borderId="1" xfId="0" applyFill="1" applyBorder="1"/>
    <xf numFmtId="0" fontId="0" fillId="54" borderId="1" xfId="0" applyFill="1" applyBorder="1" applyAlignment="1">
      <alignment wrapText="1"/>
    </xf>
    <xf numFmtId="0" fontId="0" fillId="54" borderId="0" xfId="0" applyFill="1"/>
    <xf numFmtId="14" fontId="0" fillId="0" borderId="0" xfId="0" applyNumberFormat="1"/>
    <xf numFmtId="0" fontId="58" fillId="0" borderId="0" xfId="0" applyFont="1"/>
    <xf numFmtId="0" fontId="7" fillId="53" borderId="7" xfId="0" applyFont="1" applyFill="1" applyBorder="1" applyAlignment="1">
      <alignment horizontal="center"/>
    </xf>
    <xf numFmtId="0" fontId="7" fillId="53" borderId="8" xfId="0" applyFont="1" applyFill="1" applyBorder="1" applyAlignment="1">
      <alignment horizontal="center"/>
    </xf>
    <xf numFmtId="0" fontId="7" fillId="12" borderId="8" xfId="0" applyFont="1" applyFill="1" applyBorder="1" applyAlignment="1">
      <alignment horizontal="center"/>
    </xf>
    <xf numFmtId="0" fontId="7" fillId="53" borderId="9" xfId="0" applyFont="1" applyFill="1" applyBorder="1" applyAlignment="1">
      <alignment horizontal="center"/>
    </xf>
    <xf numFmtId="0" fontId="7" fillId="53" borderId="10" xfId="0" applyFont="1" applyFill="1" applyBorder="1" applyAlignment="1">
      <alignment horizontal="center"/>
    </xf>
    <xf numFmtId="0" fontId="7" fillId="53" borderId="0" xfId="0" applyFont="1" applyFill="1" applyAlignment="1">
      <alignment horizontal="center"/>
    </xf>
    <xf numFmtId="0" fontId="7" fillId="12" borderId="0" xfId="0" applyFont="1" applyFill="1" applyAlignment="1">
      <alignment horizontal="center"/>
    </xf>
    <xf numFmtId="0" fontId="7" fillId="53" borderId="11" xfId="0" applyFont="1" applyFill="1" applyBorder="1" applyAlignment="1">
      <alignment horizontal="center"/>
    </xf>
    <xf numFmtId="0" fontId="7" fillId="53" borderId="12" xfId="0" applyFont="1" applyFill="1" applyBorder="1" applyAlignment="1">
      <alignment horizontal="center"/>
    </xf>
    <xf numFmtId="0" fontId="7" fillId="53" borderId="6" xfId="0" applyFont="1" applyFill="1" applyBorder="1" applyAlignment="1">
      <alignment horizontal="center"/>
    </xf>
    <xf numFmtId="0" fontId="7" fillId="12" borderId="6" xfId="0" applyFont="1" applyFill="1" applyBorder="1" applyAlignment="1">
      <alignment horizontal="center"/>
    </xf>
    <xf numFmtId="0" fontId="7" fillId="53" borderId="13" xfId="0" applyFont="1" applyFill="1" applyBorder="1" applyAlignment="1">
      <alignment horizontal="center"/>
    </xf>
    <xf numFmtId="0" fontId="0" fillId="36" borderId="16" xfId="0" applyFill="1" applyBorder="1" applyAlignment="1">
      <alignment horizontal="center"/>
    </xf>
    <xf numFmtId="0" fontId="0" fillId="36" borderId="17" xfId="0" applyFill="1" applyBorder="1" applyAlignment="1">
      <alignment horizontal="center"/>
    </xf>
    <xf numFmtId="0" fontId="0" fillId="41" borderId="1" xfId="0" applyFill="1" applyBorder="1" applyAlignment="1">
      <alignment horizontal="center"/>
    </xf>
    <xf numFmtId="0" fontId="0" fillId="0" borderId="4" xfId="0" applyBorder="1" applyAlignment="1">
      <alignment horizontal="center"/>
    </xf>
    <xf numFmtId="0" fontId="0" fillId="0" borderId="14" xfId="0" applyBorder="1" applyAlignment="1">
      <alignment horizontal="center"/>
    </xf>
    <xf numFmtId="0" fontId="0" fillId="0" borderId="2" xfId="0" applyBorder="1" applyAlignment="1">
      <alignment horizontal="center"/>
    </xf>
    <xf numFmtId="0" fontId="3" fillId="3" borderId="1" xfId="0" applyFont="1" applyFill="1" applyBorder="1" applyAlignment="1">
      <alignment horizontal="center" wrapText="1"/>
    </xf>
    <xf numFmtId="0" fontId="3" fillId="4" borderId="1" xfId="0" applyFont="1" applyFill="1" applyBorder="1" applyAlignment="1">
      <alignment horizontal="center"/>
    </xf>
    <xf numFmtId="0" fontId="3" fillId="4" borderId="1" xfId="0" applyFont="1" applyFill="1" applyBorder="1" applyAlignment="1">
      <alignment horizontal="center" wrapText="1"/>
    </xf>
    <xf numFmtId="0" fontId="0" fillId="33" borderId="1" xfId="0" applyFill="1" applyBorder="1" applyAlignment="1">
      <alignment horizontal="center"/>
    </xf>
    <xf numFmtId="0" fontId="0" fillId="33" borderId="4" xfId="0" applyFill="1" applyBorder="1" applyAlignment="1">
      <alignment horizontal="center"/>
    </xf>
    <xf numFmtId="0" fontId="0" fillId="33" borderId="16" xfId="0" applyFill="1" applyBorder="1" applyAlignment="1">
      <alignment horizontal="center"/>
    </xf>
    <xf numFmtId="0" fontId="3" fillId="34" borderId="6" xfId="0" applyFont="1" applyFill="1" applyBorder="1" applyAlignment="1">
      <alignment horizontal="center"/>
    </xf>
    <xf numFmtId="0" fontId="3" fillId="34" borderId="0" xfId="0" applyFont="1" applyFill="1" applyAlignment="1">
      <alignment horizontal="center"/>
    </xf>
    <xf numFmtId="0" fontId="1" fillId="6" borderId="1" xfId="0" applyFont="1" applyFill="1" applyBorder="1" applyAlignment="1">
      <alignment horizontal="left" wrapText="1"/>
    </xf>
    <xf numFmtId="0" fontId="1" fillId="17" borderId="1" xfId="0" applyFont="1" applyFill="1" applyBorder="1" applyAlignment="1">
      <alignment horizontal="left" wrapText="1"/>
    </xf>
    <xf numFmtId="0" fontId="1" fillId="5" borderId="1" xfId="0" applyFont="1" applyFill="1" applyBorder="1" applyAlignment="1">
      <alignment horizontal="left" wrapText="1"/>
    </xf>
    <xf numFmtId="0" fontId="1" fillId="0" borderId="1" xfId="0" applyFont="1" applyBorder="1" applyAlignment="1">
      <alignment horizontal="left"/>
    </xf>
  </cellXfs>
  <cellStyles count="1">
    <cellStyle name="Normal" xfId="0" builtinId="0"/>
  </cellStyles>
  <dxfs count="17">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FFFF"/>
      <color rgb="FFCCFFCC"/>
      <color rgb="FFFFCCFF"/>
      <color rgb="FFFF66FF"/>
      <color rgb="FFFF5050"/>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1295400</xdr:colOff>
      <xdr:row>0</xdr:row>
      <xdr:rowOff>76200</xdr:rowOff>
    </xdr:from>
    <xdr:to>
      <xdr:col>10</xdr:col>
      <xdr:colOff>1314450</xdr:colOff>
      <xdr:row>2</xdr:row>
      <xdr:rowOff>152400</xdr:rowOff>
    </xdr:to>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8753475" y="76200"/>
          <a:ext cx="6324600" cy="457200"/>
        </a:xfrm>
        <a:prstGeom prst="rect">
          <a:avLst/>
        </a:prstGeom>
        <a:solidFill>
          <a:srgbClr val="0033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baseline="0">
              <a:solidFill>
                <a:schemeClr val="bg1"/>
              </a:solidFill>
            </a:rPr>
            <a:t>CABEZA Y CUELLO </a:t>
          </a:r>
          <a:endParaRPr lang="es-CL"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561975</xdr:colOff>
      <xdr:row>164</xdr:row>
      <xdr:rowOff>0</xdr:rowOff>
    </xdr:from>
    <xdr:to>
      <xdr:col>26</xdr:col>
      <xdr:colOff>1476375</xdr:colOff>
      <xdr:row>173</xdr:row>
      <xdr:rowOff>16289</xdr:rowOff>
    </xdr:to>
    <xdr:pic>
      <xdr:nvPicPr>
        <xdr:cNvPr id="2" name="Control 4" hidden="1">
          <a:extLst>
            <a:ext uri="{FF2B5EF4-FFF2-40B4-BE49-F238E27FC236}">
              <a16:creationId xmlns:a16="http://schemas.microsoft.com/office/drawing/2014/main" id="{6991FC41-9C34-4F74-9C66-F3509D05A849}"/>
            </a:ext>
          </a:extLst>
        </xdr:cNvPr>
        <xdr:cNvPicPr>
          <a:picLocks noChangeAspect="1"/>
        </xdr:cNvPicPr>
      </xdr:nvPicPr>
      <xdr:blipFill>
        <a:blip xmlns:r="http://schemas.openxmlformats.org/officeDocument/2006/relationships" r:embed="rId1"/>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3" name="Control 5" hidden="1">
          <a:extLst>
            <a:ext uri="{FF2B5EF4-FFF2-40B4-BE49-F238E27FC236}">
              <a16:creationId xmlns:a16="http://schemas.microsoft.com/office/drawing/2014/main" id="{45BCEF40-A9E8-4FC5-99C1-D5992EF00459}"/>
            </a:ext>
          </a:extLst>
        </xdr:cNvPr>
        <xdr:cNvPicPr>
          <a:picLocks noChangeAspect="1"/>
        </xdr:cNvPicPr>
      </xdr:nvPicPr>
      <xdr:blipFill>
        <a:blip xmlns:r="http://schemas.openxmlformats.org/officeDocument/2006/relationships" r:embed="rId2"/>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4" name="Control 6" hidden="1">
          <a:extLst>
            <a:ext uri="{FF2B5EF4-FFF2-40B4-BE49-F238E27FC236}">
              <a16:creationId xmlns:a16="http://schemas.microsoft.com/office/drawing/2014/main" id="{FB0C8900-940F-4A18-80D3-0B3E6DEAAC6D}"/>
            </a:ext>
          </a:extLst>
        </xdr:cNvPr>
        <xdr:cNvPicPr>
          <a:picLocks noChangeAspect="1"/>
        </xdr:cNvPicPr>
      </xdr:nvPicPr>
      <xdr:blipFill>
        <a:blip xmlns:r="http://schemas.openxmlformats.org/officeDocument/2006/relationships" r:embed="rId3"/>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5" name="Control 7" hidden="1">
          <a:extLst>
            <a:ext uri="{FF2B5EF4-FFF2-40B4-BE49-F238E27FC236}">
              <a16:creationId xmlns:a16="http://schemas.microsoft.com/office/drawing/2014/main" id="{8C2184E9-D4A4-4961-8641-BF0C43860324}"/>
            </a:ext>
          </a:extLst>
        </xdr:cNvPr>
        <xdr:cNvPicPr>
          <a:picLocks noChangeAspect="1"/>
        </xdr:cNvPicPr>
      </xdr:nvPicPr>
      <xdr:blipFill>
        <a:blip xmlns:r="http://schemas.openxmlformats.org/officeDocument/2006/relationships" r:embed="rId4"/>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6" name="Control 8" hidden="1">
          <a:extLst>
            <a:ext uri="{FF2B5EF4-FFF2-40B4-BE49-F238E27FC236}">
              <a16:creationId xmlns:a16="http://schemas.microsoft.com/office/drawing/2014/main" id="{7FF7E7A8-1265-4242-AEE6-3B140004EB1F}"/>
            </a:ext>
          </a:extLst>
        </xdr:cNvPr>
        <xdr:cNvPicPr>
          <a:picLocks noChangeAspect="1"/>
        </xdr:cNvPicPr>
      </xdr:nvPicPr>
      <xdr:blipFill>
        <a:blip xmlns:r="http://schemas.openxmlformats.org/officeDocument/2006/relationships" r:embed="rId5"/>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7" name="Control 4" hidden="1">
          <a:extLst>
            <a:ext uri="{FF2B5EF4-FFF2-40B4-BE49-F238E27FC236}">
              <a16:creationId xmlns:a16="http://schemas.microsoft.com/office/drawing/2014/main" id="{D50E1274-FE4F-4370-BE18-66F2832556A0}"/>
            </a:ext>
          </a:extLst>
        </xdr:cNvPr>
        <xdr:cNvPicPr>
          <a:picLocks noChangeAspect="1"/>
        </xdr:cNvPicPr>
      </xdr:nvPicPr>
      <xdr:blipFill>
        <a:blip xmlns:r="http://schemas.openxmlformats.org/officeDocument/2006/relationships" r:embed="rId1"/>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8" name="Control 5" hidden="1">
          <a:extLst>
            <a:ext uri="{FF2B5EF4-FFF2-40B4-BE49-F238E27FC236}">
              <a16:creationId xmlns:a16="http://schemas.microsoft.com/office/drawing/2014/main" id="{F159C55F-03F5-4F7C-AB8D-C81B42C9F8C8}"/>
            </a:ext>
          </a:extLst>
        </xdr:cNvPr>
        <xdr:cNvPicPr>
          <a:picLocks noChangeAspect="1"/>
        </xdr:cNvPicPr>
      </xdr:nvPicPr>
      <xdr:blipFill>
        <a:blip xmlns:r="http://schemas.openxmlformats.org/officeDocument/2006/relationships" r:embed="rId2"/>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9" name="Control 6" hidden="1">
          <a:extLst>
            <a:ext uri="{FF2B5EF4-FFF2-40B4-BE49-F238E27FC236}">
              <a16:creationId xmlns:a16="http://schemas.microsoft.com/office/drawing/2014/main" id="{80DE9AB9-B3F8-4085-BC99-C119E3E21D61}"/>
            </a:ext>
          </a:extLst>
        </xdr:cNvPr>
        <xdr:cNvPicPr>
          <a:picLocks noChangeAspect="1"/>
        </xdr:cNvPicPr>
      </xdr:nvPicPr>
      <xdr:blipFill>
        <a:blip xmlns:r="http://schemas.openxmlformats.org/officeDocument/2006/relationships" r:embed="rId3"/>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10" name="Control 7" hidden="1">
          <a:extLst>
            <a:ext uri="{FF2B5EF4-FFF2-40B4-BE49-F238E27FC236}">
              <a16:creationId xmlns:a16="http://schemas.microsoft.com/office/drawing/2014/main" id="{2D6C236D-2BA6-41B8-A75C-1ED5936CC984}"/>
            </a:ext>
          </a:extLst>
        </xdr:cNvPr>
        <xdr:cNvPicPr>
          <a:picLocks noChangeAspect="1"/>
        </xdr:cNvPicPr>
      </xdr:nvPicPr>
      <xdr:blipFill>
        <a:blip xmlns:r="http://schemas.openxmlformats.org/officeDocument/2006/relationships" r:embed="rId4"/>
        <a:stretch>
          <a:fillRect/>
        </a:stretch>
      </xdr:blipFill>
      <xdr:spPr>
        <a:xfrm>
          <a:off x="31289625" y="288245550"/>
          <a:ext cx="914400" cy="228600"/>
        </a:xfrm>
        <a:prstGeom prst="rect">
          <a:avLst/>
        </a:prstGeom>
      </xdr:spPr>
    </xdr:pic>
    <xdr:clientData/>
  </xdr:twoCellAnchor>
  <xdr:twoCellAnchor editAs="oneCell">
    <xdr:from>
      <xdr:col>26</xdr:col>
      <xdr:colOff>561975</xdr:colOff>
      <xdr:row>164</xdr:row>
      <xdr:rowOff>0</xdr:rowOff>
    </xdr:from>
    <xdr:to>
      <xdr:col>26</xdr:col>
      <xdr:colOff>1476375</xdr:colOff>
      <xdr:row>173</xdr:row>
      <xdr:rowOff>16289</xdr:rowOff>
    </xdr:to>
    <xdr:pic>
      <xdr:nvPicPr>
        <xdr:cNvPr id="11" name="Control 8" hidden="1">
          <a:extLst>
            <a:ext uri="{FF2B5EF4-FFF2-40B4-BE49-F238E27FC236}">
              <a16:creationId xmlns:a16="http://schemas.microsoft.com/office/drawing/2014/main" id="{B4DC5C7B-C3F8-46E9-B36E-6CA6C525A0C7}"/>
            </a:ext>
          </a:extLst>
        </xdr:cNvPr>
        <xdr:cNvPicPr>
          <a:picLocks noChangeAspect="1"/>
        </xdr:cNvPicPr>
      </xdr:nvPicPr>
      <xdr:blipFill>
        <a:blip xmlns:r="http://schemas.openxmlformats.org/officeDocument/2006/relationships" r:embed="rId5"/>
        <a:stretch>
          <a:fillRect/>
        </a:stretch>
      </xdr:blipFill>
      <xdr:spPr>
        <a:xfrm>
          <a:off x="31289625" y="288245550"/>
          <a:ext cx="914400" cy="2286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selection activeCell="B5" sqref="B5"/>
    </sheetView>
  </sheetViews>
  <sheetFormatPr defaultColWidth="11" defaultRowHeight="15"/>
  <cols>
    <col min="1" max="1" width="13.875" customWidth="1"/>
    <col min="2" max="2" width="30.75" customWidth="1"/>
    <col min="3" max="3" width="98.875" customWidth="1"/>
  </cols>
  <sheetData>
    <row r="1" spans="1:3" ht="21">
      <c r="A1" s="124"/>
      <c r="B1" s="124"/>
      <c r="C1" s="124"/>
    </row>
    <row r="2" spans="1:3" ht="21">
      <c r="A2" s="124"/>
      <c r="B2" s="125" t="s">
        <v>0</v>
      </c>
      <c r="C2" s="124"/>
    </row>
    <row r="3" spans="1:3" ht="21">
      <c r="A3" s="124"/>
      <c r="B3" s="124"/>
      <c r="C3" s="124"/>
    </row>
    <row r="4" spans="1:3" ht="21">
      <c r="A4" s="124" t="s">
        <v>1</v>
      </c>
      <c r="B4" s="124" t="s">
        <v>2</v>
      </c>
      <c r="C4" s="124" t="s">
        <v>3</v>
      </c>
    </row>
    <row r="5" spans="1:3" ht="21">
      <c r="A5" s="124"/>
      <c r="B5" s="124" t="s">
        <v>4</v>
      </c>
      <c r="C5" s="124" t="s">
        <v>5</v>
      </c>
    </row>
    <row r="6" spans="1:3" ht="21">
      <c r="A6" s="124"/>
      <c r="B6" s="124" t="s">
        <v>6</v>
      </c>
      <c r="C6" s="124" t="s">
        <v>7</v>
      </c>
    </row>
    <row r="7" spans="1:3" ht="21">
      <c r="A7" s="124"/>
      <c r="B7" s="124" t="s">
        <v>8</v>
      </c>
      <c r="C7" s="124" t="s">
        <v>9</v>
      </c>
    </row>
    <row r="8" spans="1:3" ht="21">
      <c r="A8" s="124"/>
      <c r="B8" s="124" t="s">
        <v>10</v>
      </c>
      <c r="C8" s="124" t="s">
        <v>11</v>
      </c>
    </row>
    <row r="9" spans="1:3" ht="21">
      <c r="B9" s="124" t="s">
        <v>12</v>
      </c>
      <c r="C9" s="124" t="s">
        <v>13</v>
      </c>
    </row>
    <row r="10" spans="1:3" ht="21">
      <c r="B10" s="124" t="s">
        <v>14</v>
      </c>
      <c r="C10" s="124" t="s">
        <v>15</v>
      </c>
    </row>
    <row r="11" spans="1:3" ht="21">
      <c r="B11" s="124" t="s">
        <v>16</v>
      </c>
      <c r="C11" s="124"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94"/>
  <sheetViews>
    <sheetView topLeftCell="R92" zoomScale="80" zoomScaleNormal="80" workbookViewId="0">
      <selection activeCell="AB98" sqref="AB98"/>
    </sheetView>
  </sheetViews>
  <sheetFormatPr defaultColWidth="11" defaultRowHeight="15"/>
  <cols>
    <col min="1" max="1" width="14.625" customWidth="1"/>
    <col min="2" max="2" width="28" customWidth="1"/>
    <col min="3" max="3" width="20.75" customWidth="1"/>
    <col min="4" max="4" width="15.125" customWidth="1"/>
    <col min="5" max="6" width="20.75" customWidth="1"/>
    <col min="7" max="7" width="32.375" customWidth="1"/>
    <col min="8" max="16" width="20.75" customWidth="1"/>
    <col min="17" max="17" width="56" customWidth="1"/>
    <col min="18" max="18" width="20.75" customWidth="1"/>
    <col min="20" max="21" width="11.375"/>
    <col min="28" max="28" width="45.375" customWidth="1"/>
  </cols>
  <sheetData>
    <row r="1" spans="1:18">
      <c r="A1" s="62"/>
      <c r="B1" s="62"/>
      <c r="C1" s="62"/>
      <c r="D1" s="62"/>
      <c r="E1" s="62"/>
      <c r="F1" s="62"/>
      <c r="G1" s="62"/>
      <c r="H1" s="62"/>
      <c r="I1" s="62"/>
      <c r="J1" s="62"/>
      <c r="K1" s="62"/>
      <c r="L1" s="62"/>
      <c r="M1" s="62"/>
      <c r="N1" s="62"/>
      <c r="O1" s="62"/>
      <c r="P1" s="62"/>
      <c r="Q1" s="62"/>
      <c r="R1" s="62"/>
    </row>
    <row r="2" spans="1:18">
      <c r="A2" s="62"/>
      <c r="B2" s="62"/>
      <c r="C2" s="62"/>
      <c r="D2" s="62"/>
      <c r="E2" s="62"/>
      <c r="F2" s="62"/>
      <c r="G2" s="62"/>
      <c r="H2" s="62"/>
      <c r="I2" s="62"/>
      <c r="J2" s="62"/>
      <c r="K2" s="62"/>
      <c r="L2" s="62"/>
      <c r="M2" s="62"/>
      <c r="N2" s="62"/>
      <c r="O2" s="62"/>
      <c r="P2" s="62"/>
      <c r="Q2" s="62"/>
      <c r="R2" s="62"/>
    </row>
    <row r="3" spans="1:18">
      <c r="A3" s="62"/>
      <c r="B3" s="62"/>
      <c r="C3" s="62"/>
      <c r="D3" s="62"/>
      <c r="E3" s="62"/>
      <c r="F3" s="62"/>
      <c r="G3" s="62"/>
      <c r="H3" s="62"/>
      <c r="I3" s="62"/>
      <c r="J3" s="62"/>
      <c r="K3" s="62"/>
      <c r="L3" s="62"/>
      <c r="M3" s="62"/>
      <c r="N3" s="62"/>
      <c r="O3" s="62"/>
      <c r="P3" s="62"/>
      <c r="Q3" s="62"/>
      <c r="R3" s="62"/>
    </row>
    <row r="4" spans="1:18" ht="41.25" customHeight="1">
      <c r="A4" s="18" t="s">
        <v>18</v>
      </c>
      <c r="B4" s="18" t="s">
        <v>19</v>
      </c>
      <c r="C4" s="18" t="s">
        <v>20</v>
      </c>
      <c r="D4" s="18" t="s">
        <v>21</v>
      </c>
      <c r="E4" s="18" t="s">
        <v>22</v>
      </c>
      <c r="F4" s="18" t="s">
        <v>23</v>
      </c>
      <c r="G4" s="18" t="s">
        <v>24</v>
      </c>
      <c r="H4" s="18" t="s">
        <v>25</v>
      </c>
      <c r="I4" s="18" t="s">
        <v>26</v>
      </c>
      <c r="J4" s="29" t="s">
        <v>27</v>
      </c>
      <c r="K4" s="18" t="s">
        <v>28</v>
      </c>
      <c r="L4" s="29" t="s">
        <v>29</v>
      </c>
      <c r="M4" s="29" t="s">
        <v>30</v>
      </c>
      <c r="N4" s="29" t="s">
        <v>31</v>
      </c>
      <c r="O4" s="18" t="s">
        <v>32</v>
      </c>
      <c r="P4" s="35" t="s">
        <v>33</v>
      </c>
      <c r="Q4" s="36" t="s">
        <v>34</v>
      </c>
      <c r="R4" s="108" t="s">
        <v>33</v>
      </c>
    </row>
    <row r="5" spans="1:18" ht="15" customHeight="1">
      <c r="A5" s="2" t="s">
        <v>35</v>
      </c>
      <c r="B5" s="63" t="s">
        <v>36</v>
      </c>
      <c r="C5" s="64">
        <v>11940026</v>
      </c>
      <c r="D5" s="63">
        <v>0</v>
      </c>
      <c r="E5" s="63"/>
      <c r="F5" s="63"/>
      <c r="G5" s="63"/>
      <c r="H5" s="63"/>
      <c r="I5" s="63"/>
      <c r="J5" s="92"/>
      <c r="K5" s="92"/>
      <c r="L5" s="63"/>
      <c r="M5" s="63"/>
      <c r="N5" s="63"/>
      <c r="O5" s="2"/>
      <c r="P5" s="2"/>
      <c r="Q5" s="109" t="s">
        <v>37</v>
      </c>
      <c r="R5" s="2"/>
    </row>
    <row r="6" spans="1:18">
      <c r="A6" s="2" t="s">
        <v>35</v>
      </c>
      <c r="B6" s="47" t="s">
        <v>38</v>
      </c>
      <c r="C6" s="65">
        <v>8745105</v>
      </c>
      <c r="D6" s="47">
        <v>4</v>
      </c>
      <c r="E6" s="47">
        <v>64</v>
      </c>
      <c r="F6" s="47" t="s">
        <v>39</v>
      </c>
      <c r="G6" s="47" t="s">
        <v>40</v>
      </c>
      <c r="H6" s="47">
        <v>2021</v>
      </c>
      <c r="I6" s="93">
        <v>44291</v>
      </c>
      <c r="J6" s="94" t="s">
        <v>41</v>
      </c>
      <c r="K6" s="94" t="s">
        <v>42</v>
      </c>
      <c r="L6" s="47"/>
      <c r="M6" s="47"/>
      <c r="N6" s="47" t="s">
        <v>43</v>
      </c>
      <c r="O6" s="2"/>
      <c r="P6" s="2"/>
      <c r="Q6" s="89" t="s">
        <v>44</v>
      </c>
      <c r="R6" s="2"/>
    </row>
    <row r="7" spans="1:18" ht="30">
      <c r="A7" s="2" t="s">
        <v>35</v>
      </c>
      <c r="B7" s="66" t="s">
        <v>45</v>
      </c>
      <c r="C7" s="67">
        <v>5463924</v>
      </c>
      <c r="D7" s="68">
        <v>4</v>
      </c>
      <c r="E7" s="68">
        <v>86</v>
      </c>
      <c r="F7" s="69" t="s">
        <v>46</v>
      </c>
      <c r="G7" s="70" t="s">
        <v>47</v>
      </c>
      <c r="H7" s="66"/>
      <c r="I7" s="66"/>
      <c r="J7" s="95" t="s">
        <v>41</v>
      </c>
      <c r="K7" s="96"/>
      <c r="L7" s="66"/>
      <c r="M7" s="66"/>
      <c r="N7" s="66" t="s">
        <v>43</v>
      </c>
      <c r="O7" s="2"/>
      <c r="P7" s="2"/>
      <c r="Q7" s="110" t="s">
        <v>48</v>
      </c>
      <c r="R7" s="2"/>
    </row>
    <row r="8" spans="1:18" ht="45">
      <c r="A8" s="2" t="s">
        <v>35</v>
      </c>
      <c r="B8" s="71" t="s">
        <v>49</v>
      </c>
      <c r="C8" s="65">
        <v>6181146</v>
      </c>
      <c r="D8" s="72" t="s">
        <v>50</v>
      </c>
      <c r="E8" s="47"/>
      <c r="F8" s="47"/>
      <c r="G8" s="11"/>
      <c r="H8" s="47"/>
      <c r="I8" s="47"/>
      <c r="J8" s="94"/>
      <c r="K8" s="94"/>
      <c r="L8" s="47"/>
      <c r="M8" s="47"/>
      <c r="N8" s="47"/>
      <c r="O8" s="2"/>
      <c r="P8" s="2"/>
      <c r="Q8" s="89" t="s">
        <v>51</v>
      </c>
      <c r="R8" s="2"/>
    </row>
    <row r="9" spans="1:18">
      <c r="A9" s="2" t="s">
        <v>35</v>
      </c>
      <c r="B9" s="47" t="s">
        <v>52</v>
      </c>
      <c r="C9" s="65">
        <v>6939157</v>
      </c>
      <c r="D9" s="47">
        <v>5</v>
      </c>
      <c r="E9" s="47">
        <v>69</v>
      </c>
      <c r="F9" s="47" t="s">
        <v>46</v>
      </c>
      <c r="G9" s="71" t="s">
        <v>53</v>
      </c>
      <c r="H9" s="47">
        <v>2021</v>
      </c>
      <c r="I9" s="97">
        <v>44488</v>
      </c>
      <c r="J9" s="94" t="s">
        <v>54</v>
      </c>
      <c r="K9" s="98" t="s">
        <v>42</v>
      </c>
      <c r="L9" s="47"/>
      <c r="M9" s="47"/>
      <c r="N9" s="47" t="s">
        <v>43</v>
      </c>
      <c r="O9" s="2"/>
      <c r="P9" s="2"/>
      <c r="Q9" s="89" t="s">
        <v>55</v>
      </c>
      <c r="R9" s="2"/>
    </row>
    <row r="10" spans="1:18" ht="30">
      <c r="A10" s="2" t="s">
        <v>35</v>
      </c>
      <c r="B10" s="73" t="s">
        <v>56</v>
      </c>
      <c r="C10" s="74">
        <v>6124729</v>
      </c>
      <c r="D10" s="73">
        <v>7</v>
      </c>
      <c r="E10" s="73">
        <v>80</v>
      </c>
      <c r="F10" s="75" t="s">
        <v>57</v>
      </c>
      <c r="G10" s="73" t="s">
        <v>58</v>
      </c>
      <c r="H10" s="73">
        <v>2023</v>
      </c>
      <c r="I10" s="99">
        <v>45148</v>
      </c>
      <c r="J10" s="100" t="s">
        <v>41</v>
      </c>
      <c r="K10" s="101" t="s">
        <v>59</v>
      </c>
      <c r="L10" s="73"/>
      <c r="M10" s="73"/>
      <c r="N10" s="73" t="s">
        <v>43</v>
      </c>
      <c r="O10" s="2"/>
      <c r="P10" s="2"/>
      <c r="Q10" s="111" t="s">
        <v>60</v>
      </c>
      <c r="R10" s="2"/>
    </row>
    <row r="11" spans="1:18">
      <c r="A11" s="2" t="s">
        <v>35</v>
      </c>
      <c r="B11" s="66" t="s">
        <v>61</v>
      </c>
      <c r="C11" s="67">
        <v>5747013</v>
      </c>
      <c r="D11" s="68">
        <v>5</v>
      </c>
      <c r="E11" s="68"/>
      <c r="F11" s="76"/>
      <c r="G11" s="66" t="s">
        <v>62</v>
      </c>
      <c r="H11" s="66"/>
      <c r="I11" s="66"/>
      <c r="J11" s="95"/>
      <c r="K11" s="96"/>
      <c r="L11" s="66"/>
      <c r="M11" s="66"/>
      <c r="N11" s="66"/>
      <c r="O11" s="2"/>
      <c r="P11" s="2"/>
      <c r="Q11" s="110" t="s">
        <v>63</v>
      </c>
      <c r="R11" s="2"/>
    </row>
    <row r="12" spans="1:18">
      <c r="A12" s="2" t="s">
        <v>35</v>
      </c>
      <c r="B12" s="77" t="s">
        <v>64</v>
      </c>
      <c r="C12" s="78">
        <v>9540225</v>
      </c>
      <c r="D12" s="47">
        <v>9</v>
      </c>
      <c r="E12" s="47"/>
      <c r="F12" s="71"/>
      <c r="G12" s="47"/>
      <c r="H12" s="47"/>
      <c r="I12" s="47"/>
      <c r="J12" s="94"/>
      <c r="K12" s="94"/>
      <c r="L12" s="47"/>
      <c r="M12" s="47"/>
      <c r="N12" s="47"/>
      <c r="O12" s="2"/>
      <c r="P12" s="2"/>
      <c r="Q12" s="112" t="s">
        <v>65</v>
      </c>
      <c r="R12" s="2"/>
    </row>
    <row r="13" spans="1:18" ht="30">
      <c r="A13" s="2" t="s">
        <v>35</v>
      </c>
      <c r="B13" s="63" t="s">
        <v>66</v>
      </c>
      <c r="C13" s="64">
        <v>9222437</v>
      </c>
      <c r="D13" s="63">
        <v>6</v>
      </c>
      <c r="E13" s="63">
        <v>65</v>
      </c>
      <c r="F13" s="79" t="s">
        <v>46</v>
      </c>
      <c r="G13" s="63" t="s">
        <v>67</v>
      </c>
      <c r="H13" s="63">
        <v>2023</v>
      </c>
      <c r="I13" s="102">
        <v>45044</v>
      </c>
      <c r="J13" s="92" t="s">
        <v>54</v>
      </c>
      <c r="K13" s="92" t="s">
        <v>59</v>
      </c>
      <c r="L13" s="102">
        <v>45044</v>
      </c>
      <c r="M13" s="63" t="s">
        <v>68</v>
      </c>
      <c r="N13" s="63" t="s">
        <v>43</v>
      </c>
      <c r="O13" s="2"/>
      <c r="P13" s="2"/>
      <c r="Q13" s="109" t="s">
        <v>69</v>
      </c>
      <c r="R13" s="2"/>
    </row>
    <row r="14" spans="1:18" ht="30">
      <c r="A14" s="2" t="s">
        <v>35</v>
      </c>
      <c r="B14" s="47" t="s">
        <v>70</v>
      </c>
      <c r="C14" s="65">
        <v>12457965</v>
      </c>
      <c r="D14" s="47">
        <v>1</v>
      </c>
      <c r="E14" s="47"/>
      <c r="F14" s="47" t="s">
        <v>71</v>
      </c>
      <c r="G14" s="47"/>
      <c r="H14" s="47"/>
      <c r="I14" s="47"/>
      <c r="J14" s="94"/>
      <c r="K14" s="94" t="s">
        <v>42</v>
      </c>
      <c r="L14" s="47"/>
      <c r="M14" s="47"/>
      <c r="N14" s="47"/>
      <c r="O14" s="2"/>
      <c r="P14" s="2"/>
      <c r="Q14" s="89" t="s">
        <v>72</v>
      </c>
      <c r="R14" s="2"/>
    </row>
    <row r="15" spans="1:18">
      <c r="A15" s="2" t="s">
        <v>35</v>
      </c>
      <c r="B15" s="77" t="s">
        <v>73</v>
      </c>
      <c r="C15" s="78">
        <v>10765795</v>
      </c>
      <c r="D15" s="47">
        <v>9</v>
      </c>
      <c r="E15" s="47"/>
      <c r="F15" s="47"/>
      <c r="G15" s="71"/>
      <c r="H15" s="47"/>
      <c r="I15" s="47"/>
      <c r="J15" s="94"/>
      <c r="K15" s="94"/>
      <c r="L15" s="47"/>
      <c r="M15" s="47"/>
      <c r="N15" s="47"/>
      <c r="O15" s="2"/>
      <c r="P15" s="2"/>
      <c r="Q15" s="112" t="s">
        <v>65</v>
      </c>
      <c r="R15" s="2"/>
    </row>
    <row r="16" spans="1:18">
      <c r="A16" s="2" t="s">
        <v>35</v>
      </c>
      <c r="B16" s="63" t="s">
        <v>74</v>
      </c>
      <c r="C16" s="64">
        <v>7431955</v>
      </c>
      <c r="D16" s="47">
        <v>6</v>
      </c>
      <c r="E16" s="47"/>
      <c r="F16" s="47"/>
      <c r="G16" s="71"/>
      <c r="H16" s="47"/>
      <c r="I16" s="47"/>
      <c r="J16" s="94"/>
      <c r="K16" s="94"/>
      <c r="L16" s="47"/>
      <c r="M16" s="47"/>
      <c r="N16" s="103"/>
      <c r="O16" s="2"/>
      <c r="P16" s="2"/>
      <c r="Q16" s="109" t="s">
        <v>75</v>
      </c>
      <c r="R16" s="2"/>
    </row>
    <row r="17" spans="1:27">
      <c r="A17" s="2" t="s">
        <v>35</v>
      </c>
      <c r="B17" s="47" t="s">
        <v>76</v>
      </c>
      <c r="C17" s="64">
        <v>9594140</v>
      </c>
      <c r="D17" s="47">
        <v>0</v>
      </c>
      <c r="E17" s="47"/>
      <c r="F17" s="71"/>
      <c r="G17" s="47" t="s">
        <v>77</v>
      </c>
      <c r="H17" s="47"/>
      <c r="I17" s="47"/>
      <c r="J17" s="94"/>
      <c r="K17" s="94"/>
      <c r="L17" s="47"/>
      <c r="M17" s="47"/>
      <c r="N17" s="103"/>
      <c r="O17" s="2"/>
      <c r="P17" s="2"/>
      <c r="Q17" s="89" t="s">
        <v>78</v>
      </c>
      <c r="R17" s="2"/>
    </row>
    <row r="18" spans="1:27">
      <c r="A18" s="2" t="s">
        <v>35</v>
      </c>
      <c r="B18" s="47" t="s">
        <v>79</v>
      </c>
      <c r="C18" s="65">
        <v>9262798</v>
      </c>
      <c r="D18" s="80">
        <v>5</v>
      </c>
      <c r="E18" s="80">
        <v>62</v>
      </c>
      <c r="F18" s="81" t="s">
        <v>46</v>
      </c>
      <c r="G18" s="47" t="s">
        <v>80</v>
      </c>
      <c r="H18" s="47">
        <v>2020</v>
      </c>
      <c r="I18" s="93">
        <v>44185</v>
      </c>
      <c r="J18" s="104" t="s">
        <v>54</v>
      </c>
      <c r="K18" s="94" t="s">
        <v>42</v>
      </c>
      <c r="L18" s="93">
        <v>44923</v>
      </c>
      <c r="M18" s="47" t="s">
        <v>81</v>
      </c>
      <c r="N18" s="47" t="s">
        <v>43</v>
      </c>
      <c r="O18" s="2"/>
      <c r="P18" s="2"/>
      <c r="Q18" s="89" t="s">
        <v>82</v>
      </c>
      <c r="R18" s="2"/>
    </row>
    <row r="19" spans="1:27">
      <c r="A19" s="2" t="s">
        <v>35</v>
      </c>
      <c r="B19" s="82" t="s">
        <v>83</v>
      </c>
      <c r="C19" s="83">
        <v>3589629</v>
      </c>
      <c r="D19" s="82">
        <v>5</v>
      </c>
      <c r="E19" s="82"/>
      <c r="F19" s="82"/>
      <c r="G19" s="82"/>
      <c r="H19" s="82"/>
      <c r="I19" s="82"/>
      <c r="J19" s="105"/>
      <c r="K19" s="105"/>
      <c r="L19" s="82"/>
      <c r="M19" s="82"/>
      <c r="N19" s="82"/>
      <c r="O19" s="2"/>
      <c r="P19" s="2"/>
      <c r="Q19" s="113" t="s">
        <v>84</v>
      </c>
      <c r="R19" s="2"/>
    </row>
    <row r="20" spans="1:27">
      <c r="A20" s="2" t="s">
        <v>35</v>
      </c>
      <c r="B20" s="47" t="s">
        <v>85</v>
      </c>
      <c r="C20" s="65">
        <v>5644000</v>
      </c>
      <c r="D20" s="47">
        <v>3</v>
      </c>
      <c r="E20" s="47">
        <v>78</v>
      </c>
      <c r="F20" s="47" t="s">
        <v>46</v>
      </c>
      <c r="G20" s="47" t="s">
        <v>86</v>
      </c>
      <c r="H20" s="47">
        <v>2021</v>
      </c>
      <c r="I20" s="93">
        <v>44410</v>
      </c>
      <c r="J20" s="104" t="s">
        <v>54</v>
      </c>
      <c r="K20" s="94" t="s">
        <v>59</v>
      </c>
      <c r="L20" s="47"/>
      <c r="M20" s="47"/>
      <c r="N20" s="47" t="s">
        <v>43</v>
      </c>
      <c r="O20" s="2"/>
      <c r="P20" s="2"/>
      <c r="Q20" s="89" t="s">
        <v>87</v>
      </c>
      <c r="R20" s="2"/>
    </row>
    <row r="21" spans="1:27">
      <c r="A21" s="2" t="s">
        <v>35</v>
      </c>
      <c r="B21" s="84" t="s">
        <v>88</v>
      </c>
      <c r="C21" s="85">
        <v>26906721</v>
      </c>
      <c r="D21" s="84">
        <v>7</v>
      </c>
      <c r="E21" s="47">
        <v>42</v>
      </c>
      <c r="F21" s="47" t="s">
        <v>46</v>
      </c>
      <c r="G21" s="47" t="s">
        <v>89</v>
      </c>
      <c r="H21" s="47">
        <v>2020</v>
      </c>
      <c r="I21" s="93">
        <v>44125</v>
      </c>
      <c r="J21" s="94" t="s">
        <v>41</v>
      </c>
      <c r="K21" s="94" t="s">
        <v>42</v>
      </c>
      <c r="L21" s="47"/>
      <c r="M21" s="47"/>
      <c r="N21" s="47" t="s">
        <v>43</v>
      </c>
      <c r="O21" s="2"/>
      <c r="P21" s="2"/>
      <c r="Q21" s="89" t="s">
        <v>90</v>
      </c>
      <c r="R21" s="2"/>
    </row>
    <row r="22" spans="1:27">
      <c r="A22" s="86" t="s">
        <v>35</v>
      </c>
      <c r="B22" s="87" t="s">
        <v>91</v>
      </c>
      <c r="C22" s="88">
        <v>8410085</v>
      </c>
      <c r="D22" s="87">
        <v>4</v>
      </c>
      <c r="E22" s="87"/>
      <c r="F22" s="87"/>
      <c r="G22" s="87"/>
      <c r="H22" s="87"/>
      <c r="I22" s="87"/>
      <c r="J22" s="98"/>
      <c r="K22" s="98"/>
      <c r="L22" s="87"/>
      <c r="M22" s="87"/>
      <c r="N22" s="87"/>
      <c r="O22" s="86"/>
      <c r="P22" s="86"/>
      <c r="Q22" s="114" t="s">
        <v>92</v>
      </c>
      <c r="R22" s="86"/>
    </row>
    <row r="23" spans="1:27" ht="30">
      <c r="A23" s="2" t="s">
        <v>35</v>
      </c>
      <c r="B23" s="10" t="s">
        <v>93</v>
      </c>
      <c r="C23" s="10">
        <v>6250827</v>
      </c>
      <c r="D23" s="10">
        <v>2</v>
      </c>
      <c r="E23" s="10">
        <v>74</v>
      </c>
      <c r="F23" s="1" t="s">
        <v>46</v>
      </c>
      <c r="G23" s="10" t="s">
        <v>94</v>
      </c>
      <c r="H23" s="10">
        <v>2024</v>
      </c>
      <c r="I23" s="106">
        <v>45307</v>
      </c>
      <c r="J23" s="104" t="s">
        <v>41</v>
      </c>
      <c r="K23" s="10" t="s">
        <v>95</v>
      </c>
      <c r="L23" s="2" t="s">
        <v>96</v>
      </c>
      <c r="M23" s="2" t="s">
        <v>96</v>
      </c>
      <c r="N23" s="11" t="s">
        <v>43</v>
      </c>
      <c r="O23" s="2" t="s">
        <v>96</v>
      </c>
      <c r="P23" s="2" t="s">
        <v>96</v>
      </c>
      <c r="Q23" s="10" t="s">
        <v>97</v>
      </c>
      <c r="R23" s="2" t="s">
        <v>96</v>
      </c>
    </row>
    <row r="24" spans="1:27" ht="29.25" customHeight="1">
      <c r="A24" s="2" t="s">
        <v>35</v>
      </c>
      <c r="B24" s="47" t="s">
        <v>98</v>
      </c>
      <c r="C24" s="65">
        <v>4075792</v>
      </c>
      <c r="D24" s="47">
        <v>9</v>
      </c>
      <c r="E24" s="47">
        <v>89</v>
      </c>
      <c r="F24" s="47" t="s">
        <v>46</v>
      </c>
      <c r="G24" s="47" t="s">
        <v>99</v>
      </c>
      <c r="H24" s="47">
        <v>2021</v>
      </c>
      <c r="I24" s="93">
        <v>44202</v>
      </c>
      <c r="J24" s="104" t="s">
        <v>54</v>
      </c>
      <c r="K24" s="94" t="s">
        <v>42</v>
      </c>
      <c r="L24" s="93">
        <v>44566</v>
      </c>
      <c r="M24" s="47" t="s">
        <v>100</v>
      </c>
      <c r="N24" s="47" t="s">
        <v>43</v>
      </c>
      <c r="O24" s="2" t="s">
        <v>96</v>
      </c>
      <c r="P24" s="2" t="s">
        <v>96</v>
      </c>
      <c r="Q24" s="89" t="s">
        <v>101</v>
      </c>
      <c r="R24" s="2" t="s">
        <v>102</v>
      </c>
    </row>
    <row r="25" spans="1:27" ht="45">
      <c r="A25" s="2" t="s">
        <v>35</v>
      </c>
      <c r="B25" s="47" t="s">
        <v>103</v>
      </c>
      <c r="C25" s="65">
        <v>4642100</v>
      </c>
      <c r="D25" s="47">
        <v>0</v>
      </c>
      <c r="E25" s="47">
        <v>86</v>
      </c>
      <c r="F25" s="71" t="s">
        <v>39</v>
      </c>
      <c r="G25" s="47" t="s">
        <v>104</v>
      </c>
      <c r="H25" s="47">
        <v>2021</v>
      </c>
      <c r="I25" s="93">
        <v>44540</v>
      </c>
      <c r="J25" s="94" t="s">
        <v>41</v>
      </c>
      <c r="K25" s="94" t="s">
        <v>42</v>
      </c>
      <c r="L25" s="47" t="s">
        <v>105</v>
      </c>
      <c r="M25" s="47" t="s">
        <v>96</v>
      </c>
      <c r="N25" s="103" t="s">
        <v>43</v>
      </c>
      <c r="O25" s="2" t="s">
        <v>106</v>
      </c>
      <c r="P25" s="2" t="s">
        <v>107</v>
      </c>
      <c r="Q25" s="10" t="s">
        <v>108</v>
      </c>
      <c r="R25" s="2" t="s">
        <v>109</v>
      </c>
    </row>
    <row r="26" spans="1:27" ht="70.5" customHeight="1">
      <c r="A26" s="2" t="s">
        <v>35</v>
      </c>
      <c r="B26" s="47" t="s">
        <v>110</v>
      </c>
      <c r="C26" s="65">
        <v>4722415</v>
      </c>
      <c r="D26" s="47">
        <v>2</v>
      </c>
      <c r="E26" s="47">
        <v>90</v>
      </c>
      <c r="F26" s="47" t="s">
        <v>57</v>
      </c>
      <c r="G26" s="47" t="s">
        <v>111</v>
      </c>
      <c r="H26" s="47">
        <v>2021</v>
      </c>
      <c r="I26" s="93">
        <v>44259</v>
      </c>
      <c r="J26" s="94" t="s">
        <v>54</v>
      </c>
      <c r="K26" s="94" t="s">
        <v>59</v>
      </c>
      <c r="L26" s="93">
        <v>44888</v>
      </c>
      <c r="M26" s="11" t="s">
        <v>112</v>
      </c>
      <c r="N26" s="2" t="s">
        <v>43</v>
      </c>
      <c r="O26" s="2" t="s">
        <v>106</v>
      </c>
      <c r="P26" s="2" t="s">
        <v>107</v>
      </c>
      <c r="Q26" s="89" t="s">
        <v>113</v>
      </c>
      <c r="R26" s="2" t="s">
        <v>114</v>
      </c>
    </row>
    <row r="27" spans="1:27" ht="60">
      <c r="A27" s="2" t="s">
        <v>35</v>
      </c>
      <c r="B27" s="2" t="s">
        <v>115</v>
      </c>
      <c r="C27" s="2">
        <v>8788879</v>
      </c>
      <c r="D27" s="2">
        <v>7</v>
      </c>
      <c r="E27" s="2">
        <v>66</v>
      </c>
      <c r="F27" s="2" t="s">
        <v>116</v>
      </c>
      <c r="G27" s="2"/>
      <c r="H27" s="2"/>
      <c r="I27" s="2"/>
      <c r="J27" s="2"/>
      <c r="K27" s="2"/>
      <c r="L27" s="2"/>
      <c r="M27" s="2"/>
      <c r="N27" s="2"/>
      <c r="O27" s="2"/>
      <c r="P27" s="2"/>
      <c r="Q27" s="10" t="s">
        <v>117</v>
      </c>
      <c r="R27" s="2" t="s">
        <v>118</v>
      </c>
    </row>
    <row r="28" spans="1:27" ht="75">
      <c r="A28" s="2" t="s">
        <v>35</v>
      </c>
      <c r="B28" s="47" t="s">
        <v>119</v>
      </c>
      <c r="C28" s="65">
        <v>6456941</v>
      </c>
      <c r="D28" s="47">
        <v>4</v>
      </c>
      <c r="E28" s="47">
        <v>73</v>
      </c>
      <c r="F28" s="47" t="s">
        <v>46</v>
      </c>
      <c r="G28" s="47" t="s">
        <v>120</v>
      </c>
      <c r="H28" s="47">
        <v>2023</v>
      </c>
      <c r="I28" s="93">
        <v>45201</v>
      </c>
      <c r="J28" s="94" t="s">
        <v>41</v>
      </c>
      <c r="K28" s="94" t="s">
        <v>121</v>
      </c>
      <c r="L28" s="47" t="s">
        <v>105</v>
      </c>
      <c r="M28" s="47" t="s">
        <v>96</v>
      </c>
      <c r="N28" s="47" t="s">
        <v>43</v>
      </c>
      <c r="O28" s="2" t="s">
        <v>122</v>
      </c>
      <c r="P28" s="2"/>
      <c r="Q28" s="115" t="s">
        <v>123</v>
      </c>
      <c r="R28" s="2" t="s">
        <v>118</v>
      </c>
    </row>
    <row r="29" spans="1:27" ht="73.5" customHeight="1">
      <c r="A29" s="2" t="s">
        <v>35</v>
      </c>
      <c r="B29" s="2" t="s">
        <v>124</v>
      </c>
      <c r="C29" s="2">
        <v>11162677</v>
      </c>
      <c r="D29" s="2">
        <v>4</v>
      </c>
      <c r="E29" s="2">
        <v>57</v>
      </c>
      <c r="F29" s="2" t="s">
        <v>125</v>
      </c>
      <c r="G29" s="2" t="s">
        <v>126</v>
      </c>
      <c r="H29" s="2">
        <v>2024</v>
      </c>
      <c r="I29" s="107">
        <v>45398</v>
      </c>
      <c r="J29" s="2" t="s">
        <v>127</v>
      </c>
      <c r="K29" s="2" t="s">
        <v>42</v>
      </c>
      <c r="L29" s="107">
        <v>45422</v>
      </c>
      <c r="M29" s="2" t="s">
        <v>100</v>
      </c>
      <c r="N29" s="2" t="s">
        <v>43</v>
      </c>
      <c r="O29" s="2" t="s">
        <v>122</v>
      </c>
      <c r="P29" s="2"/>
      <c r="Q29" s="10" t="s">
        <v>128</v>
      </c>
      <c r="R29" s="2" t="s">
        <v>129</v>
      </c>
      <c r="S29" s="2"/>
    </row>
    <row r="30" spans="1:27" ht="102.75" customHeight="1">
      <c r="A30" s="2" t="s">
        <v>35</v>
      </c>
      <c r="B30" s="6" t="s">
        <v>130</v>
      </c>
      <c r="C30" s="2">
        <v>15801396</v>
      </c>
      <c r="D30" s="6">
        <v>7</v>
      </c>
      <c r="E30" s="6">
        <v>39</v>
      </c>
      <c r="F30" s="10" t="s">
        <v>125</v>
      </c>
      <c r="G30" s="10" t="s">
        <v>131</v>
      </c>
      <c r="H30" s="6">
        <v>2024</v>
      </c>
      <c r="I30" s="30">
        <v>45344</v>
      </c>
      <c r="J30" s="2" t="s">
        <v>132</v>
      </c>
      <c r="K30" s="6" t="s">
        <v>59</v>
      </c>
      <c r="L30" s="6" t="s">
        <v>105</v>
      </c>
      <c r="M30" s="6" t="s">
        <v>133</v>
      </c>
      <c r="N30" s="6" t="s">
        <v>43</v>
      </c>
      <c r="O30" s="6" t="s">
        <v>122</v>
      </c>
      <c r="P30" s="6"/>
      <c r="Q30" s="6" t="s">
        <v>134</v>
      </c>
      <c r="R30" s="6" t="s">
        <v>135</v>
      </c>
      <c r="S30" s="6" t="s">
        <v>136</v>
      </c>
      <c r="T30" s="47"/>
      <c r="U30" s="47"/>
      <c r="V30" s="47">
        <f t="shared" ref="V30:V35" ca="1" si="0">U30-TODAY()</f>
        <v>-46085</v>
      </c>
      <c r="W30" s="116" t="str">
        <f t="shared" ref="W30:W35" ca="1" si="1">IF(V30&gt;=25,"Vigente",IF(AND(V30&gt;=1,V30&lt;=25),"Por Vencer","Vencido"))</f>
        <v>Vencido</v>
      </c>
      <c r="X30" s="32" t="s">
        <v>137</v>
      </c>
      <c r="Y30" s="2" t="s">
        <v>138</v>
      </c>
      <c r="AA30" t="s">
        <v>139</v>
      </c>
    </row>
    <row r="31" spans="1:27" ht="111" customHeight="1">
      <c r="A31" s="2" t="s">
        <v>35</v>
      </c>
      <c r="B31" s="24" t="s">
        <v>140</v>
      </c>
      <c r="C31" s="65">
        <v>20317339</v>
      </c>
      <c r="D31" s="24">
        <v>3</v>
      </c>
      <c r="E31" s="24">
        <v>23</v>
      </c>
      <c r="F31" s="89" t="s">
        <v>141</v>
      </c>
      <c r="G31" s="89" t="s">
        <v>142</v>
      </c>
      <c r="H31" s="24">
        <v>2023</v>
      </c>
      <c r="I31" s="33">
        <v>45132</v>
      </c>
      <c r="J31" s="94" t="s">
        <v>41</v>
      </c>
      <c r="K31" s="24" t="s">
        <v>42</v>
      </c>
      <c r="L31" s="24" t="s">
        <v>105</v>
      </c>
      <c r="M31" s="24" t="s">
        <v>96</v>
      </c>
      <c r="N31" s="24" t="s">
        <v>43</v>
      </c>
      <c r="O31" s="6" t="s">
        <v>106</v>
      </c>
      <c r="P31" s="6" t="s">
        <v>143</v>
      </c>
      <c r="Q31" s="24" t="s">
        <v>144</v>
      </c>
      <c r="R31" s="6" t="s">
        <v>145</v>
      </c>
      <c r="S31" s="6" t="s">
        <v>146</v>
      </c>
      <c r="T31" s="47"/>
      <c r="U31" s="47"/>
      <c r="V31" s="47">
        <f t="shared" ca="1" si="0"/>
        <v>-46085</v>
      </c>
      <c r="W31" s="116" t="str">
        <f t="shared" ca="1" si="1"/>
        <v>Vencido</v>
      </c>
      <c r="X31" s="32" t="s">
        <v>147</v>
      </c>
      <c r="Y31" s="2" t="s">
        <v>138</v>
      </c>
    </row>
    <row r="32" spans="1:27" ht="106.5" customHeight="1">
      <c r="A32" s="13" t="s">
        <v>35</v>
      </c>
      <c r="B32" s="6" t="s">
        <v>148</v>
      </c>
      <c r="C32" s="2">
        <v>12426330</v>
      </c>
      <c r="D32" s="6">
        <v>1</v>
      </c>
      <c r="E32" s="6">
        <v>51</v>
      </c>
      <c r="F32" s="10" t="s">
        <v>71</v>
      </c>
      <c r="G32" s="10" t="s">
        <v>149</v>
      </c>
      <c r="H32" s="6">
        <v>2024</v>
      </c>
      <c r="I32" s="6" t="s">
        <v>150</v>
      </c>
      <c r="J32" s="2" t="s">
        <v>54</v>
      </c>
      <c r="K32" s="6" t="s">
        <v>151</v>
      </c>
      <c r="L32" s="6" t="s">
        <v>152</v>
      </c>
      <c r="M32" s="6" t="s">
        <v>153</v>
      </c>
      <c r="N32" s="6" t="s">
        <v>43</v>
      </c>
      <c r="O32" s="6" t="s">
        <v>122</v>
      </c>
      <c r="P32" s="6"/>
      <c r="Q32" s="6" t="s">
        <v>154</v>
      </c>
      <c r="R32" s="6" t="s">
        <v>114</v>
      </c>
      <c r="S32" s="6" t="s">
        <v>155</v>
      </c>
      <c r="T32" s="93">
        <v>45517</v>
      </c>
      <c r="U32" s="117" t="s">
        <v>156</v>
      </c>
      <c r="V32" s="47" t="e">
        <f t="shared" ca="1" si="0"/>
        <v>#VALUE!</v>
      </c>
      <c r="W32" s="118" t="e">
        <f t="shared" ca="1" si="1"/>
        <v>#VALUE!</v>
      </c>
      <c r="X32" s="48" t="s">
        <v>157</v>
      </c>
      <c r="Y32" s="6" t="s">
        <v>158</v>
      </c>
    </row>
    <row r="33" spans="1:26" ht="108" customHeight="1">
      <c r="A33" s="13" t="s">
        <v>159</v>
      </c>
      <c r="B33" s="6" t="s">
        <v>160</v>
      </c>
      <c r="C33" s="2">
        <v>9720042</v>
      </c>
      <c r="D33" s="6">
        <v>4</v>
      </c>
      <c r="E33" s="6">
        <v>62</v>
      </c>
      <c r="F33" s="10" t="s">
        <v>125</v>
      </c>
      <c r="G33" s="10" t="s">
        <v>161</v>
      </c>
      <c r="H33" s="6">
        <v>2023</v>
      </c>
      <c r="I33" s="30">
        <v>45201</v>
      </c>
      <c r="J33" s="2" t="s">
        <v>162</v>
      </c>
      <c r="K33" s="6" t="s">
        <v>121</v>
      </c>
      <c r="L33" s="6" t="s">
        <v>163</v>
      </c>
      <c r="M33" s="6" t="s">
        <v>133</v>
      </c>
      <c r="N33" s="6" t="s">
        <v>164</v>
      </c>
      <c r="O33" s="6" t="s">
        <v>122</v>
      </c>
      <c r="P33" s="6"/>
      <c r="Q33" s="6" t="s">
        <v>165</v>
      </c>
      <c r="R33" s="6" t="s">
        <v>114</v>
      </c>
      <c r="S33" s="6" t="s">
        <v>146</v>
      </c>
      <c r="T33" s="93">
        <v>45511</v>
      </c>
      <c r="U33" s="93">
        <v>45542</v>
      </c>
      <c r="V33" s="47">
        <f t="shared" ca="1" si="0"/>
        <v>-543</v>
      </c>
      <c r="W33" s="116" t="str">
        <f t="shared" ca="1" si="1"/>
        <v>Vencido</v>
      </c>
      <c r="X33" s="6" t="s">
        <v>166</v>
      </c>
      <c r="Y33" s="2" t="s">
        <v>138</v>
      </c>
    </row>
    <row r="34" spans="1:26" ht="108.75" customHeight="1">
      <c r="A34" s="90" t="s">
        <v>35</v>
      </c>
      <c r="B34" s="24" t="s">
        <v>167</v>
      </c>
      <c r="C34" s="65">
        <v>6573696</v>
      </c>
      <c r="D34" s="24">
        <v>9</v>
      </c>
      <c r="E34" s="24">
        <v>73</v>
      </c>
      <c r="F34" s="89" t="s">
        <v>39</v>
      </c>
      <c r="G34" s="89" t="s">
        <v>168</v>
      </c>
      <c r="H34" s="24">
        <v>2021</v>
      </c>
      <c r="I34" s="33">
        <v>44489</v>
      </c>
      <c r="J34" s="104" t="s">
        <v>41</v>
      </c>
      <c r="K34" s="24" t="s">
        <v>42</v>
      </c>
      <c r="L34" s="24" t="s">
        <v>105</v>
      </c>
      <c r="M34" s="6" t="s">
        <v>96</v>
      </c>
      <c r="N34" s="24" t="s">
        <v>43</v>
      </c>
      <c r="O34" s="6" t="s">
        <v>122</v>
      </c>
      <c r="P34" s="6"/>
      <c r="Q34" s="6" t="s">
        <v>169</v>
      </c>
      <c r="R34" s="6" t="s">
        <v>109</v>
      </c>
      <c r="S34" s="6" t="s">
        <v>170</v>
      </c>
      <c r="T34" s="93">
        <v>45441</v>
      </c>
      <c r="U34" s="119" t="s">
        <v>171</v>
      </c>
      <c r="V34" s="47" t="e">
        <f t="shared" ca="1" si="0"/>
        <v>#VALUE!</v>
      </c>
      <c r="W34" s="116" t="e">
        <f t="shared" ca="1" si="1"/>
        <v>#VALUE!</v>
      </c>
      <c r="X34" s="30" t="s">
        <v>172</v>
      </c>
      <c r="Y34" s="2" t="s">
        <v>173</v>
      </c>
    </row>
    <row r="35" spans="1:26" ht="117.75" customHeight="1">
      <c r="A35" s="21" t="s">
        <v>35</v>
      </c>
      <c r="B35" s="6" t="s">
        <v>174</v>
      </c>
      <c r="C35" s="6">
        <v>12803372</v>
      </c>
      <c r="D35" s="6">
        <v>6</v>
      </c>
      <c r="E35" s="6">
        <v>48</v>
      </c>
      <c r="F35" s="6" t="s">
        <v>175</v>
      </c>
      <c r="G35" s="6" t="s">
        <v>176</v>
      </c>
      <c r="H35" s="6">
        <v>2024</v>
      </c>
      <c r="I35" s="30">
        <v>45484</v>
      </c>
      <c r="J35" s="6" t="s">
        <v>54</v>
      </c>
      <c r="K35" s="6" t="s">
        <v>177</v>
      </c>
      <c r="L35" s="6" t="s">
        <v>178</v>
      </c>
      <c r="M35" s="6" t="s">
        <v>133</v>
      </c>
      <c r="N35" s="6" t="s">
        <v>43</v>
      </c>
      <c r="O35" s="6" t="s">
        <v>122</v>
      </c>
      <c r="P35" s="6"/>
      <c r="Q35" s="6" t="s">
        <v>179</v>
      </c>
      <c r="R35" s="6" t="s">
        <v>114</v>
      </c>
      <c r="S35" s="6" t="s">
        <v>180</v>
      </c>
      <c r="T35" s="30">
        <v>45496</v>
      </c>
      <c r="U35" s="30">
        <v>45533</v>
      </c>
      <c r="V35" s="24">
        <f t="shared" ca="1" si="0"/>
        <v>-552</v>
      </c>
      <c r="W35" s="39" t="str">
        <f t="shared" ca="1" si="1"/>
        <v>Vencido</v>
      </c>
      <c r="X35" s="6" t="s">
        <v>181</v>
      </c>
      <c r="Y35" s="6" t="s">
        <v>158</v>
      </c>
    </row>
    <row r="36" spans="1:26" ht="108.75" customHeight="1">
      <c r="A36" s="90" t="s">
        <v>35</v>
      </c>
      <c r="B36" s="24" t="s">
        <v>182</v>
      </c>
      <c r="C36" s="65">
        <v>3731677</v>
      </c>
      <c r="D36" s="24">
        <v>6</v>
      </c>
      <c r="E36" s="24">
        <v>87</v>
      </c>
      <c r="F36" s="89" t="s">
        <v>57</v>
      </c>
      <c r="G36" s="89" t="s">
        <v>183</v>
      </c>
      <c r="H36" s="24">
        <v>2021</v>
      </c>
      <c r="I36" s="33">
        <v>44441</v>
      </c>
      <c r="J36" s="104" t="s">
        <v>54</v>
      </c>
      <c r="K36" s="24" t="s">
        <v>121</v>
      </c>
      <c r="L36" s="33">
        <v>45338</v>
      </c>
      <c r="M36" s="24" t="s">
        <v>184</v>
      </c>
      <c r="N36" s="24" t="s">
        <v>43</v>
      </c>
      <c r="O36" s="6" t="s">
        <v>122</v>
      </c>
      <c r="P36" s="6"/>
      <c r="Q36" s="6" t="s">
        <v>185</v>
      </c>
      <c r="R36" s="6" t="s">
        <v>186</v>
      </c>
      <c r="S36" s="6" t="s">
        <v>187</v>
      </c>
      <c r="T36" s="93">
        <v>45461</v>
      </c>
      <c r="U36" s="93">
        <v>45522</v>
      </c>
      <c r="V36" s="47">
        <f t="shared" ref="V36:V41" ca="1" si="2">U36-TODAY()</f>
        <v>-563</v>
      </c>
      <c r="W36" s="116" t="str">
        <f t="shared" ref="W36:W41" ca="1" si="3">IF(V36&gt;=25,"Vigente",IF(AND(V36&gt;=1,V36&lt;=25),"Por Vencer","Vencido"))</f>
        <v>Vencido</v>
      </c>
      <c r="X36" s="32" t="s">
        <v>188</v>
      </c>
      <c r="Y36" s="2" t="s">
        <v>158</v>
      </c>
    </row>
    <row r="37" spans="1:26" ht="103.5" customHeight="1">
      <c r="A37" s="90" t="s">
        <v>35</v>
      </c>
      <c r="B37" s="24" t="s">
        <v>189</v>
      </c>
      <c r="C37" s="65">
        <v>3732923</v>
      </c>
      <c r="D37" s="24">
        <v>1</v>
      </c>
      <c r="E37" s="24">
        <v>90</v>
      </c>
      <c r="F37" s="89" t="s">
        <v>141</v>
      </c>
      <c r="G37" s="89" t="s">
        <v>190</v>
      </c>
      <c r="H37" s="24">
        <v>2022</v>
      </c>
      <c r="I37" s="33">
        <v>44740</v>
      </c>
      <c r="J37" s="104" t="s">
        <v>41</v>
      </c>
      <c r="K37" s="24" t="s">
        <v>59</v>
      </c>
      <c r="L37" s="24" t="s">
        <v>105</v>
      </c>
      <c r="M37" s="24" t="s">
        <v>96</v>
      </c>
      <c r="N37" s="24" t="s">
        <v>43</v>
      </c>
      <c r="O37" s="6" t="s">
        <v>122</v>
      </c>
      <c r="P37" s="6"/>
      <c r="Q37" s="6" t="s">
        <v>191</v>
      </c>
      <c r="R37" s="6" t="s">
        <v>192</v>
      </c>
      <c r="S37" s="6" t="s">
        <v>193</v>
      </c>
      <c r="T37" s="93">
        <v>45484</v>
      </c>
      <c r="U37" s="93">
        <v>45576</v>
      </c>
      <c r="V37" s="47">
        <f t="shared" ca="1" si="2"/>
        <v>-509</v>
      </c>
      <c r="W37" s="116" t="str">
        <f t="shared" ca="1" si="3"/>
        <v>Vencido</v>
      </c>
      <c r="X37" s="6" t="s">
        <v>194</v>
      </c>
      <c r="Y37" s="6" t="s">
        <v>158</v>
      </c>
    </row>
    <row r="38" spans="1:26" ht="121.5" customHeight="1">
      <c r="A38" s="13" t="s">
        <v>35</v>
      </c>
      <c r="B38" s="6" t="s">
        <v>195</v>
      </c>
      <c r="C38" s="2">
        <v>4348346</v>
      </c>
      <c r="D38" s="6">
        <v>3</v>
      </c>
      <c r="E38" s="6">
        <v>85</v>
      </c>
      <c r="F38" s="10" t="s">
        <v>46</v>
      </c>
      <c r="G38" s="10" t="s">
        <v>196</v>
      </c>
      <c r="H38" s="6">
        <v>2024</v>
      </c>
      <c r="I38" s="30">
        <v>45406</v>
      </c>
      <c r="J38" s="2" t="s">
        <v>54</v>
      </c>
      <c r="K38" s="6" t="s">
        <v>59</v>
      </c>
      <c r="L38" s="30">
        <v>45520</v>
      </c>
      <c r="M38" s="6" t="s">
        <v>197</v>
      </c>
      <c r="N38" s="6" t="s">
        <v>43</v>
      </c>
      <c r="O38" s="6" t="s">
        <v>122</v>
      </c>
      <c r="P38" s="6"/>
      <c r="Q38" s="6" t="s">
        <v>198</v>
      </c>
      <c r="R38" s="6" t="s">
        <v>114</v>
      </c>
      <c r="S38" s="6" t="s">
        <v>199</v>
      </c>
      <c r="T38" s="93">
        <v>45546</v>
      </c>
      <c r="U38" s="93">
        <v>45576</v>
      </c>
      <c r="V38" s="47">
        <f t="shared" ca="1" si="2"/>
        <v>-509</v>
      </c>
      <c r="W38" s="118" t="str">
        <f t="shared" ca="1" si="3"/>
        <v>Vencido</v>
      </c>
      <c r="X38" s="57" t="s">
        <v>200</v>
      </c>
      <c r="Y38" s="6" t="s">
        <v>158</v>
      </c>
    </row>
    <row r="39" spans="1:26" ht="120" customHeight="1">
      <c r="A39" s="90" t="s">
        <v>35</v>
      </c>
      <c r="B39" s="6" t="s">
        <v>201</v>
      </c>
      <c r="C39" s="2">
        <v>12944044</v>
      </c>
      <c r="D39" s="6">
        <v>9</v>
      </c>
      <c r="E39" s="6">
        <v>48</v>
      </c>
      <c r="F39" s="10" t="s">
        <v>116</v>
      </c>
      <c r="G39" s="10" t="s">
        <v>202</v>
      </c>
      <c r="H39" s="6">
        <v>2024</v>
      </c>
      <c r="I39" s="30">
        <v>45362</v>
      </c>
      <c r="J39" s="2" t="s">
        <v>41</v>
      </c>
      <c r="K39" s="6" t="s">
        <v>59</v>
      </c>
      <c r="L39" s="6" t="s">
        <v>178</v>
      </c>
      <c r="M39" s="6" t="s">
        <v>133</v>
      </c>
      <c r="N39" s="6" t="s">
        <v>43</v>
      </c>
      <c r="O39" s="6" t="s">
        <v>122</v>
      </c>
      <c r="P39" s="6"/>
      <c r="Q39" s="6" t="s">
        <v>203</v>
      </c>
      <c r="R39" s="6" t="s">
        <v>114</v>
      </c>
      <c r="S39" s="6" t="s">
        <v>146</v>
      </c>
      <c r="T39" s="120">
        <v>45468</v>
      </c>
      <c r="U39" s="121">
        <v>45498</v>
      </c>
      <c r="V39" s="122">
        <f t="shared" ca="1" si="2"/>
        <v>-587</v>
      </c>
      <c r="W39" s="116" t="str">
        <f t="shared" ca="1" si="3"/>
        <v>Vencido</v>
      </c>
      <c r="X39" s="6" t="s">
        <v>204</v>
      </c>
      <c r="Y39" s="6" t="s">
        <v>205</v>
      </c>
    </row>
    <row r="40" spans="1:26" ht="125.25" customHeight="1">
      <c r="A40" s="21" t="s">
        <v>35</v>
      </c>
      <c r="B40" s="6" t="s">
        <v>206</v>
      </c>
      <c r="C40" s="6">
        <v>10775742</v>
      </c>
      <c r="D40" s="6">
        <v>2</v>
      </c>
      <c r="E40" s="6">
        <v>56</v>
      </c>
      <c r="F40" s="6" t="s">
        <v>175</v>
      </c>
      <c r="G40" s="6" t="s">
        <v>207</v>
      </c>
      <c r="H40" s="6">
        <v>2024</v>
      </c>
      <c r="I40" s="30">
        <v>45565</v>
      </c>
      <c r="J40" s="6" t="s">
        <v>41</v>
      </c>
      <c r="K40" s="6" t="s">
        <v>177</v>
      </c>
      <c r="L40" s="6" t="s">
        <v>105</v>
      </c>
      <c r="M40" s="6" t="s">
        <v>208</v>
      </c>
      <c r="N40" s="6" t="s">
        <v>43</v>
      </c>
      <c r="O40" s="6" t="s">
        <v>209</v>
      </c>
      <c r="P40" s="6" t="s">
        <v>107</v>
      </c>
      <c r="Q40" s="6" t="s">
        <v>210</v>
      </c>
      <c r="R40" s="6" t="s">
        <v>114</v>
      </c>
      <c r="S40" s="6" t="s">
        <v>211</v>
      </c>
      <c r="T40" s="30">
        <v>45576</v>
      </c>
      <c r="U40" s="30">
        <v>45607</v>
      </c>
      <c r="V40" s="24">
        <f t="shared" ca="1" si="2"/>
        <v>-478</v>
      </c>
      <c r="W40" s="6" t="str">
        <f t="shared" ca="1" si="3"/>
        <v>Vencido</v>
      </c>
      <c r="X40" s="6" t="s">
        <v>212</v>
      </c>
      <c r="Y40" s="2" t="s">
        <v>213</v>
      </c>
    </row>
    <row r="41" spans="1:26" ht="100.5" customHeight="1">
      <c r="A41" s="23" t="s">
        <v>35</v>
      </c>
      <c r="B41" s="6" t="s">
        <v>214</v>
      </c>
      <c r="C41" s="6">
        <v>10249812</v>
      </c>
      <c r="D41" s="6">
        <v>7</v>
      </c>
      <c r="E41" s="6">
        <v>61</v>
      </c>
      <c r="F41" s="6" t="s">
        <v>71</v>
      </c>
      <c r="G41" s="6" t="s">
        <v>215</v>
      </c>
      <c r="H41" s="6">
        <v>2024</v>
      </c>
      <c r="I41" s="6" t="s">
        <v>216</v>
      </c>
      <c r="J41" s="6" t="s">
        <v>41</v>
      </c>
      <c r="K41" s="6" t="s">
        <v>151</v>
      </c>
      <c r="L41" s="6" t="s">
        <v>178</v>
      </c>
      <c r="M41" s="6" t="s">
        <v>133</v>
      </c>
      <c r="N41" s="6" t="s">
        <v>43</v>
      </c>
      <c r="O41" s="6" t="s">
        <v>122</v>
      </c>
      <c r="P41" s="6"/>
      <c r="Q41" s="6" t="s">
        <v>217</v>
      </c>
      <c r="R41" s="6" t="s">
        <v>114</v>
      </c>
      <c r="S41" s="6" t="s">
        <v>218</v>
      </c>
      <c r="T41" s="30">
        <v>45532</v>
      </c>
      <c r="U41" s="30">
        <v>45805</v>
      </c>
      <c r="V41" s="6">
        <f t="shared" ca="1" si="2"/>
        <v>-280</v>
      </c>
      <c r="W41" s="39" t="str">
        <f t="shared" ca="1" si="3"/>
        <v>Vencido</v>
      </c>
      <c r="X41" s="48" t="s">
        <v>219</v>
      </c>
      <c r="Y41" s="2" t="s">
        <v>220</v>
      </c>
    </row>
    <row r="42" spans="1:26" ht="119.25" customHeight="1">
      <c r="A42" s="23" t="s">
        <v>35</v>
      </c>
      <c r="B42" s="6" t="s">
        <v>221</v>
      </c>
      <c r="C42" s="6">
        <v>5498623</v>
      </c>
      <c r="D42" s="6">
        <v>8</v>
      </c>
      <c r="E42" s="6">
        <v>77</v>
      </c>
      <c r="F42" s="6" t="s">
        <v>71</v>
      </c>
      <c r="G42" s="6" t="s">
        <v>222</v>
      </c>
      <c r="H42" s="6">
        <v>2024</v>
      </c>
      <c r="I42" s="30">
        <v>45562</v>
      </c>
      <c r="J42" s="6" t="s">
        <v>41</v>
      </c>
      <c r="K42" s="6" t="s">
        <v>177</v>
      </c>
      <c r="L42" s="6" t="s">
        <v>105</v>
      </c>
      <c r="M42" s="6" t="s">
        <v>133</v>
      </c>
      <c r="N42" s="6" t="s">
        <v>43</v>
      </c>
      <c r="O42" s="6" t="s">
        <v>106</v>
      </c>
      <c r="P42" s="6" t="s">
        <v>107</v>
      </c>
      <c r="Q42" s="6" t="s">
        <v>223</v>
      </c>
      <c r="R42" s="6" t="s">
        <v>114</v>
      </c>
      <c r="S42" s="6" t="s">
        <v>224</v>
      </c>
      <c r="T42" s="30">
        <v>45576</v>
      </c>
      <c r="U42" s="30">
        <v>45588</v>
      </c>
      <c r="V42" s="24">
        <f t="shared" ref="V42:V47" ca="1" si="4">U42-TODAY()</f>
        <v>-497</v>
      </c>
      <c r="W42" s="6" t="str">
        <f t="shared" ref="W42:W47" ca="1" si="5">IF(V42&gt;=25,"Vigente",IF(AND(V42&gt;=1,V42&lt;=25),"Por Vencer","Vencido"))</f>
        <v>Vencido</v>
      </c>
      <c r="X42" s="6" t="s">
        <v>225</v>
      </c>
      <c r="Y42" s="6" t="s">
        <v>220</v>
      </c>
      <c r="Z42" s="60"/>
    </row>
    <row r="43" spans="1:26" ht="108.75" customHeight="1">
      <c r="A43" s="13" t="s">
        <v>35</v>
      </c>
      <c r="B43" s="6" t="s">
        <v>226</v>
      </c>
      <c r="C43" s="2">
        <v>21564655</v>
      </c>
      <c r="D43" s="6">
        <v>6</v>
      </c>
      <c r="E43" s="6">
        <v>20</v>
      </c>
      <c r="F43" s="10" t="s">
        <v>125</v>
      </c>
      <c r="G43" s="6" t="s">
        <v>227</v>
      </c>
      <c r="H43" s="6">
        <v>2024</v>
      </c>
      <c r="I43" s="30">
        <v>45330</v>
      </c>
      <c r="J43" s="2" t="s">
        <v>41</v>
      </c>
      <c r="K43" s="6" t="s">
        <v>228</v>
      </c>
      <c r="L43" s="6" t="s">
        <v>105</v>
      </c>
      <c r="M43" s="6" t="s">
        <v>96</v>
      </c>
      <c r="N43" s="6" t="s">
        <v>43</v>
      </c>
      <c r="O43" s="6" t="s">
        <v>122</v>
      </c>
      <c r="P43" s="6"/>
      <c r="Q43" s="6" t="s">
        <v>229</v>
      </c>
      <c r="R43" s="6" t="s">
        <v>114</v>
      </c>
      <c r="S43" s="6" t="s">
        <v>230</v>
      </c>
      <c r="T43" s="93">
        <v>45601</v>
      </c>
      <c r="U43" s="93">
        <v>45631</v>
      </c>
      <c r="V43" s="47">
        <f t="shared" ca="1" si="4"/>
        <v>-454</v>
      </c>
      <c r="W43" s="116" t="str">
        <f t="shared" ca="1" si="5"/>
        <v>Vencido</v>
      </c>
      <c r="X43" s="48" t="s">
        <v>231</v>
      </c>
      <c r="Y43" s="2" t="s">
        <v>205</v>
      </c>
    </row>
    <row r="44" spans="1:26" ht="120.75" customHeight="1">
      <c r="A44" s="23" t="s">
        <v>35</v>
      </c>
      <c r="B44" s="6" t="s">
        <v>232</v>
      </c>
      <c r="C44" s="6">
        <v>14192271</v>
      </c>
      <c r="D44" s="6">
        <v>8</v>
      </c>
      <c r="E44" s="6">
        <v>44</v>
      </c>
      <c r="F44" s="6" t="s">
        <v>233</v>
      </c>
      <c r="G44" s="6" t="s">
        <v>234</v>
      </c>
      <c r="H44" s="6">
        <v>2024</v>
      </c>
      <c r="I44" s="30">
        <v>45477</v>
      </c>
      <c r="J44" s="6" t="s">
        <v>41</v>
      </c>
      <c r="K44" s="6" t="s">
        <v>235</v>
      </c>
      <c r="L44" s="6" t="s">
        <v>178</v>
      </c>
      <c r="M44" s="6" t="s">
        <v>133</v>
      </c>
      <c r="N44" s="6" t="s">
        <v>43</v>
      </c>
      <c r="O44" s="6" t="s">
        <v>122</v>
      </c>
      <c r="P44" s="6"/>
      <c r="Q44" s="6" t="s">
        <v>236</v>
      </c>
      <c r="R44" s="6" t="s">
        <v>114</v>
      </c>
      <c r="S44" s="6" t="s">
        <v>146</v>
      </c>
      <c r="T44" s="30">
        <v>45617</v>
      </c>
      <c r="U44" s="30">
        <v>45647</v>
      </c>
      <c r="V44" s="6">
        <f t="shared" ca="1" si="4"/>
        <v>-438</v>
      </c>
      <c r="W44" s="39" t="str">
        <f t="shared" ca="1" si="5"/>
        <v>Vencido</v>
      </c>
      <c r="X44" s="6" t="s">
        <v>237</v>
      </c>
      <c r="Y44" s="2" t="s">
        <v>238</v>
      </c>
    </row>
    <row r="45" spans="1:26" ht="120" customHeight="1">
      <c r="A45" s="23" t="s">
        <v>35</v>
      </c>
      <c r="B45" s="6" t="s">
        <v>239</v>
      </c>
      <c r="C45" s="6">
        <v>8760593</v>
      </c>
      <c r="D45" s="6">
        <v>0</v>
      </c>
      <c r="E45" s="6">
        <v>66</v>
      </c>
      <c r="F45" s="6" t="s">
        <v>71</v>
      </c>
      <c r="G45" s="22" t="s">
        <v>240</v>
      </c>
      <c r="H45" s="6">
        <v>2021</v>
      </c>
      <c r="I45" s="30">
        <v>44258</v>
      </c>
      <c r="J45" s="6" t="s">
        <v>41</v>
      </c>
      <c r="K45" s="6" t="s">
        <v>177</v>
      </c>
      <c r="L45" s="6" t="s">
        <v>178</v>
      </c>
      <c r="M45" s="6" t="s">
        <v>133</v>
      </c>
      <c r="N45" s="6" t="s">
        <v>43</v>
      </c>
      <c r="O45" s="6" t="s">
        <v>122</v>
      </c>
      <c r="P45" s="6"/>
      <c r="Q45" s="6" t="s">
        <v>241</v>
      </c>
      <c r="R45" s="6" t="s">
        <v>114</v>
      </c>
      <c r="S45" s="6" t="s">
        <v>242</v>
      </c>
      <c r="T45" s="30">
        <v>45516</v>
      </c>
      <c r="U45" s="30">
        <v>45577</v>
      </c>
      <c r="V45" s="6">
        <f t="shared" ca="1" si="4"/>
        <v>-508</v>
      </c>
      <c r="W45" s="39" t="str">
        <f t="shared" ca="1" si="5"/>
        <v>Vencido</v>
      </c>
      <c r="X45" s="6" t="s">
        <v>243</v>
      </c>
      <c r="Y45" s="6" t="s">
        <v>158</v>
      </c>
    </row>
    <row r="46" spans="1:26" ht="125.25" customHeight="1">
      <c r="A46" s="90" t="s">
        <v>35</v>
      </c>
      <c r="B46" s="6" t="s">
        <v>244</v>
      </c>
      <c r="C46" s="6">
        <v>5988148</v>
      </c>
      <c r="D46" s="6">
        <v>5</v>
      </c>
      <c r="E46" s="6">
        <v>74</v>
      </c>
      <c r="F46" s="6" t="s">
        <v>245</v>
      </c>
      <c r="G46" s="6" t="s">
        <v>246</v>
      </c>
      <c r="H46" s="6">
        <v>2023</v>
      </c>
      <c r="I46" s="30">
        <v>44965</v>
      </c>
      <c r="J46" s="6" t="s">
        <v>41</v>
      </c>
      <c r="K46" s="6" t="s">
        <v>247</v>
      </c>
      <c r="L46" s="6" t="s">
        <v>105</v>
      </c>
      <c r="M46" s="6" t="s">
        <v>96</v>
      </c>
      <c r="N46" s="6" t="s">
        <v>43</v>
      </c>
      <c r="O46" s="6" t="s">
        <v>122</v>
      </c>
      <c r="P46" s="6"/>
      <c r="Q46" s="6" t="s">
        <v>248</v>
      </c>
      <c r="R46" s="6" t="s">
        <v>114</v>
      </c>
      <c r="S46" s="6" t="s">
        <v>180</v>
      </c>
      <c r="T46" s="93">
        <v>45517</v>
      </c>
      <c r="U46" s="93">
        <v>45548</v>
      </c>
      <c r="V46" s="47">
        <f t="shared" ca="1" si="4"/>
        <v>-537</v>
      </c>
      <c r="W46" s="118" t="str">
        <f t="shared" ca="1" si="5"/>
        <v>Vencido</v>
      </c>
      <c r="X46" s="6" t="s">
        <v>249</v>
      </c>
      <c r="Y46" s="6" t="s">
        <v>220</v>
      </c>
    </row>
    <row r="47" spans="1:26" ht="108.75" customHeight="1">
      <c r="A47" s="90" t="s">
        <v>35</v>
      </c>
      <c r="B47" s="6" t="s">
        <v>250</v>
      </c>
      <c r="C47" s="2">
        <v>6500020</v>
      </c>
      <c r="D47" s="6">
        <v>2</v>
      </c>
      <c r="E47" s="6">
        <v>74</v>
      </c>
      <c r="F47" s="10" t="s">
        <v>175</v>
      </c>
      <c r="G47" s="91" t="s">
        <v>251</v>
      </c>
      <c r="H47" s="6">
        <v>2024</v>
      </c>
      <c r="I47" s="30">
        <v>45625</v>
      </c>
      <c r="J47" s="2" t="s">
        <v>54</v>
      </c>
      <c r="K47" s="6" t="s">
        <v>59</v>
      </c>
      <c r="L47" s="6" t="s">
        <v>178</v>
      </c>
      <c r="M47" s="6" t="s">
        <v>133</v>
      </c>
      <c r="N47" s="6" t="s">
        <v>43</v>
      </c>
      <c r="O47" s="6" t="s">
        <v>122</v>
      </c>
      <c r="P47" s="6"/>
      <c r="Q47" s="6" t="s">
        <v>252</v>
      </c>
      <c r="R47" s="6" t="s">
        <v>114</v>
      </c>
      <c r="S47" s="6" t="s">
        <v>253</v>
      </c>
      <c r="T47" s="93">
        <v>45583</v>
      </c>
      <c r="U47" s="93">
        <v>45629</v>
      </c>
      <c r="V47" s="47">
        <f t="shared" ca="1" si="4"/>
        <v>-456</v>
      </c>
      <c r="W47" s="116" t="str">
        <f t="shared" ca="1" si="5"/>
        <v>Vencido</v>
      </c>
      <c r="X47" s="6" t="s">
        <v>254</v>
      </c>
      <c r="Y47" s="2" t="s">
        <v>255</v>
      </c>
    </row>
    <row r="48" spans="1:26" ht="122.25" customHeight="1">
      <c r="A48" s="23" t="s">
        <v>35</v>
      </c>
      <c r="B48" s="6" t="s">
        <v>256</v>
      </c>
      <c r="C48" s="6">
        <v>8586366</v>
      </c>
      <c r="D48" s="6">
        <v>5</v>
      </c>
      <c r="E48" s="6">
        <v>66</v>
      </c>
      <c r="F48" s="6" t="s">
        <v>71</v>
      </c>
      <c r="G48" s="20" t="s">
        <v>257</v>
      </c>
      <c r="H48" s="6">
        <v>2024</v>
      </c>
      <c r="I48" s="6" t="s">
        <v>258</v>
      </c>
      <c r="J48" s="6" t="s">
        <v>41</v>
      </c>
      <c r="K48" s="6" t="s">
        <v>177</v>
      </c>
      <c r="L48" s="6" t="s">
        <v>105</v>
      </c>
      <c r="M48" s="6" t="s">
        <v>208</v>
      </c>
      <c r="N48" s="6" t="s">
        <v>43</v>
      </c>
      <c r="O48" s="6" t="s">
        <v>122</v>
      </c>
      <c r="P48" s="6"/>
      <c r="Q48" s="6" t="s">
        <v>259</v>
      </c>
      <c r="R48" s="6" t="s">
        <v>114</v>
      </c>
      <c r="S48" s="6" t="s">
        <v>180</v>
      </c>
      <c r="T48" s="30">
        <v>45609</v>
      </c>
      <c r="U48" s="30">
        <v>45645</v>
      </c>
      <c r="V48" s="6">
        <f t="shared" ref="V48:V58" ca="1" si="6">U48-TODAY()</f>
        <v>-440</v>
      </c>
      <c r="W48" s="39" t="str">
        <f t="shared" ref="W48:W58" ca="1" si="7">IF(V48&gt;=25,"Vigente",IF(AND(V48&gt;=1,V48&lt;=25),"Por Vencer","Vencido"))</f>
        <v>Vencido</v>
      </c>
      <c r="X48" s="6" t="s">
        <v>260</v>
      </c>
      <c r="Y48" s="6" t="s">
        <v>261</v>
      </c>
    </row>
    <row r="49" spans="1:39" ht="108" customHeight="1">
      <c r="A49" s="6" t="s">
        <v>35</v>
      </c>
      <c r="B49" s="6" t="s">
        <v>262</v>
      </c>
      <c r="C49" s="6">
        <v>12572097</v>
      </c>
      <c r="D49" s="6">
        <v>8</v>
      </c>
      <c r="E49" s="6">
        <v>50</v>
      </c>
      <c r="F49" s="6" t="s">
        <v>71</v>
      </c>
      <c r="G49" s="22" t="s">
        <v>263</v>
      </c>
      <c r="H49" s="6">
        <v>2024</v>
      </c>
      <c r="I49" s="6" t="s">
        <v>264</v>
      </c>
      <c r="J49" s="6" t="s">
        <v>41</v>
      </c>
      <c r="K49" s="6" t="s">
        <v>151</v>
      </c>
      <c r="L49" s="6" t="s">
        <v>105</v>
      </c>
      <c r="M49" s="6" t="s">
        <v>208</v>
      </c>
      <c r="N49" s="6" t="s">
        <v>43</v>
      </c>
      <c r="O49" s="6" t="s">
        <v>122</v>
      </c>
      <c r="P49" s="6"/>
      <c r="Q49" s="6" t="s">
        <v>265</v>
      </c>
      <c r="R49" s="6" t="s">
        <v>114</v>
      </c>
      <c r="S49" s="6" t="s">
        <v>266</v>
      </c>
      <c r="T49" s="30">
        <v>45638</v>
      </c>
      <c r="U49" s="30">
        <v>45644</v>
      </c>
      <c r="V49" s="24">
        <f t="shared" ca="1" si="6"/>
        <v>-441</v>
      </c>
      <c r="W49" s="39" t="str">
        <f t="shared" ca="1" si="7"/>
        <v>Vencido</v>
      </c>
      <c r="X49" s="6" t="s">
        <v>267</v>
      </c>
      <c r="Y49" s="6" t="s">
        <v>238</v>
      </c>
    </row>
    <row r="50" spans="1:39" ht="126.75" customHeight="1">
      <c r="A50" s="90" t="s">
        <v>35</v>
      </c>
      <c r="B50" s="6" t="s">
        <v>268</v>
      </c>
      <c r="C50" s="2">
        <v>5655080</v>
      </c>
      <c r="D50" s="6">
        <v>1</v>
      </c>
      <c r="E50" s="6">
        <v>76</v>
      </c>
      <c r="F50" s="10" t="s">
        <v>233</v>
      </c>
      <c r="G50" s="2" t="s">
        <v>269</v>
      </c>
      <c r="H50" s="2" t="s">
        <v>270</v>
      </c>
      <c r="I50" s="2" t="s">
        <v>270</v>
      </c>
      <c r="J50" s="2" t="s">
        <v>41</v>
      </c>
      <c r="K50" s="6" t="s">
        <v>177</v>
      </c>
      <c r="L50" s="2" t="s">
        <v>178</v>
      </c>
      <c r="M50" s="6" t="s">
        <v>133</v>
      </c>
      <c r="N50" s="6" t="s">
        <v>43</v>
      </c>
      <c r="O50" s="6" t="s">
        <v>122</v>
      </c>
      <c r="P50" s="6"/>
      <c r="Q50" s="6" t="s">
        <v>271</v>
      </c>
      <c r="R50" s="6" t="s">
        <v>114</v>
      </c>
      <c r="S50" s="6" t="s">
        <v>146</v>
      </c>
      <c r="T50" s="107">
        <v>45603</v>
      </c>
      <c r="U50" s="107">
        <v>45633</v>
      </c>
      <c r="V50" s="47">
        <f t="shared" ca="1" si="6"/>
        <v>-452</v>
      </c>
      <c r="W50" s="116" t="str">
        <f t="shared" ca="1" si="7"/>
        <v>Vencido</v>
      </c>
      <c r="X50" s="6" t="s">
        <v>272</v>
      </c>
      <c r="Y50" s="10" t="s">
        <v>261</v>
      </c>
    </row>
    <row r="51" spans="1:39" ht="128.25" customHeight="1">
      <c r="A51" s="21" t="s">
        <v>35</v>
      </c>
      <c r="B51" s="6" t="s">
        <v>273</v>
      </c>
      <c r="C51" s="6">
        <v>7455428</v>
      </c>
      <c r="D51" s="6">
        <v>8</v>
      </c>
      <c r="E51" s="6">
        <v>88</v>
      </c>
      <c r="F51" s="6" t="s">
        <v>233</v>
      </c>
      <c r="G51" s="6" t="s">
        <v>274</v>
      </c>
      <c r="H51" s="6">
        <v>2024</v>
      </c>
      <c r="I51" s="30">
        <v>45490</v>
      </c>
      <c r="J51" s="6" t="s">
        <v>41</v>
      </c>
      <c r="K51" s="6" t="s">
        <v>275</v>
      </c>
      <c r="L51" s="6" t="s">
        <v>178</v>
      </c>
      <c r="M51" s="6" t="s">
        <v>133</v>
      </c>
      <c r="N51" s="6" t="s">
        <v>43</v>
      </c>
      <c r="O51" s="6" t="s">
        <v>122</v>
      </c>
      <c r="P51" s="6"/>
      <c r="Q51" s="6" t="s">
        <v>276</v>
      </c>
      <c r="R51" s="6" t="s">
        <v>114</v>
      </c>
      <c r="S51" s="6" t="s">
        <v>277</v>
      </c>
      <c r="T51" s="30">
        <v>45664</v>
      </c>
      <c r="U51" s="30">
        <v>45695</v>
      </c>
      <c r="V51" s="24">
        <f t="shared" ca="1" si="6"/>
        <v>-390</v>
      </c>
      <c r="W51" s="39" t="str">
        <f t="shared" ca="1" si="7"/>
        <v>Vencido</v>
      </c>
      <c r="X51" s="6" t="s">
        <v>278</v>
      </c>
      <c r="Y51" s="6" t="s">
        <v>279</v>
      </c>
    </row>
    <row r="52" spans="1:39" ht="115.5" customHeight="1">
      <c r="A52" s="6" t="s">
        <v>35</v>
      </c>
      <c r="B52" s="6" t="s">
        <v>280</v>
      </c>
      <c r="C52" s="6">
        <v>3734771</v>
      </c>
      <c r="D52" s="6" t="s">
        <v>281</v>
      </c>
      <c r="E52" s="6">
        <v>89</v>
      </c>
      <c r="F52" s="6" t="s">
        <v>282</v>
      </c>
      <c r="G52" s="6" t="s">
        <v>283</v>
      </c>
      <c r="H52" s="6">
        <v>2024</v>
      </c>
      <c r="I52" s="6" t="s">
        <v>150</v>
      </c>
      <c r="J52" s="6" t="s">
        <v>41</v>
      </c>
      <c r="K52" s="6" t="s">
        <v>177</v>
      </c>
      <c r="L52" s="6" t="s">
        <v>105</v>
      </c>
      <c r="M52" s="6" t="s">
        <v>208</v>
      </c>
      <c r="N52" s="6" t="s">
        <v>43</v>
      </c>
      <c r="O52" s="6" t="s">
        <v>122</v>
      </c>
      <c r="P52" s="6"/>
      <c r="Q52" s="6" t="s">
        <v>284</v>
      </c>
      <c r="R52" s="6" t="s">
        <v>114</v>
      </c>
      <c r="S52" s="6" t="s">
        <v>285</v>
      </c>
      <c r="T52" s="30">
        <v>45603</v>
      </c>
      <c r="U52" s="30">
        <v>45633</v>
      </c>
      <c r="V52" s="6">
        <f t="shared" ca="1" si="6"/>
        <v>-452</v>
      </c>
      <c r="W52" s="39" t="str">
        <f t="shared" ca="1" si="7"/>
        <v>Vencido</v>
      </c>
      <c r="X52" s="6" t="s">
        <v>286</v>
      </c>
      <c r="Y52" s="6" t="s">
        <v>261</v>
      </c>
    </row>
    <row r="53" spans="1:39" s="61" customFormat="1" ht="134.25" customHeight="1">
      <c r="A53" s="21" t="s">
        <v>35</v>
      </c>
      <c r="B53" s="6" t="s">
        <v>287</v>
      </c>
      <c r="C53" s="6">
        <v>10594551</v>
      </c>
      <c r="D53" s="6">
        <v>5</v>
      </c>
      <c r="E53" s="6">
        <v>69</v>
      </c>
      <c r="F53" s="6" t="s">
        <v>175</v>
      </c>
      <c r="G53" s="22" t="s">
        <v>288</v>
      </c>
      <c r="H53" s="6">
        <v>2024</v>
      </c>
      <c r="I53" s="30">
        <v>45623</v>
      </c>
      <c r="J53" s="6" t="s">
        <v>54</v>
      </c>
      <c r="K53" s="6" t="s">
        <v>121</v>
      </c>
      <c r="L53" s="6" t="s">
        <v>105</v>
      </c>
      <c r="M53" s="6" t="s">
        <v>96</v>
      </c>
      <c r="N53" s="6" t="s">
        <v>43</v>
      </c>
      <c r="O53" s="6" t="s">
        <v>122</v>
      </c>
      <c r="P53" s="6"/>
      <c r="Q53" s="6" t="s">
        <v>289</v>
      </c>
      <c r="R53" s="6" t="s">
        <v>114</v>
      </c>
      <c r="S53" s="6" t="s">
        <v>290</v>
      </c>
      <c r="T53" s="30">
        <v>45664</v>
      </c>
      <c r="U53" s="30">
        <v>45672</v>
      </c>
      <c r="V53" s="6">
        <f t="shared" ca="1" si="6"/>
        <v>-413</v>
      </c>
      <c r="W53" s="39" t="str">
        <f t="shared" ca="1" si="7"/>
        <v>Vencido</v>
      </c>
      <c r="X53" s="6" t="s">
        <v>291</v>
      </c>
      <c r="Y53" s="45" t="s">
        <v>292</v>
      </c>
    </row>
    <row r="54" spans="1:39" s="12" customFormat="1" ht="120" customHeight="1">
      <c r="A54" s="23" t="s">
        <v>35</v>
      </c>
      <c r="B54" s="6" t="s">
        <v>293</v>
      </c>
      <c r="C54" s="6">
        <v>3615954</v>
      </c>
      <c r="D54" s="6">
        <v>5</v>
      </c>
      <c r="E54" s="6">
        <v>88</v>
      </c>
      <c r="F54" s="6" t="s">
        <v>71</v>
      </c>
      <c r="G54" s="6" t="s">
        <v>294</v>
      </c>
      <c r="H54" s="6">
        <v>2024</v>
      </c>
      <c r="I54" s="30">
        <v>45363</v>
      </c>
      <c r="J54" s="6" t="s">
        <v>41</v>
      </c>
      <c r="K54" s="6" t="s">
        <v>59</v>
      </c>
      <c r="L54" s="6" t="s">
        <v>178</v>
      </c>
      <c r="M54" s="6" t="s">
        <v>133</v>
      </c>
      <c r="N54" s="6" t="s">
        <v>43</v>
      </c>
      <c r="O54" s="6" t="s">
        <v>122</v>
      </c>
      <c r="P54" s="6"/>
      <c r="Q54" s="6" t="s">
        <v>295</v>
      </c>
      <c r="R54" s="6" t="s">
        <v>114</v>
      </c>
      <c r="S54" s="6" t="s">
        <v>296</v>
      </c>
      <c r="T54" s="30">
        <v>45656</v>
      </c>
      <c r="U54" s="30">
        <v>45687</v>
      </c>
      <c r="V54" s="24">
        <f t="shared" ca="1" si="6"/>
        <v>-398</v>
      </c>
      <c r="W54" s="41" t="str">
        <f t="shared" ca="1" si="7"/>
        <v>Vencido</v>
      </c>
      <c r="X54" s="6" t="s">
        <v>297</v>
      </c>
      <c r="Y54" s="6" t="s">
        <v>261</v>
      </c>
      <c r="Z54"/>
      <c r="AA54"/>
      <c r="AB54"/>
      <c r="AC54"/>
      <c r="AD54"/>
      <c r="AE54"/>
      <c r="AF54"/>
      <c r="AG54"/>
      <c r="AH54"/>
      <c r="AI54"/>
      <c r="AJ54"/>
      <c r="AK54"/>
      <c r="AL54"/>
      <c r="AM54"/>
    </row>
    <row r="55" spans="1:39" ht="122.25" customHeight="1">
      <c r="A55" s="23" t="s">
        <v>35</v>
      </c>
      <c r="B55" s="6" t="s">
        <v>298</v>
      </c>
      <c r="C55" s="6">
        <v>4568165</v>
      </c>
      <c r="D55" s="6">
        <v>3</v>
      </c>
      <c r="E55" s="6">
        <v>85</v>
      </c>
      <c r="F55" s="6" t="s">
        <v>125</v>
      </c>
      <c r="G55" s="6" t="s">
        <v>299</v>
      </c>
      <c r="H55" s="6">
        <v>2022</v>
      </c>
      <c r="I55" s="30">
        <v>44565</v>
      </c>
      <c r="J55" s="24" t="s">
        <v>41</v>
      </c>
      <c r="K55" s="6" t="s">
        <v>42</v>
      </c>
      <c r="L55" s="6" t="s">
        <v>178</v>
      </c>
      <c r="M55" s="6" t="s">
        <v>133</v>
      </c>
      <c r="N55" s="6" t="s">
        <v>43</v>
      </c>
      <c r="O55" s="6" t="s">
        <v>122</v>
      </c>
      <c r="P55" s="6"/>
      <c r="Q55" s="6" t="s">
        <v>300</v>
      </c>
      <c r="R55" s="6" t="s">
        <v>114</v>
      </c>
      <c r="S55" s="6" t="s">
        <v>242</v>
      </c>
      <c r="T55" s="33">
        <v>45678</v>
      </c>
      <c r="U55" s="33">
        <v>45768</v>
      </c>
      <c r="V55" s="24">
        <f t="shared" ca="1" si="6"/>
        <v>-317</v>
      </c>
      <c r="W55" s="39" t="str">
        <f t="shared" ca="1" si="7"/>
        <v>Vencido</v>
      </c>
      <c r="X55" s="123" t="s">
        <v>301</v>
      </c>
      <c r="Y55" s="6" t="s">
        <v>292</v>
      </c>
    </row>
    <row r="56" spans="1:39" ht="121.5" customHeight="1">
      <c r="A56" s="21" t="s">
        <v>35</v>
      </c>
      <c r="B56" s="28" t="s">
        <v>302</v>
      </c>
      <c r="C56" s="24">
        <v>2990875</v>
      </c>
      <c r="D56" s="24">
        <v>3</v>
      </c>
      <c r="E56" s="24">
        <v>94</v>
      </c>
      <c r="F56" s="24" t="s">
        <v>39</v>
      </c>
      <c r="G56" s="24" t="s">
        <v>303</v>
      </c>
      <c r="H56" s="24">
        <v>2022</v>
      </c>
      <c r="I56" s="33">
        <v>44593</v>
      </c>
      <c r="J56" s="33" t="s">
        <v>54</v>
      </c>
      <c r="K56" s="24" t="s">
        <v>59</v>
      </c>
      <c r="L56" s="24" t="s">
        <v>105</v>
      </c>
      <c r="M56" s="24" t="s">
        <v>96</v>
      </c>
      <c r="N56" s="24" t="s">
        <v>43</v>
      </c>
      <c r="O56" s="6" t="s">
        <v>106</v>
      </c>
      <c r="P56" s="6" t="s">
        <v>107</v>
      </c>
      <c r="Q56" s="6" t="s">
        <v>304</v>
      </c>
      <c r="R56" s="6" t="s">
        <v>305</v>
      </c>
      <c r="S56" s="6" t="s">
        <v>306</v>
      </c>
      <c r="T56" s="33">
        <v>45491</v>
      </c>
      <c r="U56" s="33">
        <v>45553</v>
      </c>
      <c r="V56" s="24">
        <f t="shared" ca="1" si="6"/>
        <v>-532</v>
      </c>
      <c r="W56" s="39" t="str">
        <f t="shared" ca="1" si="7"/>
        <v>Vencido</v>
      </c>
      <c r="X56" s="6" t="s">
        <v>307</v>
      </c>
      <c r="Y56" s="6" t="s">
        <v>261</v>
      </c>
      <c r="Z56" s="2"/>
    </row>
    <row r="57" spans="1:39" ht="137.25" customHeight="1">
      <c r="A57" s="21" t="s">
        <v>35</v>
      </c>
      <c r="B57" s="50" t="s">
        <v>308</v>
      </c>
      <c r="C57" s="6">
        <v>3658331</v>
      </c>
      <c r="D57" s="6">
        <v>2</v>
      </c>
      <c r="E57" s="6">
        <v>90</v>
      </c>
      <c r="F57" s="6" t="s">
        <v>309</v>
      </c>
      <c r="G57" s="6" t="s">
        <v>310</v>
      </c>
      <c r="H57" s="6">
        <v>2021</v>
      </c>
      <c r="I57" s="30">
        <v>44411</v>
      </c>
      <c r="J57" s="6" t="s">
        <v>132</v>
      </c>
      <c r="K57" s="6" t="s">
        <v>311</v>
      </c>
      <c r="L57" s="6" t="s">
        <v>105</v>
      </c>
      <c r="M57" s="6" t="s">
        <v>96</v>
      </c>
      <c r="N57" s="6" t="s">
        <v>43</v>
      </c>
      <c r="O57" s="6" t="s">
        <v>122</v>
      </c>
      <c r="P57" s="6"/>
      <c r="Q57" s="6" t="s">
        <v>312</v>
      </c>
      <c r="R57" s="6" t="s">
        <v>114</v>
      </c>
      <c r="S57" s="6" t="s">
        <v>313</v>
      </c>
      <c r="T57" s="33">
        <v>45611</v>
      </c>
      <c r="U57" s="33">
        <v>45641</v>
      </c>
      <c r="V57" s="24">
        <f t="shared" ca="1" si="6"/>
        <v>-444</v>
      </c>
      <c r="W57" s="39" t="str">
        <f t="shared" ca="1" si="7"/>
        <v>Vencido</v>
      </c>
      <c r="X57" s="6" t="s">
        <v>314</v>
      </c>
      <c r="Y57" s="6" t="s">
        <v>261</v>
      </c>
      <c r="Z57" s="2"/>
    </row>
    <row r="58" spans="1:39" ht="123.75" customHeight="1">
      <c r="A58" s="21" t="s">
        <v>35</v>
      </c>
      <c r="B58" s="6" t="s">
        <v>315</v>
      </c>
      <c r="C58" s="6">
        <v>12132331</v>
      </c>
      <c r="D58" s="6">
        <v>1</v>
      </c>
      <c r="E58" s="6">
        <v>96</v>
      </c>
      <c r="F58" s="6" t="s">
        <v>175</v>
      </c>
      <c r="G58" s="6" t="s">
        <v>316</v>
      </c>
      <c r="H58" s="6">
        <v>2024</v>
      </c>
      <c r="I58" s="30">
        <v>45401</v>
      </c>
      <c r="J58" s="6" t="s">
        <v>41</v>
      </c>
      <c r="K58" s="6" t="s">
        <v>317</v>
      </c>
      <c r="L58" s="30">
        <v>45499</v>
      </c>
      <c r="M58" s="6" t="s">
        <v>100</v>
      </c>
      <c r="N58" s="6" t="s">
        <v>43</v>
      </c>
      <c r="O58" s="6" t="s">
        <v>122</v>
      </c>
      <c r="P58" s="6" t="s">
        <v>129</v>
      </c>
      <c r="Q58" s="6" t="s">
        <v>318</v>
      </c>
      <c r="R58" s="6" t="s">
        <v>114</v>
      </c>
      <c r="S58" s="6" t="s">
        <v>146</v>
      </c>
      <c r="T58" s="33">
        <v>45656</v>
      </c>
      <c r="U58" s="33">
        <v>45687</v>
      </c>
      <c r="V58" s="24">
        <f t="shared" ca="1" si="6"/>
        <v>-398</v>
      </c>
      <c r="W58" s="39" t="str">
        <f t="shared" ca="1" si="7"/>
        <v>Vencido</v>
      </c>
      <c r="X58" s="6" t="s">
        <v>319</v>
      </c>
      <c r="Y58" s="6" t="s">
        <v>261</v>
      </c>
      <c r="Z58" s="2" t="s">
        <v>320</v>
      </c>
    </row>
    <row r="59" spans="1:39" ht="30">
      <c r="A59" s="2" t="s">
        <v>35</v>
      </c>
      <c r="B59" s="10" t="s">
        <v>321</v>
      </c>
      <c r="C59" s="2">
        <v>12771566</v>
      </c>
      <c r="D59" s="2">
        <v>1</v>
      </c>
      <c r="E59" s="2">
        <v>49</v>
      </c>
      <c r="F59" s="2" t="s">
        <v>71</v>
      </c>
      <c r="G59" s="10" t="s">
        <v>322</v>
      </c>
      <c r="H59" s="2">
        <v>2024</v>
      </c>
      <c r="I59" s="2">
        <v>45565</v>
      </c>
      <c r="J59" s="2" t="s">
        <v>54</v>
      </c>
      <c r="K59" s="2" t="s">
        <v>121</v>
      </c>
      <c r="L59" s="2">
        <v>45618</v>
      </c>
      <c r="M59" s="2" t="s">
        <v>323</v>
      </c>
      <c r="N59" s="2" t="s">
        <v>164</v>
      </c>
      <c r="O59" s="2" t="s">
        <v>122</v>
      </c>
      <c r="P59" s="2"/>
      <c r="Q59" s="2" t="s">
        <v>324</v>
      </c>
      <c r="R59" s="2" t="s">
        <v>114</v>
      </c>
      <c r="S59" t="s">
        <v>325</v>
      </c>
      <c r="T59">
        <v>45672</v>
      </c>
      <c r="U59">
        <v>45703</v>
      </c>
      <c r="V59">
        <v>-76</v>
      </c>
      <c r="W59" t="s">
        <v>326</v>
      </c>
      <c r="X59" t="s">
        <v>327</v>
      </c>
      <c r="Y59" t="s">
        <v>279</v>
      </c>
      <c r="Z59" t="s">
        <v>328</v>
      </c>
    </row>
    <row r="60" spans="1:39" ht="100.5" customHeight="1">
      <c r="A60" s="141">
        <v>84</v>
      </c>
      <c r="B60" s="142" t="s">
        <v>35</v>
      </c>
      <c r="C60" s="143" t="s">
        <v>329</v>
      </c>
      <c r="D60" s="7">
        <v>7496334</v>
      </c>
      <c r="E60" s="7" t="s">
        <v>281</v>
      </c>
      <c r="F60" s="7">
        <v>70</v>
      </c>
      <c r="G60" s="7" t="s">
        <v>71</v>
      </c>
      <c r="H60" s="7" t="s">
        <v>330</v>
      </c>
      <c r="I60" s="7">
        <v>2024</v>
      </c>
      <c r="J60" s="144">
        <v>45467</v>
      </c>
      <c r="K60" s="7" t="s">
        <v>41</v>
      </c>
      <c r="L60" s="7" t="s">
        <v>177</v>
      </c>
      <c r="M60" s="144">
        <v>45548</v>
      </c>
      <c r="N60" s="7" t="s">
        <v>331</v>
      </c>
      <c r="O60" s="7" t="s">
        <v>43</v>
      </c>
      <c r="P60" s="7" t="s">
        <v>122</v>
      </c>
      <c r="Q60" s="7"/>
      <c r="R60" s="7" t="s">
        <v>332</v>
      </c>
      <c r="S60" s="7" t="s">
        <v>114</v>
      </c>
      <c r="T60" s="7" t="s">
        <v>333</v>
      </c>
      <c r="U60" s="144">
        <v>45656</v>
      </c>
      <c r="V60" s="144">
        <v>45687</v>
      </c>
      <c r="W60" s="94">
        <f ca="1">V60-TODAY()</f>
        <v>-398</v>
      </c>
      <c r="X60" s="145" t="str">
        <f ca="1">IF(W60&gt;=25,"Vigente",IF(AND(W60&gt;=1,W60&lt;=25),"Por Vencer","Vencido"))</f>
        <v>Vencido</v>
      </c>
      <c r="Y60" s="146" t="s">
        <v>334</v>
      </c>
      <c r="Z60" s="7" t="s">
        <v>335</v>
      </c>
      <c r="AA60" s="42" t="s">
        <v>336</v>
      </c>
    </row>
    <row r="61" spans="1:39" ht="81.75" customHeight="1">
      <c r="A61" s="141"/>
      <c r="B61" s="154" t="s">
        <v>35</v>
      </c>
      <c r="C61" s="7" t="s">
        <v>337</v>
      </c>
      <c r="D61" s="137">
        <v>4347471</v>
      </c>
      <c r="E61" s="137">
        <v>5</v>
      </c>
      <c r="F61" s="7">
        <v>84</v>
      </c>
      <c r="G61" s="7" t="s">
        <v>71</v>
      </c>
      <c r="H61" s="7" t="s">
        <v>303</v>
      </c>
      <c r="I61" s="7">
        <v>2024</v>
      </c>
      <c r="J61" s="144">
        <v>45376</v>
      </c>
      <c r="K61" s="7" t="s">
        <v>54</v>
      </c>
      <c r="L61" s="7" t="s">
        <v>338</v>
      </c>
      <c r="M61" s="144">
        <v>45576</v>
      </c>
      <c r="N61" s="7" t="s">
        <v>339</v>
      </c>
      <c r="O61" s="7" t="s">
        <v>43</v>
      </c>
      <c r="P61" s="7" t="s">
        <v>122</v>
      </c>
      <c r="Q61" s="7"/>
      <c r="R61" s="340" t="s">
        <v>340</v>
      </c>
      <c r="S61" s="7" t="s">
        <v>114</v>
      </c>
      <c r="T61" s="7" t="s">
        <v>341</v>
      </c>
      <c r="U61" s="104">
        <v>45687</v>
      </c>
      <c r="V61" s="104">
        <v>45716</v>
      </c>
      <c r="W61" s="94">
        <f ca="1">V61-TODAY()</f>
        <v>-369</v>
      </c>
      <c r="X61" s="163" t="str">
        <f ca="1">IF(W61&gt;=25,"Vigente",IF(AND(W61&gt;=1,W61&lt;=25),"Por Vencer","Vencido"))</f>
        <v>Vencido</v>
      </c>
      <c r="Y61" s="144" t="s">
        <v>342</v>
      </c>
      <c r="Z61" s="7" t="s">
        <v>292</v>
      </c>
      <c r="AA61" s="341" t="s">
        <v>343</v>
      </c>
    </row>
    <row r="62" spans="1:39" ht="70.5" customHeight="1">
      <c r="A62" s="141">
        <v>130</v>
      </c>
      <c r="B62" s="154" t="s">
        <v>35</v>
      </c>
      <c r="C62" s="7" t="s">
        <v>344</v>
      </c>
      <c r="D62" s="137">
        <v>3990019</v>
      </c>
      <c r="E62" s="137" t="s">
        <v>281</v>
      </c>
      <c r="F62" s="7">
        <v>87</v>
      </c>
      <c r="G62" s="7" t="s">
        <v>46</v>
      </c>
      <c r="H62" s="7" t="s">
        <v>345</v>
      </c>
      <c r="I62" s="7">
        <v>2024</v>
      </c>
      <c r="J62" s="144">
        <v>45317</v>
      </c>
      <c r="K62" s="7" t="s">
        <v>41</v>
      </c>
      <c r="L62" s="7" t="s">
        <v>311</v>
      </c>
      <c r="M62" s="7" t="s">
        <v>178</v>
      </c>
      <c r="N62" s="7" t="s">
        <v>133</v>
      </c>
      <c r="O62" s="7" t="s">
        <v>43</v>
      </c>
      <c r="P62" s="7" t="s">
        <v>122</v>
      </c>
      <c r="Q62" s="7"/>
      <c r="R62" s="340" t="s">
        <v>346</v>
      </c>
      <c r="S62" s="7" t="s">
        <v>347</v>
      </c>
      <c r="T62" s="7" t="s">
        <v>348</v>
      </c>
      <c r="U62" s="104">
        <v>45517</v>
      </c>
      <c r="V62" s="104">
        <v>45548</v>
      </c>
      <c r="W62" s="94">
        <f ca="1">V62-TODAY()</f>
        <v>-537</v>
      </c>
      <c r="X62" s="163" t="str">
        <f ca="1">IF(W62&gt;=25,"Vigente",IF(AND(W62&gt;=1,W62&lt;=25),"Por Vencer","Vencido"))</f>
        <v>Vencido</v>
      </c>
      <c r="Y62" s="185" t="s">
        <v>349</v>
      </c>
      <c r="Z62" s="7" t="s">
        <v>238</v>
      </c>
      <c r="AA62" s="341" t="s">
        <v>350</v>
      </c>
    </row>
    <row r="63" spans="1:39" ht="104.25" customHeight="1">
      <c r="A63" s="19">
        <v>116</v>
      </c>
      <c r="B63" s="149" t="s">
        <v>35</v>
      </c>
      <c r="C63" s="24" t="s">
        <v>351</v>
      </c>
      <c r="D63" s="168">
        <v>7876283</v>
      </c>
      <c r="E63" s="148">
        <v>7</v>
      </c>
      <c r="F63" s="24">
        <v>70</v>
      </c>
      <c r="G63" s="24" t="s">
        <v>46</v>
      </c>
      <c r="H63" s="24" t="s">
        <v>352</v>
      </c>
      <c r="I63" s="24">
        <v>2020</v>
      </c>
      <c r="J63" s="33">
        <v>43873</v>
      </c>
      <c r="K63" s="24" t="s">
        <v>54</v>
      </c>
      <c r="L63" s="24" t="s">
        <v>42</v>
      </c>
      <c r="M63" s="24" t="s">
        <v>105</v>
      </c>
      <c r="N63" s="24" t="s">
        <v>96</v>
      </c>
      <c r="O63" s="24" t="s">
        <v>43</v>
      </c>
      <c r="P63" s="6" t="s">
        <v>353</v>
      </c>
      <c r="Q63" s="6"/>
      <c r="R63" s="338" t="s">
        <v>354</v>
      </c>
      <c r="S63" s="6" t="s">
        <v>355</v>
      </c>
      <c r="T63" s="6" t="s">
        <v>146</v>
      </c>
      <c r="U63" s="33">
        <v>45540</v>
      </c>
      <c r="V63" s="33">
        <v>45570</v>
      </c>
      <c r="W63" s="24">
        <f ca="1">V63-TODAY()</f>
        <v>-515</v>
      </c>
      <c r="X63" s="127" t="str">
        <f ca="1">IF(W63&gt;=25,"Vigente",IF(AND(W63&gt;=1,W63&lt;=25),"Por Vencer","Vencido"))</f>
        <v>Vencido</v>
      </c>
      <c r="Y63" s="6" t="s">
        <v>356</v>
      </c>
      <c r="Z63" s="6" t="s">
        <v>220</v>
      </c>
      <c r="AA63" s="342" t="s">
        <v>357</v>
      </c>
    </row>
    <row r="64" spans="1:39" ht="54.75" customHeight="1">
      <c r="A64" s="141">
        <v>111</v>
      </c>
      <c r="B64" s="154" t="s">
        <v>35</v>
      </c>
      <c r="C64" s="7" t="s">
        <v>358</v>
      </c>
      <c r="D64" s="137">
        <v>5598420</v>
      </c>
      <c r="E64" s="137">
        <v>4</v>
      </c>
      <c r="F64" s="7">
        <v>77</v>
      </c>
      <c r="G64" s="7" t="s">
        <v>71</v>
      </c>
      <c r="H64" s="7" t="s">
        <v>359</v>
      </c>
      <c r="I64" s="7" t="s">
        <v>43</v>
      </c>
      <c r="J64" s="7" t="s">
        <v>122</v>
      </c>
      <c r="K64" s="340" t="s">
        <v>360</v>
      </c>
      <c r="L64" s="7" t="s">
        <v>361</v>
      </c>
      <c r="M64" s="7" t="s">
        <v>362</v>
      </c>
      <c r="N64" s="104">
        <v>45540</v>
      </c>
      <c r="O64" s="104">
        <v>45601</v>
      </c>
      <c r="P64" s="94">
        <v>-233</v>
      </c>
      <c r="Q64" s="163" t="s">
        <v>326</v>
      </c>
      <c r="R64" s="187" t="s">
        <v>363</v>
      </c>
      <c r="S64" s="340" t="s">
        <v>364</v>
      </c>
      <c r="T64" s="2" t="s">
        <v>365</v>
      </c>
    </row>
    <row r="65" spans="1:40" ht="115.5" customHeight="1">
      <c r="A65" s="19">
        <v>98</v>
      </c>
      <c r="B65" s="149" t="s">
        <v>35</v>
      </c>
      <c r="C65" s="24" t="s">
        <v>366</v>
      </c>
      <c r="D65" s="148">
        <v>7184936</v>
      </c>
      <c r="E65" s="148">
        <v>8</v>
      </c>
      <c r="F65" s="24">
        <v>67</v>
      </c>
      <c r="G65" s="24" t="s">
        <v>46</v>
      </c>
      <c r="H65" s="24" t="s">
        <v>120</v>
      </c>
      <c r="I65" s="24">
        <v>2023</v>
      </c>
      <c r="J65" s="33">
        <v>45146</v>
      </c>
      <c r="K65" s="24" t="s">
        <v>41</v>
      </c>
      <c r="L65" s="24" t="s">
        <v>42</v>
      </c>
      <c r="M65" s="24" t="s">
        <v>105</v>
      </c>
      <c r="N65" s="24" t="s">
        <v>96</v>
      </c>
      <c r="O65" s="24" t="s">
        <v>43</v>
      </c>
      <c r="P65" s="6" t="s">
        <v>122</v>
      </c>
      <c r="Q65" s="6"/>
      <c r="R65" s="343" t="s">
        <v>367</v>
      </c>
      <c r="S65" s="6" t="s">
        <v>368</v>
      </c>
      <c r="T65" s="6" t="s">
        <v>306</v>
      </c>
      <c r="U65" s="33">
        <v>45464</v>
      </c>
      <c r="V65" s="33">
        <v>45829</v>
      </c>
      <c r="W65" s="24">
        <f ca="1">V65-TODAY()</f>
        <v>-256</v>
      </c>
      <c r="X65" s="150" t="str">
        <f ca="1">IF(W65&gt;=25,"Vigente",IF(AND(W65&gt;=1,W65&lt;=25),"Por Vencer","Vencido"))</f>
        <v>Vencido</v>
      </c>
      <c r="Y65" s="32" t="s">
        <v>369</v>
      </c>
      <c r="Z65" s="6" t="s">
        <v>261</v>
      </c>
      <c r="AA65" s="2"/>
    </row>
    <row r="66" spans="1:40" ht="86.25" customHeight="1">
      <c r="A66" s="19">
        <v>50</v>
      </c>
      <c r="B66" s="149" t="s">
        <v>35</v>
      </c>
      <c r="C66" s="25" t="s">
        <v>370</v>
      </c>
      <c r="D66" s="140">
        <v>3607070</v>
      </c>
      <c r="E66" s="140">
        <v>6</v>
      </c>
      <c r="F66" s="6">
        <v>89</v>
      </c>
      <c r="G66" s="6" t="s">
        <v>71</v>
      </c>
      <c r="H66" s="6" t="s">
        <v>371</v>
      </c>
      <c r="I66" s="6">
        <v>2024</v>
      </c>
      <c r="J66" s="6" t="s">
        <v>216</v>
      </c>
      <c r="K66" s="6" t="s">
        <v>54</v>
      </c>
      <c r="L66" s="6" t="s">
        <v>59</v>
      </c>
      <c r="M66" s="6" t="s">
        <v>105</v>
      </c>
      <c r="N66" s="6" t="s">
        <v>96</v>
      </c>
      <c r="O66" s="6" t="s">
        <v>164</v>
      </c>
      <c r="P66" s="6" t="s">
        <v>122</v>
      </c>
      <c r="Q66" s="6"/>
      <c r="R66" s="338" t="s">
        <v>372</v>
      </c>
      <c r="S66" s="6" t="s">
        <v>114</v>
      </c>
      <c r="T66" s="6" t="s">
        <v>285</v>
      </c>
      <c r="U66" s="30">
        <v>45695</v>
      </c>
      <c r="V66" s="30">
        <v>45729</v>
      </c>
      <c r="W66" s="6">
        <f ca="1">V66-TODAY()</f>
        <v>-356</v>
      </c>
      <c r="X66" s="127" t="str">
        <f ca="1">IF(W66&gt;=25,"Vigente",IF(AND(W66&gt;=1,W66&lt;=25),"Por Vencer","Vencido"))</f>
        <v>Vencido</v>
      </c>
      <c r="Y66" s="6" t="s">
        <v>373</v>
      </c>
      <c r="Z66" s="24" t="s">
        <v>374</v>
      </c>
      <c r="AA66" s="191" t="s">
        <v>375</v>
      </c>
    </row>
    <row r="67" spans="1:40" ht="104.25" customHeight="1">
      <c r="A67" s="19">
        <v>81</v>
      </c>
      <c r="B67" s="23" t="s">
        <v>35</v>
      </c>
      <c r="C67" s="5" t="s">
        <v>376</v>
      </c>
      <c r="D67" s="135">
        <v>10990762</v>
      </c>
      <c r="E67" s="135">
        <v>6</v>
      </c>
      <c r="F67" s="6">
        <v>56</v>
      </c>
      <c r="G67" s="6" t="s">
        <v>46</v>
      </c>
      <c r="H67" s="22" t="s">
        <v>377</v>
      </c>
      <c r="I67" s="6">
        <v>2023</v>
      </c>
      <c r="J67" s="30">
        <v>44988</v>
      </c>
      <c r="K67" s="6" t="s">
        <v>132</v>
      </c>
      <c r="L67" s="6" t="s">
        <v>121</v>
      </c>
      <c r="M67" s="6" t="s">
        <v>105</v>
      </c>
      <c r="N67" s="6" t="s">
        <v>96</v>
      </c>
      <c r="O67" s="6" t="s">
        <v>43</v>
      </c>
      <c r="P67" s="6" t="s">
        <v>122</v>
      </c>
      <c r="Q67" s="6"/>
      <c r="R67" s="338" t="s">
        <v>378</v>
      </c>
      <c r="S67" s="6" t="s">
        <v>114</v>
      </c>
      <c r="T67" s="6" t="s">
        <v>379</v>
      </c>
      <c r="U67" s="33">
        <v>45763</v>
      </c>
      <c r="V67" s="33">
        <v>45854</v>
      </c>
      <c r="W67" s="24">
        <f ca="1">V67-TODAY()</f>
        <v>-231</v>
      </c>
      <c r="X67" s="127" t="str">
        <f ca="1">IF(W67&gt;=25,"Vigente",IF(AND(W67&gt;=1,W67&lt;=25),"Por Vencer","Vencido"))</f>
        <v>Vencido</v>
      </c>
      <c r="Y67" s="344" t="s">
        <v>380</v>
      </c>
      <c r="Z67" s="338" t="s">
        <v>138</v>
      </c>
      <c r="AA67" s="2"/>
      <c r="AB67" s="43" t="s">
        <v>381</v>
      </c>
    </row>
    <row r="68" spans="1:40" ht="102" customHeight="1">
      <c r="A68" s="19">
        <v>69</v>
      </c>
      <c r="B68" s="149" t="s">
        <v>35</v>
      </c>
      <c r="C68" s="6" t="s">
        <v>382</v>
      </c>
      <c r="D68" s="140">
        <v>5447389</v>
      </c>
      <c r="E68" s="140">
        <v>3</v>
      </c>
      <c r="F68" s="6">
        <v>82</v>
      </c>
      <c r="G68" s="6" t="s">
        <v>71</v>
      </c>
      <c r="H68" s="6" t="s">
        <v>383</v>
      </c>
      <c r="I68" s="6">
        <v>2019</v>
      </c>
      <c r="J68" s="32">
        <v>43770</v>
      </c>
      <c r="K68" s="6" t="s">
        <v>54</v>
      </c>
      <c r="L68" s="6" t="s">
        <v>42</v>
      </c>
      <c r="M68" s="6" t="s">
        <v>105</v>
      </c>
      <c r="N68" s="6" t="s">
        <v>96</v>
      </c>
      <c r="O68" s="6" t="s">
        <v>43</v>
      </c>
      <c r="P68" s="6" t="s">
        <v>122</v>
      </c>
      <c r="Q68" s="6"/>
      <c r="R68" s="338" t="s">
        <v>384</v>
      </c>
      <c r="S68" s="6" t="s">
        <v>114</v>
      </c>
      <c r="T68" s="6" t="s">
        <v>385</v>
      </c>
      <c r="U68" s="30">
        <v>45859</v>
      </c>
      <c r="V68" s="30">
        <v>46012</v>
      </c>
      <c r="W68" s="24">
        <f ca="1">V68-TODAY()</f>
        <v>-73</v>
      </c>
      <c r="X68" s="127" t="str">
        <f ca="1">IF(W68&gt;=25,"Vigente",IF(AND(W68&gt;=1,W68&lt;=25),"Por Vencer","Vencido"))</f>
        <v>Vencido</v>
      </c>
      <c r="Y68" s="6" t="s">
        <v>386</v>
      </c>
      <c r="Z68" s="6" t="s">
        <v>173</v>
      </c>
      <c r="AA68" s="2"/>
    </row>
    <row r="69" spans="1:40" s="6" customFormat="1" ht="96.75" customHeight="1">
      <c r="A69" s="17"/>
      <c r="B69" s="182"/>
      <c r="C69" s="336" t="s">
        <v>387</v>
      </c>
      <c r="D69" s="345">
        <v>10690156</v>
      </c>
      <c r="E69" s="137">
        <v>2</v>
      </c>
      <c r="F69" s="2"/>
      <c r="G69" s="2"/>
      <c r="H69" s="10"/>
      <c r="I69" s="2"/>
      <c r="J69" s="2"/>
      <c r="K69" s="2"/>
      <c r="L69" s="2"/>
      <c r="M69" s="2"/>
      <c r="N69" s="2"/>
      <c r="O69" s="2"/>
      <c r="P69" s="2"/>
      <c r="Q69" s="2"/>
      <c r="R69" s="10" t="s">
        <v>388</v>
      </c>
      <c r="S69" s="2"/>
      <c r="T69" s="2"/>
      <c r="U69" s="2"/>
      <c r="V69" s="2"/>
      <c r="W69" s="2"/>
      <c r="X69" s="2"/>
      <c r="Y69" s="2"/>
      <c r="Z69" s="2"/>
      <c r="AA69" s="2"/>
      <c r="AB69" s="46"/>
      <c r="AC69" s="2"/>
      <c r="AD69" s="2"/>
      <c r="AE69" s="2"/>
      <c r="AF69" s="2"/>
      <c r="AG69" s="2"/>
      <c r="AH69" s="2"/>
      <c r="AI69" s="2"/>
      <c r="AJ69" s="2"/>
      <c r="AK69" s="2"/>
      <c r="AL69" s="2"/>
      <c r="AM69" s="2"/>
      <c r="AN69" s="2"/>
    </row>
    <row r="70" spans="1:40" ht="135.75" customHeight="1">
      <c r="A70" s="19">
        <v>3</v>
      </c>
      <c r="B70" s="21" t="s">
        <v>35</v>
      </c>
      <c r="C70" s="6" t="s">
        <v>389</v>
      </c>
      <c r="D70" s="135">
        <v>11940026</v>
      </c>
      <c r="E70" s="135">
        <v>0</v>
      </c>
      <c r="F70" s="6">
        <v>51</v>
      </c>
      <c r="G70" s="6" t="s">
        <v>245</v>
      </c>
      <c r="H70" s="6" t="s">
        <v>390</v>
      </c>
      <c r="I70" s="6">
        <v>2024</v>
      </c>
      <c r="J70" s="30">
        <v>45307</v>
      </c>
      <c r="K70" s="6" t="s">
        <v>54</v>
      </c>
      <c r="L70" s="6" t="s">
        <v>391</v>
      </c>
      <c r="M70" s="6" t="s">
        <v>105</v>
      </c>
      <c r="N70" s="6" t="s">
        <v>96</v>
      </c>
      <c r="O70" s="6" t="s">
        <v>43</v>
      </c>
      <c r="P70" s="6" t="s">
        <v>122</v>
      </c>
      <c r="Q70" s="6"/>
      <c r="R70" s="346" t="s">
        <v>392</v>
      </c>
      <c r="S70" s="6" t="s">
        <v>109</v>
      </c>
      <c r="T70" s="6" t="s">
        <v>266</v>
      </c>
      <c r="U70" s="33">
        <v>45821</v>
      </c>
      <c r="V70" s="33">
        <v>45851</v>
      </c>
      <c r="W70" s="24">
        <f t="shared" ref="W70:W77" ca="1" si="8">V70-TODAY()</f>
        <v>-234</v>
      </c>
      <c r="X70" s="150" t="str">
        <f t="shared" ref="X70:X77" ca="1" si="9">IF(W70&gt;=25,"Vigente",IF(AND(W70&gt;=1,W70&lt;=25),"Por Vencer","Vencido"))</f>
        <v>Vencido</v>
      </c>
      <c r="Y70" s="344" t="s">
        <v>393</v>
      </c>
      <c r="Z70" s="338" t="s">
        <v>364</v>
      </c>
      <c r="AA70" s="336" t="s">
        <v>118</v>
      </c>
    </row>
    <row r="71" spans="1:40" s="1" customFormat="1" ht="120" customHeight="1">
      <c r="A71" s="19">
        <v>4</v>
      </c>
      <c r="B71" s="23" t="s">
        <v>35</v>
      </c>
      <c r="C71" s="6" t="s">
        <v>394</v>
      </c>
      <c r="D71" s="135">
        <v>12771706</v>
      </c>
      <c r="E71" s="135">
        <v>0</v>
      </c>
      <c r="F71" s="6">
        <v>50</v>
      </c>
      <c r="G71" s="6" t="s">
        <v>71</v>
      </c>
      <c r="H71" s="6" t="s">
        <v>395</v>
      </c>
      <c r="I71" s="6">
        <v>2023</v>
      </c>
      <c r="J71" s="32">
        <v>45200</v>
      </c>
      <c r="K71" s="6" t="s">
        <v>41</v>
      </c>
      <c r="L71" s="6" t="s">
        <v>121</v>
      </c>
      <c r="M71" s="6" t="s">
        <v>105</v>
      </c>
      <c r="N71" s="6" t="s">
        <v>208</v>
      </c>
      <c r="O71" s="6" t="s">
        <v>43</v>
      </c>
      <c r="P71" s="6" t="s">
        <v>122</v>
      </c>
      <c r="Q71" s="6"/>
      <c r="R71" s="338" t="s">
        <v>396</v>
      </c>
      <c r="S71" s="6" t="s">
        <v>114</v>
      </c>
      <c r="T71" s="6" t="s">
        <v>397</v>
      </c>
      <c r="U71" s="30">
        <v>45811</v>
      </c>
      <c r="V71" s="30">
        <v>45841</v>
      </c>
      <c r="W71" s="24">
        <f t="shared" ca="1" si="8"/>
        <v>-244</v>
      </c>
      <c r="X71" s="151" t="str">
        <f t="shared" ca="1" si="9"/>
        <v>Vencido</v>
      </c>
      <c r="Y71" s="338" t="s">
        <v>398</v>
      </c>
      <c r="Z71" s="338" t="s">
        <v>364</v>
      </c>
      <c r="AA71" s="336" t="s">
        <v>118</v>
      </c>
      <c r="AB71"/>
      <c r="AC71"/>
      <c r="AD71"/>
      <c r="AE71"/>
      <c r="AF71"/>
      <c r="AG71"/>
      <c r="AH71"/>
      <c r="AI71"/>
      <c r="AJ71"/>
      <c r="AK71"/>
      <c r="AL71"/>
      <c r="AM71"/>
      <c r="AN71"/>
    </row>
    <row r="72" spans="1:40" s="12" customFormat="1" ht="117.75" customHeight="1">
      <c r="A72" s="19">
        <v>27</v>
      </c>
      <c r="B72" s="149" t="s">
        <v>35</v>
      </c>
      <c r="C72" s="8" t="s">
        <v>399</v>
      </c>
      <c r="D72" s="166">
        <v>4112500</v>
      </c>
      <c r="E72" s="166">
        <v>4</v>
      </c>
      <c r="F72" s="8">
        <v>86</v>
      </c>
      <c r="G72" s="8" t="s">
        <v>46</v>
      </c>
      <c r="H72" s="347" t="s">
        <v>400</v>
      </c>
      <c r="I72" s="8">
        <v>2020</v>
      </c>
      <c r="J72" s="31">
        <v>44144</v>
      </c>
      <c r="K72" s="8" t="s">
        <v>41</v>
      </c>
      <c r="L72" s="8" t="s">
        <v>42</v>
      </c>
      <c r="M72" s="31">
        <v>44614</v>
      </c>
      <c r="N72" s="8" t="s">
        <v>401</v>
      </c>
      <c r="O72" s="8" t="s">
        <v>43</v>
      </c>
      <c r="P72" s="6" t="s">
        <v>122</v>
      </c>
      <c r="Q72" s="6"/>
      <c r="R72" s="347" t="s">
        <v>402</v>
      </c>
      <c r="S72" s="6" t="s">
        <v>186</v>
      </c>
      <c r="T72" s="338" t="s">
        <v>403</v>
      </c>
      <c r="U72" s="33">
        <v>45811</v>
      </c>
      <c r="V72" s="33">
        <v>45814</v>
      </c>
      <c r="W72" s="24">
        <f t="shared" ca="1" si="8"/>
        <v>-271</v>
      </c>
      <c r="X72" s="127" t="str">
        <f t="shared" ca="1" si="9"/>
        <v>Vencido</v>
      </c>
      <c r="Y72" s="348" t="s">
        <v>404</v>
      </c>
      <c r="Z72" s="338" t="s">
        <v>364</v>
      </c>
      <c r="AA72" s="349" t="s">
        <v>405</v>
      </c>
      <c r="AB72" s="60"/>
      <c r="AC72"/>
      <c r="AD72"/>
      <c r="AE72"/>
      <c r="AF72"/>
      <c r="AG72"/>
      <c r="AH72"/>
      <c r="AI72"/>
      <c r="AJ72"/>
      <c r="AK72"/>
      <c r="AL72"/>
      <c r="AM72"/>
      <c r="AN72"/>
    </row>
    <row r="73" spans="1:40" ht="135" customHeight="1">
      <c r="A73" s="19">
        <v>74</v>
      </c>
      <c r="B73" s="149" t="s">
        <v>35</v>
      </c>
      <c r="C73" s="6" t="s">
        <v>406</v>
      </c>
      <c r="D73" s="140">
        <v>7091424</v>
      </c>
      <c r="E73" s="140">
        <v>7</v>
      </c>
      <c r="F73" s="6">
        <v>71</v>
      </c>
      <c r="G73" s="6" t="s">
        <v>71</v>
      </c>
      <c r="H73" s="6" t="s">
        <v>407</v>
      </c>
      <c r="I73" s="6">
        <v>2024</v>
      </c>
      <c r="J73" s="30">
        <v>45370</v>
      </c>
      <c r="K73" s="6" t="s">
        <v>41</v>
      </c>
      <c r="L73" s="6" t="s">
        <v>59</v>
      </c>
      <c r="M73" s="6" t="s">
        <v>105</v>
      </c>
      <c r="N73" s="6" t="s">
        <v>133</v>
      </c>
      <c r="O73" s="6" t="s">
        <v>43</v>
      </c>
      <c r="P73" s="6" t="s">
        <v>122</v>
      </c>
      <c r="Q73" s="6"/>
      <c r="R73" s="338" t="s">
        <v>408</v>
      </c>
      <c r="S73" s="6" t="s">
        <v>114</v>
      </c>
      <c r="T73" s="6" t="s">
        <v>180</v>
      </c>
      <c r="U73" s="30">
        <v>45607</v>
      </c>
      <c r="V73" s="30">
        <v>45668</v>
      </c>
      <c r="W73" s="6">
        <f t="shared" ca="1" si="8"/>
        <v>-417</v>
      </c>
      <c r="X73" s="127" t="str">
        <f t="shared" ca="1" si="9"/>
        <v>Vencido</v>
      </c>
      <c r="Y73" s="338" t="s">
        <v>409</v>
      </c>
      <c r="Z73" s="6" t="s">
        <v>292</v>
      </c>
      <c r="AA73" s="2"/>
    </row>
    <row r="74" spans="1:40" s="6" customFormat="1" ht="87.75" customHeight="1">
      <c r="A74" s="17"/>
      <c r="B74" s="149" t="s">
        <v>35</v>
      </c>
      <c r="C74" s="341" t="s">
        <v>410</v>
      </c>
      <c r="D74" s="137">
        <v>9547509</v>
      </c>
      <c r="E74" s="137">
        <v>4</v>
      </c>
      <c r="F74" s="2">
        <v>63</v>
      </c>
      <c r="G74" s="6" t="s">
        <v>71</v>
      </c>
      <c r="H74" s="336" t="s">
        <v>411</v>
      </c>
      <c r="I74" s="2"/>
      <c r="J74" s="2"/>
      <c r="K74" s="2"/>
      <c r="L74" s="2"/>
      <c r="M74" s="2"/>
      <c r="N74" s="2"/>
      <c r="O74" s="6" t="s">
        <v>43</v>
      </c>
      <c r="P74" s="6" t="s">
        <v>122</v>
      </c>
      <c r="Q74" s="2"/>
      <c r="R74" s="336" t="s">
        <v>412</v>
      </c>
      <c r="S74" s="338" t="s">
        <v>114</v>
      </c>
      <c r="T74" s="341" t="s">
        <v>413</v>
      </c>
      <c r="U74" s="107">
        <v>45812</v>
      </c>
      <c r="V74" s="107">
        <v>45842</v>
      </c>
      <c r="W74" s="6">
        <f t="shared" ca="1" si="8"/>
        <v>-243</v>
      </c>
      <c r="X74" s="127" t="str">
        <f t="shared" ca="1" si="9"/>
        <v>Vencido</v>
      </c>
      <c r="Y74" s="336" t="s">
        <v>414</v>
      </c>
      <c r="Z74" s="338" t="s">
        <v>364</v>
      </c>
      <c r="AA74" s="341" t="s">
        <v>320</v>
      </c>
      <c r="AB74" s="46"/>
      <c r="AC74" s="2"/>
      <c r="AD74" s="2"/>
      <c r="AE74" s="2"/>
      <c r="AF74" s="2"/>
      <c r="AG74" s="2"/>
      <c r="AH74" s="2"/>
      <c r="AI74" s="2"/>
      <c r="AJ74" s="2"/>
      <c r="AK74" s="2"/>
      <c r="AL74" s="2"/>
      <c r="AM74" s="2"/>
      <c r="AN74" s="2"/>
    </row>
    <row r="75" spans="1:40" ht="99.75" customHeight="1">
      <c r="A75" s="19">
        <v>67</v>
      </c>
      <c r="B75" s="149" t="s">
        <v>35</v>
      </c>
      <c r="C75" s="5" t="s">
        <v>415</v>
      </c>
      <c r="D75" s="140">
        <v>12770459</v>
      </c>
      <c r="E75" s="140">
        <v>7</v>
      </c>
      <c r="F75" s="6">
        <v>49</v>
      </c>
      <c r="G75" s="6" t="s">
        <v>71</v>
      </c>
      <c r="H75" s="6" t="s">
        <v>416</v>
      </c>
      <c r="I75" s="6">
        <v>2023</v>
      </c>
      <c r="J75" s="30">
        <v>44978</v>
      </c>
      <c r="K75" s="6" t="s">
        <v>132</v>
      </c>
      <c r="L75" s="6" t="s">
        <v>121</v>
      </c>
      <c r="M75" s="6" t="s">
        <v>178</v>
      </c>
      <c r="N75" s="6" t="s">
        <v>133</v>
      </c>
      <c r="O75" s="6" t="s">
        <v>43</v>
      </c>
      <c r="P75" s="6" t="s">
        <v>122</v>
      </c>
      <c r="Q75" s="6"/>
      <c r="R75" s="338" t="s">
        <v>417</v>
      </c>
      <c r="S75" s="6" t="s">
        <v>418</v>
      </c>
      <c r="T75" s="6" t="s">
        <v>419</v>
      </c>
      <c r="U75" s="33">
        <v>45680</v>
      </c>
      <c r="V75" s="33">
        <v>45739</v>
      </c>
      <c r="W75" s="24">
        <f t="shared" ca="1" si="8"/>
        <v>-346</v>
      </c>
      <c r="X75" s="127" t="str">
        <f t="shared" ca="1" si="9"/>
        <v>Vencido</v>
      </c>
      <c r="Y75" s="338" t="s">
        <v>420</v>
      </c>
      <c r="Z75" s="6" t="s">
        <v>421</v>
      </c>
      <c r="AA75" s="2"/>
    </row>
    <row r="76" spans="1:40" ht="52.5" customHeight="1">
      <c r="A76" s="19">
        <v>51</v>
      </c>
      <c r="B76" s="149" t="s">
        <v>35</v>
      </c>
      <c r="C76" s="24" t="s">
        <v>422</v>
      </c>
      <c r="D76" s="148">
        <v>4273462</v>
      </c>
      <c r="E76" s="148">
        <v>4</v>
      </c>
      <c r="F76" s="24">
        <v>90</v>
      </c>
      <c r="G76" s="24" t="s">
        <v>141</v>
      </c>
      <c r="H76" s="24" t="s">
        <v>423</v>
      </c>
      <c r="I76" s="24">
        <v>2022</v>
      </c>
      <c r="J76" s="33">
        <v>44771</v>
      </c>
      <c r="K76" s="33" t="s">
        <v>54</v>
      </c>
      <c r="L76" s="24" t="s">
        <v>42</v>
      </c>
      <c r="M76" s="24" t="s">
        <v>424</v>
      </c>
      <c r="N76" s="24" t="s">
        <v>425</v>
      </c>
      <c r="O76" s="24" t="s">
        <v>43</v>
      </c>
      <c r="P76" s="6" t="s">
        <v>122</v>
      </c>
      <c r="Q76" s="6"/>
      <c r="R76" s="343" t="s">
        <v>426</v>
      </c>
      <c r="S76" s="6" t="s">
        <v>427</v>
      </c>
      <c r="T76" s="6" t="s">
        <v>306</v>
      </c>
      <c r="U76" s="33">
        <v>45405</v>
      </c>
      <c r="V76" s="33">
        <v>45770</v>
      </c>
      <c r="W76" s="24">
        <f t="shared" ca="1" si="8"/>
        <v>-315</v>
      </c>
      <c r="X76" s="127" t="str">
        <f t="shared" ca="1" si="9"/>
        <v>Vencido</v>
      </c>
      <c r="Y76" s="32" t="s">
        <v>428</v>
      </c>
      <c r="Z76" s="6" t="s">
        <v>255</v>
      </c>
      <c r="AA76" s="341" t="s">
        <v>320</v>
      </c>
    </row>
    <row r="77" spans="1:40" ht="46.5" customHeight="1">
      <c r="A77" s="19">
        <v>47</v>
      </c>
      <c r="B77" s="149" t="s">
        <v>35</v>
      </c>
      <c r="C77" s="24" t="s">
        <v>429</v>
      </c>
      <c r="D77" s="148">
        <v>4735713</v>
      </c>
      <c r="E77" s="148">
        <v>6</v>
      </c>
      <c r="F77" s="24">
        <v>80</v>
      </c>
      <c r="G77" s="24" t="s">
        <v>39</v>
      </c>
      <c r="H77" s="24" t="s">
        <v>430</v>
      </c>
      <c r="I77" s="24">
        <v>2021</v>
      </c>
      <c r="J77" s="33">
        <v>44341</v>
      </c>
      <c r="K77" s="24" t="s">
        <v>54</v>
      </c>
      <c r="L77" s="24" t="s">
        <v>42</v>
      </c>
      <c r="M77" s="24" t="s">
        <v>105</v>
      </c>
      <c r="N77" s="24" t="s">
        <v>96</v>
      </c>
      <c r="O77" s="24" t="s">
        <v>43</v>
      </c>
      <c r="P77" s="6" t="s">
        <v>122</v>
      </c>
      <c r="Q77" s="6"/>
      <c r="R77" s="24" t="s">
        <v>431</v>
      </c>
      <c r="S77" s="6" t="s">
        <v>368</v>
      </c>
      <c r="T77" s="6" t="s">
        <v>306</v>
      </c>
      <c r="U77" s="33">
        <v>45464</v>
      </c>
      <c r="V77" s="33">
        <v>45829</v>
      </c>
      <c r="W77" s="24">
        <f t="shared" ca="1" si="8"/>
        <v>-256</v>
      </c>
      <c r="X77" s="150" t="str">
        <f t="shared" ca="1" si="9"/>
        <v>Vencido</v>
      </c>
      <c r="Y77" s="32" t="s">
        <v>432</v>
      </c>
      <c r="Z77" s="6" t="s">
        <v>261</v>
      </c>
      <c r="AA77" s="341" t="s">
        <v>320</v>
      </c>
    </row>
    <row r="78" spans="1:40" ht="147" customHeight="1">
      <c r="A78" s="149" t="s">
        <v>35</v>
      </c>
      <c r="B78" s="5" t="s">
        <v>433</v>
      </c>
      <c r="C78" s="140">
        <v>6181146</v>
      </c>
      <c r="D78" s="140" t="s">
        <v>50</v>
      </c>
      <c r="E78" s="6">
        <v>75</v>
      </c>
      <c r="F78" s="6" t="s">
        <v>175</v>
      </c>
      <c r="G78" s="6" t="s">
        <v>434</v>
      </c>
      <c r="H78" s="6" t="s">
        <v>43</v>
      </c>
      <c r="I78" s="6" t="s">
        <v>122</v>
      </c>
      <c r="J78" s="338" t="s">
        <v>435</v>
      </c>
      <c r="K78" s="6" t="s">
        <v>114</v>
      </c>
      <c r="L78" s="6" t="s">
        <v>180</v>
      </c>
      <c r="M78" s="30">
        <v>45833</v>
      </c>
      <c r="N78" s="30">
        <v>45863</v>
      </c>
      <c r="O78" s="6">
        <v>-90</v>
      </c>
      <c r="P78" s="126" t="s">
        <v>326</v>
      </c>
      <c r="Q78" s="338" t="s">
        <v>436</v>
      </c>
      <c r="R78" s="338" t="s">
        <v>437</v>
      </c>
      <c r="S78" s="42"/>
    </row>
    <row r="79" spans="1:40">
      <c r="A79" s="2"/>
      <c r="B79" s="2"/>
      <c r="C79" s="2"/>
      <c r="D79" s="2"/>
      <c r="E79" s="2"/>
      <c r="F79" s="2"/>
      <c r="G79" s="2"/>
      <c r="H79" s="2"/>
      <c r="I79" s="2"/>
      <c r="J79" s="2"/>
      <c r="K79" s="2"/>
      <c r="L79" s="2"/>
      <c r="M79" s="2"/>
      <c r="N79" s="2"/>
      <c r="O79" s="2"/>
      <c r="P79" s="2"/>
      <c r="Q79" s="2"/>
      <c r="R79" s="2"/>
    </row>
    <row r="80" spans="1:40">
      <c r="A80" s="2"/>
      <c r="B80" s="2"/>
      <c r="C80" s="2"/>
      <c r="D80" s="2"/>
      <c r="E80" s="2"/>
      <c r="F80" s="2"/>
      <c r="G80" s="2"/>
      <c r="H80" s="2"/>
      <c r="I80" s="2"/>
      <c r="J80" s="2"/>
      <c r="K80" s="2"/>
      <c r="L80" s="2"/>
      <c r="M80" s="2"/>
      <c r="N80" s="2"/>
      <c r="O80" s="2"/>
      <c r="P80" s="2"/>
      <c r="Q80" s="2"/>
      <c r="R80" s="2"/>
    </row>
    <row r="81" spans="1:40">
      <c r="A81" s="2"/>
      <c r="B81" s="2"/>
      <c r="C81" s="2"/>
      <c r="D81" s="2"/>
      <c r="E81" s="2"/>
      <c r="F81" s="2"/>
      <c r="G81" s="2"/>
      <c r="H81" s="2"/>
      <c r="I81" s="2"/>
      <c r="J81" s="2"/>
      <c r="K81" s="2"/>
      <c r="L81" s="2"/>
      <c r="M81" s="2"/>
      <c r="N81" s="2"/>
      <c r="O81" s="2"/>
      <c r="P81" s="2"/>
      <c r="Q81" s="2"/>
      <c r="R81" s="2"/>
    </row>
    <row r="82" spans="1:40" s="12" customFormat="1" ht="107.25" customHeight="1">
      <c r="A82" s="19">
        <v>18</v>
      </c>
      <c r="B82" s="149" t="s">
        <v>35</v>
      </c>
      <c r="C82" s="5" t="s">
        <v>438</v>
      </c>
      <c r="D82" s="140">
        <v>41706909</v>
      </c>
      <c r="E82" s="140">
        <v>7</v>
      </c>
      <c r="F82" s="6">
        <v>38</v>
      </c>
      <c r="G82" s="6" t="s">
        <v>309</v>
      </c>
      <c r="H82" s="6" t="s">
        <v>439</v>
      </c>
      <c r="I82" s="6">
        <v>2024</v>
      </c>
      <c r="J82" s="6" t="s">
        <v>216</v>
      </c>
      <c r="K82" s="6" t="s">
        <v>132</v>
      </c>
      <c r="L82" s="6" t="s">
        <v>440</v>
      </c>
      <c r="M82" s="6" t="s">
        <v>105</v>
      </c>
      <c r="N82" s="6" t="s">
        <v>96</v>
      </c>
      <c r="O82" s="6" t="s">
        <v>43</v>
      </c>
      <c r="P82" s="6" t="s">
        <v>122</v>
      </c>
      <c r="Q82" s="6"/>
      <c r="R82" s="338" t="s">
        <v>441</v>
      </c>
      <c r="S82" s="6" t="s">
        <v>114</v>
      </c>
      <c r="T82" s="6" t="s">
        <v>266</v>
      </c>
      <c r="U82" s="30">
        <v>45877</v>
      </c>
      <c r="V82" s="30">
        <v>45908</v>
      </c>
      <c r="W82" s="24">
        <f t="shared" ref="W82:W87" ca="1" si="10">V82-TODAY()</f>
        <v>-177</v>
      </c>
      <c r="X82" s="127" t="str">
        <f t="shared" ref="X82:X87" ca="1" si="11">IF(W82&gt;=25,"Vigente",IF(AND(W82&gt;=1,W82&lt;=25),"Por Vencer","Vencido"))</f>
        <v>Vencido</v>
      </c>
      <c r="Y82" s="5" t="s">
        <v>442</v>
      </c>
      <c r="Z82" s="338" t="s">
        <v>158</v>
      </c>
      <c r="AA82" s="338"/>
      <c r="AB82"/>
      <c r="AC82"/>
      <c r="AD82"/>
      <c r="AE82"/>
      <c r="AF82"/>
      <c r="AG82"/>
      <c r="AH82"/>
      <c r="AI82"/>
      <c r="AJ82"/>
      <c r="AK82"/>
      <c r="AL82"/>
      <c r="AM82"/>
      <c r="AN82"/>
    </row>
    <row r="83" spans="1:40" ht="157.5" customHeight="1">
      <c r="A83" s="19">
        <v>21</v>
      </c>
      <c r="B83" s="23" t="s">
        <v>35</v>
      </c>
      <c r="C83" s="6" t="s">
        <v>443</v>
      </c>
      <c r="D83" s="135">
        <v>5510243</v>
      </c>
      <c r="E83" s="135">
        <v>0</v>
      </c>
      <c r="F83" s="26">
        <v>82</v>
      </c>
      <c r="G83" s="6" t="s">
        <v>125</v>
      </c>
      <c r="H83" s="6" t="s">
        <v>444</v>
      </c>
      <c r="I83" s="26">
        <v>2021</v>
      </c>
      <c r="J83" s="30">
        <v>44043</v>
      </c>
      <c r="K83" s="6" t="s">
        <v>54</v>
      </c>
      <c r="L83" s="6" t="s">
        <v>121</v>
      </c>
      <c r="M83" s="6" t="s">
        <v>445</v>
      </c>
      <c r="N83" s="6" t="s">
        <v>96</v>
      </c>
      <c r="O83" s="6" t="s">
        <v>43</v>
      </c>
      <c r="P83" s="6" t="s">
        <v>122</v>
      </c>
      <c r="Q83" s="6"/>
      <c r="R83" s="343" t="s">
        <v>446</v>
      </c>
      <c r="S83" s="338" t="s">
        <v>42</v>
      </c>
      <c r="T83" s="6" t="s">
        <v>146</v>
      </c>
      <c r="U83" s="33">
        <v>45811</v>
      </c>
      <c r="V83" s="33">
        <v>45838</v>
      </c>
      <c r="W83" s="24">
        <f t="shared" ca="1" si="10"/>
        <v>-247</v>
      </c>
      <c r="X83" s="126" t="str">
        <f t="shared" ca="1" si="11"/>
        <v>Vencido</v>
      </c>
      <c r="Y83" s="344" t="s">
        <v>447</v>
      </c>
      <c r="Z83" s="338" t="s">
        <v>158</v>
      </c>
      <c r="AA83" s="129" t="s">
        <v>448</v>
      </c>
      <c r="AB83" s="60"/>
    </row>
    <row r="84" spans="1:40" ht="107.25" customHeight="1">
      <c r="A84" s="19">
        <v>23</v>
      </c>
      <c r="B84" s="149" t="s">
        <v>35</v>
      </c>
      <c r="C84" s="6" t="s">
        <v>449</v>
      </c>
      <c r="D84" s="140">
        <v>6470970</v>
      </c>
      <c r="E84" s="140">
        <v>4</v>
      </c>
      <c r="F84" s="6">
        <v>72</v>
      </c>
      <c r="G84" s="6" t="s">
        <v>71</v>
      </c>
      <c r="H84" s="6" t="s">
        <v>450</v>
      </c>
      <c r="I84" s="6">
        <v>2024</v>
      </c>
      <c r="J84" s="30">
        <v>45428</v>
      </c>
      <c r="K84" s="6" t="s">
        <v>41</v>
      </c>
      <c r="L84" s="6" t="s">
        <v>59</v>
      </c>
      <c r="M84" s="6" t="s">
        <v>105</v>
      </c>
      <c r="N84" s="6" t="s">
        <v>96</v>
      </c>
      <c r="O84" s="338" t="s">
        <v>43</v>
      </c>
      <c r="P84" s="6" t="s">
        <v>122</v>
      </c>
      <c r="Q84" s="6"/>
      <c r="R84" s="338" t="s">
        <v>451</v>
      </c>
      <c r="S84" s="6" t="s">
        <v>114</v>
      </c>
      <c r="T84" s="338" t="s">
        <v>452</v>
      </c>
      <c r="U84" s="30">
        <v>45887</v>
      </c>
      <c r="V84" s="30">
        <v>45888</v>
      </c>
      <c r="W84" s="24">
        <f t="shared" ca="1" si="10"/>
        <v>-197</v>
      </c>
      <c r="X84" s="127" t="str">
        <f t="shared" ca="1" si="11"/>
        <v>Vencido</v>
      </c>
      <c r="Y84" s="338" t="s">
        <v>453</v>
      </c>
      <c r="Z84" s="338" t="s">
        <v>454</v>
      </c>
      <c r="AA84" s="2"/>
      <c r="AB84" s="60"/>
    </row>
    <row r="85" spans="1:40" ht="130.5" customHeight="1">
      <c r="A85" s="19">
        <v>115</v>
      </c>
      <c r="B85" s="149" t="s">
        <v>35</v>
      </c>
      <c r="C85" s="5" t="s">
        <v>455</v>
      </c>
      <c r="D85" s="140">
        <v>3751803</v>
      </c>
      <c r="E85" s="140">
        <v>4</v>
      </c>
      <c r="F85" s="6">
        <v>88</v>
      </c>
      <c r="G85" s="6" t="s">
        <v>233</v>
      </c>
      <c r="H85" s="6" t="s">
        <v>456</v>
      </c>
      <c r="I85" s="6">
        <v>2024</v>
      </c>
      <c r="J85" s="6" t="s">
        <v>150</v>
      </c>
      <c r="K85" s="6" t="s">
        <v>41</v>
      </c>
      <c r="L85" s="6" t="s">
        <v>177</v>
      </c>
      <c r="M85" s="6" t="s">
        <v>105</v>
      </c>
      <c r="N85" s="6" t="s">
        <v>96</v>
      </c>
      <c r="O85" s="6" t="s">
        <v>43</v>
      </c>
      <c r="P85" s="6" t="s">
        <v>122</v>
      </c>
      <c r="Q85" s="6"/>
      <c r="R85" s="338" t="s">
        <v>457</v>
      </c>
      <c r="S85" s="6" t="s">
        <v>114</v>
      </c>
      <c r="T85" s="6" t="s">
        <v>458</v>
      </c>
      <c r="U85" s="30">
        <v>45728</v>
      </c>
      <c r="V85" s="30">
        <v>45759</v>
      </c>
      <c r="W85" s="6">
        <f t="shared" ca="1" si="10"/>
        <v>-326</v>
      </c>
      <c r="X85" s="127" t="str">
        <f t="shared" ca="1" si="11"/>
        <v>Vencido</v>
      </c>
      <c r="Y85" s="338" t="s">
        <v>459</v>
      </c>
      <c r="Z85" s="338" t="s">
        <v>158</v>
      </c>
      <c r="AA85" s="336" t="s">
        <v>460</v>
      </c>
    </row>
    <row r="86" spans="1:40" ht="111" customHeight="1">
      <c r="A86" s="19">
        <v>9</v>
      </c>
      <c r="B86" s="149" t="s">
        <v>35</v>
      </c>
      <c r="C86" s="6" t="s">
        <v>461</v>
      </c>
      <c r="D86" s="140">
        <v>2616978</v>
      </c>
      <c r="E86" s="140" t="s">
        <v>50</v>
      </c>
      <c r="F86" s="6">
        <v>97</v>
      </c>
      <c r="G86" s="6" t="s">
        <v>462</v>
      </c>
      <c r="H86" s="6" t="s">
        <v>463</v>
      </c>
      <c r="I86" s="6">
        <v>2024</v>
      </c>
      <c r="J86" s="30">
        <v>45387</v>
      </c>
      <c r="K86" s="6" t="s">
        <v>132</v>
      </c>
      <c r="L86" s="24" t="s">
        <v>42</v>
      </c>
      <c r="M86" s="30">
        <v>45541</v>
      </c>
      <c r="N86" s="6" t="s">
        <v>464</v>
      </c>
      <c r="O86" s="6" t="s">
        <v>43</v>
      </c>
      <c r="P86" s="6" t="s">
        <v>122</v>
      </c>
      <c r="Q86" s="6"/>
      <c r="R86" s="338" t="s">
        <v>465</v>
      </c>
      <c r="S86" s="338" t="s">
        <v>114</v>
      </c>
      <c r="T86" s="6" t="s">
        <v>466</v>
      </c>
      <c r="U86" s="33">
        <v>45832</v>
      </c>
      <c r="V86" s="33">
        <v>46017</v>
      </c>
      <c r="W86" s="24">
        <f t="shared" ca="1" si="10"/>
        <v>-68</v>
      </c>
      <c r="X86" s="150" t="str">
        <f t="shared" ca="1" si="11"/>
        <v>Vencido</v>
      </c>
      <c r="Y86" s="338" t="s">
        <v>467</v>
      </c>
      <c r="Z86" s="338" t="s">
        <v>158</v>
      </c>
      <c r="AA86" s="338" t="s">
        <v>320</v>
      </c>
    </row>
    <row r="87" spans="1:40" ht="129.75" customHeight="1">
      <c r="A87" s="19"/>
      <c r="B87" s="149" t="s">
        <v>35</v>
      </c>
      <c r="C87" s="6" t="s">
        <v>468</v>
      </c>
      <c r="D87" s="140">
        <v>13871020</v>
      </c>
      <c r="E87" s="140">
        <v>3</v>
      </c>
      <c r="F87" s="6">
        <v>44</v>
      </c>
      <c r="G87" s="6" t="s">
        <v>125</v>
      </c>
      <c r="H87" s="6" t="s">
        <v>469</v>
      </c>
      <c r="I87" s="6">
        <v>2024</v>
      </c>
      <c r="J87" s="30">
        <v>45379</v>
      </c>
      <c r="K87" s="6" t="s">
        <v>41</v>
      </c>
      <c r="L87" s="6" t="s">
        <v>59</v>
      </c>
      <c r="M87" s="6" t="s">
        <v>178</v>
      </c>
      <c r="N87" s="6" t="s">
        <v>133</v>
      </c>
      <c r="O87" s="6" t="s">
        <v>43</v>
      </c>
      <c r="P87" s="6" t="s">
        <v>122</v>
      </c>
      <c r="Q87" s="6"/>
      <c r="R87" s="338" t="s">
        <v>470</v>
      </c>
      <c r="S87" s="6" t="s">
        <v>114</v>
      </c>
      <c r="T87" s="24" t="s">
        <v>471</v>
      </c>
      <c r="U87" s="30">
        <v>45965</v>
      </c>
      <c r="V87" s="33">
        <v>45971</v>
      </c>
      <c r="W87" s="24">
        <f t="shared" ca="1" si="10"/>
        <v>-114</v>
      </c>
      <c r="X87" s="127" t="str">
        <f t="shared" ca="1" si="11"/>
        <v>Vencido</v>
      </c>
      <c r="Y87" s="343" t="s">
        <v>472</v>
      </c>
      <c r="Z87" s="338" t="s">
        <v>238</v>
      </c>
      <c r="AA87" s="341" t="s">
        <v>473</v>
      </c>
    </row>
    <row r="88" spans="1:40" ht="111" customHeight="1">
      <c r="A88" s="17"/>
      <c r="B88" s="350" t="s">
        <v>35</v>
      </c>
      <c r="C88" s="341" t="s">
        <v>474</v>
      </c>
      <c r="D88" s="137">
        <v>11938488</v>
      </c>
      <c r="E88" s="137">
        <v>5</v>
      </c>
      <c r="F88" s="2">
        <v>52</v>
      </c>
      <c r="G88" s="341" t="s">
        <v>71</v>
      </c>
      <c r="H88" s="336" t="s">
        <v>475</v>
      </c>
      <c r="I88" s="2"/>
      <c r="J88" s="2"/>
      <c r="K88" s="2"/>
      <c r="L88" s="2"/>
      <c r="M88" s="2"/>
      <c r="N88" s="2"/>
      <c r="O88" s="2" t="s">
        <v>43</v>
      </c>
      <c r="P88" s="341" t="s">
        <v>476</v>
      </c>
      <c r="Q88" s="2"/>
      <c r="R88" s="336" t="s">
        <v>477</v>
      </c>
      <c r="S88" s="2"/>
      <c r="T88" s="2" t="s">
        <v>478</v>
      </c>
      <c r="U88" s="2"/>
      <c r="V88" s="2"/>
      <c r="W88" s="2"/>
      <c r="X88" s="160"/>
      <c r="Y88" s="336" t="s">
        <v>479</v>
      </c>
      <c r="Z88" s="2" t="s">
        <v>364</v>
      </c>
      <c r="AA88" s="336" t="s">
        <v>480</v>
      </c>
    </row>
    <row r="89" spans="1:40" ht="117" customHeight="1">
      <c r="A89" s="19">
        <v>93</v>
      </c>
      <c r="B89" s="149" t="s">
        <v>35</v>
      </c>
      <c r="C89" s="6" t="s">
        <v>481</v>
      </c>
      <c r="D89" s="140">
        <v>5427424</v>
      </c>
      <c r="E89" s="140">
        <v>6</v>
      </c>
      <c r="F89" s="6">
        <v>74</v>
      </c>
      <c r="G89" s="6" t="s">
        <v>71</v>
      </c>
      <c r="H89" s="6" t="s">
        <v>482</v>
      </c>
      <c r="I89" s="6">
        <v>2024</v>
      </c>
      <c r="J89" s="30">
        <v>45373</v>
      </c>
      <c r="K89" s="6" t="s">
        <v>54</v>
      </c>
      <c r="L89" s="6" t="s">
        <v>59</v>
      </c>
      <c r="M89" s="6" t="s">
        <v>178</v>
      </c>
      <c r="N89" s="6" t="s">
        <v>133</v>
      </c>
      <c r="O89" s="6" t="s">
        <v>43</v>
      </c>
      <c r="P89" s="6" t="s">
        <v>106</v>
      </c>
      <c r="Q89" s="6" t="s">
        <v>107</v>
      </c>
      <c r="R89" s="338" t="s">
        <v>483</v>
      </c>
      <c r="S89" s="338" t="s">
        <v>109</v>
      </c>
      <c r="T89" s="6" t="s">
        <v>484</v>
      </c>
      <c r="U89" s="33">
        <v>45450</v>
      </c>
      <c r="V89" s="33">
        <v>45480</v>
      </c>
      <c r="W89" s="24">
        <f ca="1">V89-TODAY()</f>
        <v>-605</v>
      </c>
      <c r="X89" s="127" t="str">
        <f ca="1">IF(W89&gt;=25,"Vigente",IF(AND(W89&gt;=1,W89&lt;=25),"Por Vencer","Vencido"))</f>
        <v>Vencido</v>
      </c>
      <c r="Y89" s="30" t="s">
        <v>485</v>
      </c>
      <c r="Z89" s="6" t="s">
        <v>261</v>
      </c>
      <c r="AA89" s="2" t="s">
        <v>486</v>
      </c>
    </row>
    <row r="90" spans="1:40" ht="330">
      <c r="A90" s="19">
        <v>81</v>
      </c>
      <c r="B90" s="257" t="s">
        <v>35</v>
      </c>
      <c r="C90" s="45" t="s">
        <v>487</v>
      </c>
      <c r="D90" s="255">
        <v>9562935</v>
      </c>
      <c r="E90" s="255">
        <v>0</v>
      </c>
      <c r="F90" s="255">
        <v>56</v>
      </c>
      <c r="G90" s="255" t="s">
        <v>71</v>
      </c>
      <c r="H90" s="45" t="s">
        <v>488</v>
      </c>
      <c r="I90" s="6">
        <v>2023</v>
      </c>
      <c r="J90" s="256">
        <v>45049</v>
      </c>
      <c r="K90" s="45" t="s">
        <v>41</v>
      </c>
      <c r="L90" s="45" t="s">
        <v>42</v>
      </c>
      <c r="M90" s="45" t="s">
        <v>105</v>
      </c>
      <c r="N90" s="45" t="s">
        <v>96</v>
      </c>
      <c r="O90" s="45" t="s">
        <v>43</v>
      </c>
      <c r="P90" s="45" t="s">
        <v>122</v>
      </c>
      <c r="Q90" s="45"/>
      <c r="R90" s="6" t="s">
        <v>489</v>
      </c>
      <c r="S90" s="6" t="s">
        <v>368</v>
      </c>
      <c r="T90" s="6" t="s">
        <v>490</v>
      </c>
      <c r="U90" s="33">
        <v>45622</v>
      </c>
      <c r="V90" s="33">
        <v>45987</v>
      </c>
      <c r="W90" s="24">
        <f ca="1">V90-TODAY()</f>
        <v>-98</v>
      </c>
      <c r="X90" s="286" t="str">
        <f ca="1">IF(W90&gt;=25,"Vigente",IF(AND(W90&gt;=1,W90&lt;=25),"Por Vencer","Vencido"))</f>
        <v>Vencido</v>
      </c>
      <c r="Y90" s="32" t="s">
        <v>491</v>
      </c>
      <c r="Z90" s="338" t="s">
        <v>238</v>
      </c>
      <c r="AA90" s="10" t="s">
        <v>492</v>
      </c>
    </row>
    <row r="91" spans="1:40" ht="183">
      <c r="A91" s="19">
        <v>21</v>
      </c>
      <c r="B91" s="257" t="s">
        <v>35</v>
      </c>
      <c r="C91" s="45" t="s">
        <v>493</v>
      </c>
      <c r="D91" s="255">
        <v>11383344</v>
      </c>
      <c r="E91" s="255">
        <v>0</v>
      </c>
      <c r="F91" s="255">
        <v>54</v>
      </c>
      <c r="G91" s="255" t="s">
        <v>125</v>
      </c>
      <c r="H91" s="45" t="s">
        <v>494</v>
      </c>
      <c r="I91" s="6">
        <v>2020</v>
      </c>
      <c r="J91" s="256">
        <v>44110</v>
      </c>
      <c r="K91" s="45" t="s">
        <v>41</v>
      </c>
      <c r="L91" s="253" t="s">
        <v>42</v>
      </c>
      <c r="M91" s="45" t="s">
        <v>105</v>
      </c>
      <c r="N91" s="45" t="s">
        <v>96</v>
      </c>
      <c r="O91" s="253" t="s">
        <v>43</v>
      </c>
      <c r="P91" s="45" t="s">
        <v>122</v>
      </c>
      <c r="Q91" s="45"/>
      <c r="R91" s="338" t="s">
        <v>495</v>
      </c>
      <c r="S91" s="6" t="s">
        <v>496</v>
      </c>
      <c r="T91" s="6" t="s">
        <v>478</v>
      </c>
      <c r="U91" s="33">
        <v>45996</v>
      </c>
      <c r="V91" s="33">
        <v>46361</v>
      </c>
      <c r="W91" s="24">
        <f ca="1">V91-TODAY()</f>
        <v>276</v>
      </c>
      <c r="X91" s="307" t="str">
        <f ca="1">IF(W91&gt;=25,"Vigente",IF(AND(W91&gt;=1,W91&lt;=25),"Por Vencer","Vencido"))</f>
        <v>Vigente</v>
      </c>
      <c r="Y91" s="348" t="s">
        <v>497</v>
      </c>
      <c r="Z91" s="338" t="s">
        <v>238</v>
      </c>
      <c r="AA91" s="6"/>
      <c r="AB91" s="60"/>
    </row>
    <row r="92" spans="1:40" ht="229.5">
      <c r="A92" s="19">
        <v>185</v>
      </c>
      <c r="B92" s="269" t="s">
        <v>35</v>
      </c>
      <c r="C92" s="264" t="s">
        <v>498</v>
      </c>
      <c r="D92" s="265">
        <v>9333791</v>
      </c>
      <c r="E92" s="265">
        <v>3</v>
      </c>
      <c r="F92" s="265"/>
      <c r="G92" s="265"/>
      <c r="H92" s="227" t="s">
        <v>499</v>
      </c>
      <c r="I92" s="2"/>
      <c r="J92" s="264"/>
      <c r="K92" s="264"/>
      <c r="L92" s="264"/>
      <c r="M92" s="264"/>
      <c r="N92" s="264"/>
      <c r="O92" s="264" t="s">
        <v>43</v>
      </c>
      <c r="P92" s="45" t="s">
        <v>122</v>
      </c>
      <c r="Q92" s="264"/>
      <c r="R92" s="336" t="s">
        <v>500</v>
      </c>
      <c r="S92" s="10" t="s">
        <v>114</v>
      </c>
      <c r="T92" s="336" t="s">
        <v>501</v>
      </c>
      <c r="U92" s="107">
        <v>45932</v>
      </c>
      <c r="V92" s="107">
        <v>45993</v>
      </c>
      <c r="W92" s="24">
        <f ca="1">V92-TODAY()</f>
        <v>-92</v>
      </c>
      <c r="X92" s="308" t="str">
        <f ca="1">IF(W92&gt;=25,"Vigente",IF(AND(W92&gt;=1,W92&lt;=25),"Por Vencer","Vencido"))</f>
        <v>Vencido</v>
      </c>
      <c r="Y92" s="2"/>
      <c r="Z92" s="2" t="s">
        <v>238</v>
      </c>
      <c r="AA92" s="336" t="s">
        <v>502</v>
      </c>
      <c r="AB92" t="s">
        <v>320</v>
      </c>
    </row>
    <row r="93" spans="1:40" ht="99">
      <c r="A93" s="19">
        <v>159</v>
      </c>
      <c r="B93" s="182" t="s">
        <v>35</v>
      </c>
      <c r="C93" s="234" t="s">
        <v>503</v>
      </c>
      <c r="D93" s="137">
        <v>12597681</v>
      </c>
      <c r="E93" s="137">
        <v>6</v>
      </c>
      <c r="F93" s="2">
        <v>51</v>
      </c>
      <c r="G93" s="10" t="s">
        <v>504</v>
      </c>
      <c r="H93" s="10" t="s">
        <v>505</v>
      </c>
      <c r="I93" s="2"/>
      <c r="J93" s="2"/>
      <c r="K93" s="2"/>
      <c r="L93" s="2"/>
      <c r="M93" s="2"/>
      <c r="N93" s="2"/>
      <c r="O93" s="2" t="s">
        <v>43</v>
      </c>
      <c r="P93" s="6" t="s">
        <v>122</v>
      </c>
      <c r="Q93" s="2"/>
      <c r="R93" s="10" t="s">
        <v>506</v>
      </c>
      <c r="S93" s="10" t="s">
        <v>114</v>
      </c>
      <c r="T93" s="336" t="s">
        <v>501</v>
      </c>
      <c r="U93" s="107">
        <v>45813</v>
      </c>
      <c r="V93" s="107">
        <v>45986</v>
      </c>
      <c r="W93" s="24">
        <f ca="1">V93-TODAY()</f>
        <v>-99</v>
      </c>
      <c r="X93" s="308" t="str">
        <f ca="1">IF(W93&gt;=25,"Vigente",IF(AND(W93&gt;=1,W93&lt;=25),"Por Vencer","Vencido"))</f>
        <v>Vencido</v>
      </c>
      <c r="Y93" s="2" t="s">
        <v>507</v>
      </c>
      <c r="Z93" s="2" t="s">
        <v>238</v>
      </c>
      <c r="AA93" s="10"/>
      <c r="AB93" t="s">
        <v>508</v>
      </c>
    </row>
    <row r="94" spans="1:40" ht="82.5">
      <c r="A94" s="428"/>
      <c r="B94" s="406"/>
      <c r="C94" s="429" t="s">
        <v>509</v>
      </c>
      <c r="D94" s="433">
        <v>5934509</v>
      </c>
      <c r="E94" s="430">
        <v>5</v>
      </c>
      <c r="F94" s="430">
        <v>78</v>
      </c>
      <c r="G94" s="430" t="s">
        <v>510</v>
      </c>
      <c r="H94" s="437" t="s">
        <v>511</v>
      </c>
      <c r="J94" s="407"/>
      <c r="K94" s="407"/>
      <c r="L94" s="407" t="s">
        <v>512</v>
      </c>
      <c r="M94" s="407" t="s">
        <v>513</v>
      </c>
      <c r="N94" s="407"/>
      <c r="O94" s="407" t="s">
        <v>43</v>
      </c>
      <c r="P94" s="407"/>
      <c r="Q94" s="407"/>
      <c r="R94" s="433" t="s">
        <v>514</v>
      </c>
      <c r="S94" s="431" t="s">
        <v>515</v>
      </c>
      <c r="T94" s="407" t="s">
        <v>516</v>
      </c>
      <c r="U94" s="403">
        <v>46050</v>
      </c>
      <c r="V94" s="403">
        <v>46081</v>
      </c>
      <c r="W94" s="407"/>
      <c r="X94" s="407"/>
      <c r="Y94" s="407"/>
      <c r="Z94" s="407"/>
      <c r="AA94" s="431" t="s">
        <v>517</v>
      </c>
    </row>
  </sheetData>
  <autoFilter ref="A4:AM60" xr:uid="{00000000-0009-0000-0000-000001000000}"/>
  <conditionalFormatting sqref="B53">
    <cfRule type="duplicateValues" dxfId="16" priority="23"/>
  </conditionalFormatting>
  <conditionalFormatting sqref="C53">
    <cfRule type="duplicateValues" dxfId="15" priority="22"/>
  </conditionalFormatting>
  <conditionalFormatting sqref="W30:W52">
    <cfRule type="containsText" dxfId="14" priority="43" operator="containsText" text="vigente">
      <formula>NOT(ISERROR(SEARCH("vigente",W30)))</formula>
    </cfRule>
    <cfRule type="containsText" dxfId="13" priority="44" operator="containsText" text="por vencer">
      <formula>NOT(ISERROR(SEARCH("por vencer",W30)))</formula>
    </cfRule>
    <cfRule type="containsText" dxfId="12" priority="45" operator="containsText" text="vencido">
      <formula>NOT(ISERROR(SEARCH("vencido",W30)))</formula>
    </cfRule>
  </conditionalFormatting>
  <conditionalFormatting sqref="W53">
    <cfRule type="containsText" dxfId="11" priority="19" operator="containsText" text="VIGENTE">
      <formula>NOT(ISERROR(SEARCH("VIGENTE",W53)))</formula>
    </cfRule>
    <cfRule type="containsText" dxfId="10" priority="20" operator="containsText" text="POR VENCER">
      <formula>NOT(ISERROR(SEARCH("POR VENCER",W53)))</formula>
    </cfRule>
    <cfRule type="containsText" dxfId="9" priority="21" operator="containsText" text="VENCIDO">
      <formula>NOT(ISERROR(SEARCH("VENCIDO",W53)))</formula>
    </cfRule>
  </conditionalFormatting>
  <conditionalFormatting sqref="W54:W58">
    <cfRule type="containsText" dxfId="8" priority="4" operator="containsText" text="vigente">
      <formula>NOT(ISERROR(SEARCH("vigente",W54)))</formula>
    </cfRule>
    <cfRule type="containsText" dxfId="7" priority="5" operator="containsText" text="por vencer">
      <formula>NOT(ISERROR(SEARCH("por vencer",W54)))</formula>
    </cfRule>
    <cfRule type="containsText" dxfId="6" priority="6" operator="containsText" text="vencido">
      <formula>NOT(ISERROR(SEARCH("vencido",W54)))</formula>
    </cfRule>
  </conditionalFormatting>
  <conditionalFormatting sqref="X89">
    <cfRule type="containsText" dxfId="5" priority="1" operator="containsText" text="VIGENTE">
      <formula>NOT(ISERROR(SEARCH("VIGENTE",X89)))</formula>
    </cfRule>
    <cfRule type="containsText" dxfId="4" priority="2" operator="containsText" text="POR VENCER">
      <formula>NOT(ISERROR(SEARCH("POR VENCER",X89)))</formula>
    </cfRule>
    <cfRule type="containsText" dxfId="3" priority="3" operator="containsText" text="VENCIDO">
      <formula>NOT(ISERROR(SEARCH("VENCIDO",X89)))</formula>
    </cfRule>
  </conditionalFormatting>
  <dataValidations count="6">
    <dataValidation type="list" allowBlank="1" showInputMessage="1" showErrorMessage="1" sqref="K21 K38 K40 K49 K52 K57 K5:K19 K23:K25 K32:K35 K45:K46 K54:K55 L70:L72 L82:L84 L86:L87" xr:uid="{00000000-0002-0000-0100-000000000000}">
      <formula1>"CONFIRMACIÓN,ETAPIFICACIÓN,TRATAMIENTO,SEGUIMIENTO"</formula1>
    </dataValidation>
    <dataValidation type="list" allowBlank="1" showInputMessage="1" showErrorMessage="1" sqref="F38 F40 F49 F52 F57 F5:F25 F32:F35 F45:F46 F54:F55 G70:G72 F78 G82:G84 G86:G87" xr:uid="{00000000-0002-0000-0100-000001000000}">
      <formula1>"ovalle,monte patria,Rio hurtado,combarbala,Punitaqui"</formula1>
    </dataValidation>
    <dataValidation type="list" allowBlank="1" showInputMessage="1" showErrorMessage="1" sqref="J38 J40 J49 J52 J57 J5:J25 J32:J35 J45:J46 J54:J55 K70:K72 K82:K84 K86:K87 K91" xr:uid="{00000000-0002-0000-0100-000002000000}">
      <formula1>"SI,NO"</formula1>
    </dataValidation>
    <dataValidation type="list" allowBlank="1" showInputMessage="1" showErrorMessage="1" sqref="F39:G39" xr:uid="{00000000-0002-0000-0100-000003000000}">
      <formula1>"Ovalle, Punitaqui ,Rio Hurtado, Combarbala, Monte patria"</formula1>
    </dataValidation>
    <dataValidation type="list" allowBlank="1" showInputMessage="1" showErrorMessage="1" sqref="K39" xr:uid="{00000000-0002-0000-0100-000004000000}">
      <formula1>"Sospecha, Confirmacion, Etapificacion, tratamiento, Seguimiento"</formula1>
    </dataValidation>
    <dataValidation type="list" allowBlank="1" showInputMessage="1" showErrorMessage="1" sqref="O39" xr:uid="{00000000-0002-0000-0100-000005000000}">
      <formula1>"EN CURSO, DETENIDO"</formula1>
    </dataValidation>
  </dataValidation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6E445-CAD7-4F5D-9A75-248B3A2222DD}">
  <sheetPr filterMode="1">
    <pageSetUpPr fitToPage="1"/>
  </sheetPr>
  <dimension ref="A1:XW215"/>
  <sheetViews>
    <sheetView tabSelected="1" zoomScale="69" zoomScaleNormal="69" workbookViewId="0">
      <pane xSplit="3" topLeftCell="D174" activePane="topRight" state="frozen"/>
      <selection pane="topRight" activeCell="AB206" sqref="AB206"/>
      <selection activeCell="A5" sqref="A5"/>
    </sheetView>
  </sheetViews>
  <sheetFormatPr defaultColWidth="11" defaultRowHeight="13.5" customHeight="1"/>
  <cols>
    <col min="1" max="1" width="3.875" style="16" customWidth="1"/>
    <col min="2" max="2" width="7.25" style="183" customWidth="1"/>
    <col min="3" max="3" width="30.25" style="246" customWidth="1"/>
    <col min="4" max="4" width="12.25" style="132" customWidth="1"/>
    <col min="5" max="5" width="9" style="132" customWidth="1"/>
    <col min="6" max="6" width="8.75" style="132" customWidth="1"/>
    <col min="7" max="7" width="12.75" style="132" customWidth="1"/>
    <col min="8" max="8" width="25.875" style="1" customWidth="1"/>
    <col min="9" max="9" width="10.125" hidden="1" customWidth="1"/>
    <col min="10" max="10" width="25.625" bestFit="1" customWidth="1"/>
    <col min="11" max="11" width="16.875" customWidth="1"/>
    <col min="12" max="12" width="19" customWidth="1"/>
    <col min="13" max="13" width="16.875" customWidth="1"/>
    <col min="14" max="14" width="23.875" customWidth="1"/>
    <col min="15" max="15" width="9.625" customWidth="1"/>
    <col min="16" max="16" width="19" customWidth="1"/>
    <col min="17" max="17" width="13" customWidth="1"/>
    <col min="18" max="18" width="66.25" style="1" customWidth="1"/>
    <col min="19" max="19" width="16.875" style="1" customWidth="1"/>
    <col min="20" max="20" width="18" customWidth="1"/>
    <col min="21" max="21" width="14.25" customWidth="1"/>
    <col min="22" max="22" width="17.375" customWidth="1"/>
    <col min="23" max="23" width="18.25" customWidth="1"/>
    <col min="24" max="24" width="13.375" customWidth="1"/>
    <col min="25" max="25" width="19.375" customWidth="1"/>
    <col min="26" max="26" width="19" customWidth="1"/>
    <col min="27" max="27" width="31" style="1" customWidth="1"/>
    <col min="28" max="28" width="19.5" customWidth="1"/>
  </cols>
  <sheetData>
    <row r="1" spans="1:40" s="11" customFormat="1" ht="15" customHeight="1">
      <c r="A1" s="448" t="s">
        <v>518</v>
      </c>
      <c r="B1" s="449"/>
      <c r="C1" s="449"/>
      <c r="D1" s="449"/>
      <c r="E1" s="449"/>
      <c r="F1" s="449"/>
      <c r="G1" s="449"/>
      <c r="H1" s="449"/>
      <c r="I1" s="450"/>
      <c r="J1" s="449"/>
      <c r="K1" s="449"/>
      <c r="L1" s="449"/>
      <c r="M1" s="449"/>
      <c r="N1" s="449"/>
      <c r="O1" s="449"/>
      <c r="P1" s="449"/>
      <c r="Q1" s="449"/>
      <c r="R1" s="449"/>
      <c r="S1" s="449"/>
      <c r="T1" s="449"/>
      <c r="U1" s="449"/>
      <c r="V1" s="449"/>
      <c r="W1" s="449"/>
      <c r="X1" s="449"/>
      <c r="Y1" s="449"/>
      <c r="Z1" s="451"/>
      <c r="AA1" s="440"/>
      <c r="AB1" s="441"/>
    </row>
    <row r="2" spans="1:40" s="11" customFormat="1" ht="15" customHeight="1">
      <c r="A2" s="452"/>
      <c r="B2" s="453"/>
      <c r="C2" s="453"/>
      <c r="D2" s="453"/>
      <c r="E2" s="453"/>
      <c r="F2" s="453"/>
      <c r="G2" s="453"/>
      <c r="H2" s="453"/>
      <c r="I2" s="454"/>
      <c r="J2" s="453"/>
      <c r="K2" s="453"/>
      <c r="L2" s="453"/>
      <c r="M2" s="453"/>
      <c r="N2" s="453"/>
      <c r="O2" s="453"/>
      <c r="P2" s="453"/>
      <c r="Q2" s="453"/>
      <c r="R2" s="453"/>
      <c r="S2" s="453"/>
      <c r="T2" s="453"/>
      <c r="U2" s="453"/>
      <c r="V2" s="453"/>
      <c r="W2" s="453"/>
      <c r="X2" s="453"/>
      <c r="Y2" s="453"/>
      <c r="Z2" s="455"/>
      <c r="AA2" s="440"/>
      <c r="AB2" s="441"/>
      <c r="AC2"/>
      <c r="AD2"/>
      <c r="AE2"/>
      <c r="AF2"/>
      <c r="AG2"/>
      <c r="AH2"/>
      <c r="AI2"/>
      <c r="AJ2"/>
      <c r="AK2"/>
      <c r="AL2"/>
      <c r="AM2"/>
      <c r="AN2"/>
    </row>
    <row r="3" spans="1:40" s="11" customFormat="1" ht="15" customHeight="1">
      <c r="A3" s="456"/>
      <c r="B3" s="457"/>
      <c r="C3" s="457"/>
      <c r="D3" s="457"/>
      <c r="E3" s="457"/>
      <c r="F3" s="457"/>
      <c r="G3" s="457"/>
      <c r="H3" s="457"/>
      <c r="I3" s="458"/>
      <c r="J3" s="457"/>
      <c r="K3" s="457"/>
      <c r="L3" s="457"/>
      <c r="M3" s="457"/>
      <c r="N3" s="457"/>
      <c r="O3" s="457"/>
      <c r="P3" s="457"/>
      <c r="Q3" s="457"/>
      <c r="R3" s="457"/>
      <c r="S3" s="457"/>
      <c r="T3" s="457"/>
      <c r="U3" s="457"/>
      <c r="V3" s="457"/>
      <c r="W3" s="457"/>
      <c r="X3" s="457"/>
      <c r="Y3" s="457"/>
      <c r="Z3" s="459"/>
      <c r="AA3" s="440"/>
      <c r="AB3" s="441"/>
      <c r="AC3"/>
      <c r="AD3"/>
      <c r="AE3"/>
      <c r="AF3"/>
      <c r="AG3"/>
      <c r="AH3"/>
      <c r="AI3"/>
      <c r="AJ3"/>
      <c r="AK3"/>
      <c r="AL3"/>
      <c r="AM3"/>
      <c r="AN3"/>
    </row>
    <row r="4" spans="1:40" ht="33" customHeight="1">
      <c r="A4" s="17" t="s">
        <v>519</v>
      </c>
      <c r="B4" s="184" t="s">
        <v>18</v>
      </c>
      <c r="C4" s="18" t="s">
        <v>19</v>
      </c>
      <c r="D4" s="165" t="s">
        <v>20</v>
      </c>
      <c r="E4" s="165" t="s">
        <v>21</v>
      </c>
      <c r="F4" s="165" t="s">
        <v>22</v>
      </c>
      <c r="G4" s="165" t="s">
        <v>23</v>
      </c>
      <c r="H4" s="29" t="s">
        <v>520</v>
      </c>
      <c r="I4" s="18" t="s">
        <v>25</v>
      </c>
      <c r="J4" s="18" t="s">
        <v>26</v>
      </c>
      <c r="K4" s="29" t="s">
        <v>27</v>
      </c>
      <c r="L4" s="18" t="s">
        <v>28</v>
      </c>
      <c r="M4" s="29" t="s">
        <v>29</v>
      </c>
      <c r="N4" s="29" t="s">
        <v>30</v>
      </c>
      <c r="O4" s="29" t="s">
        <v>31</v>
      </c>
      <c r="P4" s="18" t="s">
        <v>32</v>
      </c>
      <c r="Q4" s="35" t="s">
        <v>33</v>
      </c>
      <c r="R4" s="36" t="s">
        <v>34</v>
      </c>
      <c r="S4" s="37" t="s">
        <v>521</v>
      </c>
      <c r="T4" s="38" t="s">
        <v>522</v>
      </c>
      <c r="U4" s="152" t="s">
        <v>523</v>
      </c>
      <c r="V4" s="152" t="s">
        <v>524</v>
      </c>
      <c r="W4" s="153" t="s">
        <v>525</v>
      </c>
      <c r="X4" s="193" t="s">
        <v>526</v>
      </c>
      <c r="Y4" s="442" t="s">
        <v>527</v>
      </c>
      <c r="Z4" s="443" t="s">
        <v>528</v>
      </c>
      <c r="AA4" s="444" t="s">
        <v>529</v>
      </c>
      <c r="AB4" s="445" t="s">
        <v>530</v>
      </c>
    </row>
    <row r="5" spans="1:40" ht="108" hidden="1" customHeight="1">
      <c r="A5" s="19">
        <v>1</v>
      </c>
      <c r="B5" s="149" t="s">
        <v>35</v>
      </c>
      <c r="C5" s="232" t="s">
        <v>531</v>
      </c>
      <c r="D5" s="140">
        <v>9942906</v>
      </c>
      <c r="E5" s="140">
        <v>2</v>
      </c>
      <c r="F5" s="6">
        <v>58</v>
      </c>
      <c r="G5" s="6" t="s">
        <v>46</v>
      </c>
      <c r="H5" s="6" t="s">
        <v>532</v>
      </c>
      <c r="I5" s="6">
        <v>2022</v>
      </c>
      <c r="J5" s="30">
        <v>44809</v>
      </c>
      <c r="K5" s="6" t="s">
        <v>54</v>
      </c>
      <c r="L5" s="6" t="s">
        <v>42</v>
      </c>
      <c r="M5" s="30">
        <v>45086</v>
      </c>
      <c r="N5" s="6" t="s">
        <v>533</v>
      </c>
      <c r="O5" s="6" t="s">
        <v>534</v>
      </c>
      <c r="P5" s="6" t="s">
        <v>535</v>
      </c>
      <c r="Q5" s="6"/>
      <c r="R5" s="338" t="s">
        <v>536</v>
      </c>
      <c r="S5" s="6" t="s">
        <v>305</v>
      </c>
      <c r="T5" s="6" t="s">
        <v>537</v>
      </c>
      <c r="U5" s="33">
        <v>45538</v>
      </c>
      <c r="V5" s="33">
        <v>45599</v>
      </c>
      <c r="W5" s="24">
        <f ca="1">V5-TODAY()</f>
        <v>-486</v>
      </c>
      <c r="X5" s="307" t="str">
        <f ca="1">IF(W5&gt;=25,"Vigente",IF(AND(W5&gt;=1,W5&lt;=25),"Por Vencer","Vencido"))</f>
        <v>Vencido</v>
      </c>
      <c r="Y5" s="6" t="s">
        <v>538</v>
      </c>
      <c r="Z5" s="6" t="s">
        <v>292</v>
      </c>
      <c r="AA5" s="250"/>
    </row>
    <row r="6" spans="1:40" ht="119.25" hidden="1" customHeight="1">
      <c r="A6" s="19">
        <v>2</v>
      </c>
      <c r="B6" s="21" t="s">
        <v>35</v>
      </c>
      <c r="C6" s="233" t="s">
        <v>539</v>
      </c>
      <c r="D6" s="166">
        <v>3443615</v>
      </c>
      <c r="E6" s="166">
        <v>0</v>
      </c>
      <c r="F6" s="8">
        <v>89</v>
      </c>
      <c r="G6" s="8" t="s">
        <v>540</v>
      </c>
      <c r="H6" s="8" t="s">
        <v>541</v>
      </c>
      <c r="I6" s="8">
        <v>2021</v>
      </c>
      <c r="J6" s="31">
        <v>44436</v>
      </c>
      <c r="K6" s="8" t="s">
        <v>54</v>
      </c>
      <c r="L6" s="8" t="s">
        <v>42</v>
      </c>
      <c r="M6" s="8" t="s">
        <v>178</v>
      </c>
      <c r="N6" s="8" t="s">
        <v>133</v>
      </c>
      <c r="O6" s="8" t="s">
        <v>43</v>
      </c>
      <c r="P6" s="6" t="s">
        <v>122</v>
      </c>
      <c r="Q6" s="6"/>
      <c r="R6" s="351" t="s">
        <v>542</v>
      </c>
      <c r="S6" s="6" t="s">
        <v>114</v>
      </c>
      <c r="T6" s="338" t="s">
        <v>543</v>
      </c>
      <c r="U6" s="33">
        <v>45968</v>
      </c>
      <c r="V6" s="33">
        <v>46149</v>
      </c>
      <c r="W6" s="24">
        <f ca="1">V6-TODAY()</f>
        <v>64</v>
      </c>
      <c r="X6" s="287" t="str">
        <f ca="1">IF(W6&gt;=25,"Vigente",IF(AND(W6&gt;=1,W6&lt;=25),"Por Vencer","Vencido"))</f>
        <v>Vigente</v>
      </c>
      <c r="Y6" s="348" t="s">
        <v>544</v>
      </c>
      <c r="Z6" s="338" t="s">
        <v>238</v>
      </c>
      <c r="AA6" s="10"/>
      <c r="AB6" s="1"/>
    </row>
    <row r="7" spans="1:40" ht="151.5" hidden="1" customHeight="1">
      <c r="A7" s="19">
        <v>3</v>
      </c>
      <c r="B7" s="149" t="s">
        <v>35</v>
      </c>
      <c r="C7" s="244" t="s">
        <v>545</v>
      </c>
      <c r="D7" s="137">
        <v>15042758</v>
      </c>
      <c r="E7" s="137">
        <v>4</v>
      </c>
      <c r="F7" s="2">
        <v>44</v>
      </c>
      <c r="G7" s="2"/>
      <c r="H7" s="336" t="s">
        <v>546</v>
      </c>
      <c r="I7" s="2"/>
      <c r="J7" s="2"/>
      <c r="K7" s="341" t="s">
        <v>41</v>
      </c>
      <c r="L7" s="341" t="s">
        <v>547</v>
      </c>
      <c r="M7" s="341" t="s">
        <v>513</v>
      </c>
      <c r="N7" s="341" t="s">
        <v>513</v>
      </c>
      <c r="O7" s="6" t="s">
        <v>43</v>
      </c>
      <c r="P7" s="338" t="s">
        <v>548</v>
      </c>
      <c r="Q7" s="341" t="s">
        <v>549</v>
      </c>
      <c r="R7" s="336" t="s">
        <v>550</v>
      </c>
      <c r="S7" s="336" t="s">
        <v>114</v>
      </c>
      <c r="T7" s="338" t="s">
        <v>543</v>
      </c>
      <c r="U7" s="107">
        <v>45840</v>
      </c>
      <c r="V7" s="107">
        <v>45871</v>
      </c>
      <c r="W7" s="24">
        <f ca="1">V7-TODAY()</f>
        <v>-214</v>
      </c>
      <c r="X7" s="308" t="str">
        <f ca="1">IF(W7&gt;=25,"Vigente",IF(AND(W7&gt;=1,W7&lt;=25),"Por Vencer","Vencido"))</f>
        <v>Vencido</v>
      </c>
      <c r="Y7" s="336"/>
      <c r="Z7" s="338" t="s">
        <v>238</v>
      </c>
      <c r="AA7" s="404" t="s">
        <v>551</v>
      </c>
    </row>
    <row r="8" spans="1:40" ht="25.5" customHeight="1">
      <c r="A8" s="19">
        <v>4</v>
      </c>
      <c r="B8" s="149" t="s">
        <v>35</v>
      </c>
      <c r="C8" s="234" t="s">
        <v>552</v>
      </c>
      <c r="D8" s="137">
        <v>27022097</v>
      </c>
      <c r="E8" s="137">
        <v>5</v>
      </c>
      <c r="F8" s="2">
        <v>33</v>
      </c>
      <c r="G8" s="6" t="s">
        <v>71</v>
      </c>
      <c r="H8" s="336" t="s">
        <v>553</v>
      </c>
      <c r="I8" s="2"/>
      <c r="J8" s="2"/>
      <c r="K8" s="2"/>
      <c r="L8" s="2"/>
      <c r="M8" s="2"/>
      <c r="N8" s="2"/>
      <c r="O8" s="6" t="s">
        <v>43</v>
      </c>
      <c r="P8" s="6" t="s">
        <v>122</v>
      </c>
      <c r="Q8" s="2"/>
      <c r="R8" s="336" t="s">
        <v>554</v>
      </c>
      <c r="S8" s="6" t="s">
        <v>114</v>
      </c>
      <c r="T8" s="341" t="s">
        <v>555</v>
      </c>
      <c r="U8" s="107">
        <v>45874</v>
      </c>
      <c r="V8" s="107">
        <v>45891</v>
      </c>
      <c r="W8" s="6">
        <f ca="1">V8-TODAY()</f>
        <v>-194</v>
      </c>
      <c r="X8" s="307" t="str">
        <f ca="1">IF(W8&gt;=25,"Vigente",IF(AND(W8&gt;=1,W8&lt;=25),"Por Vencer","Vencido"))</f>
        <v>Vencido</v>
      </c>
      <c r="Y8" s="336" t="s">
        <v>556</v>
      </c>
      <c r="Z8" s="338" t="s">
        <v>238</v>
      </c>
      <c r="AA8" s="336" t="s">
        <v>557</v>
      </c>
    </row>
    <row r="9" spans="1:40" s="12" customFormat="1" ht="105" customHeight="1">
      <c r="A9" s="19">
        <v>5</v>
      </c>
      <c r="B9" s="149" t="s">
        <v>35</v>
      </c>
      <c r="C9" s="232" t="s">
        <v>558</v>
      </c>
      <c r="D9" s="140">
        <v>4341553</v>
      </c>
      <c r="E9" s="140">
        <v>0</v>
      </c>
      <c r="F9" s="6">
        <v>81</v>
      </c>
      <c r="G9" s="6" t="s">
        <v>71</v>
      </c>
      <c r="H9" s="6" t="s">
        <v>559</v>
      </c>
      <c r="I9" s="6">
        <v>2016</v>
      </c>
      <c r="J9" s="30">
        <v>42522</v>
      </c>
      <c r="K9" s="6" t="s">
        <v>41</v>
      </c>
      <c r="L9" s="6" t="s">
        <v>42</v>
      </c>
      <c r="M9" s="6" t="s">
        <v>178</v>
      </c>
      <c r="N9" s="6" t="s">
        <v>133</v>
      </c>
      <c r="O9" s="6" t="s">
        <v>43</v>
      </c>
      <c r="P9" s="6" t="s">
        <v>122</v>
      </c>
      <c r="Q9" s="6"/>
      <c r="R9" s="338" t="s">
        <v>560</v>
      </c>
      <c r="S9" s="6" t="s">
        <v>561</v>
      </c>
      <c r="T9" s="6" t="s">
        <v>562</v>
      </c>
      <c r="U9" s="33">
        <v>45937</v>
      </c>
      <c r="V9" s="352">
        <v>46029</v>
      </c>
      <c r="W9" s="24">
        <f ca="1">V9-TODAY()</f>
        <v>-56</v>
      </c>
      <c r="X9" s="221" t="str">
        <f ca="1">IF(W9&gt;=25,"Vigente",IF(AND(W9&gt;=1,W9&lt;=25),"Por Vencer","Vencido"))</f>
        <v>Vencido</v>
      </c>
      <c r="Y9" s="338" t="s">
        <v>563</v>
      </c>
      <c r="Z9" s="338" t="s">
        <v>292</v>
      </c>
      <c r="AA9" s="336"/>
      <c r="AB9"/>
      <c r="AC9" s="1"/>
      <c r="AD9" s="1"/>
      <c r="AE9" s="1"/>
      <c r="AF9" s="1"/>
      <c r="AG9" s="1"/>
      <c r="AH9" s="1"/>
      <c r="AI9" s="1"/>
      <c r="AJ9" s="1"/>
      <c r="AK9" s="1"/>
      <c r="AL9" s="1"/>
      <c r="AM9" s="1"/>
      <c r="AN9" s="1"/>
    </row>
    <row r="10" spans="1:40" ht="138.75" hidden="1" customHeight="1">
      <c r="A10" s="19">
        <v>6</v>
      </c>
      <c r="B10" s="353" t="s">
        <v>564</v>
      </c>
      <c r="C10" s="235" t="s">
        <v>565</v>
      </c>
      <c r="D10" s="190">
        <v>7128893</v>
      </c>
      <c r="E10" s="134">
        <v>5</v>
      </c>
      <c r="F10" s="2"/>
      <c r="G10" s="2" t="s">
        <v>46</v>
      </c>
      <c r="H10" s="336" t="s">
        <v>566</v>
      </c>
      <c r="I10" s="2"/>
      <c r="J10" s="2"/>
      <c r="K10" s="2"/>
      <c r="L10" s="2"/>
      <c r="M10" s="2"/>
      <c r="N10" s="2"/>
      <c r="O10" s="6" t="s">
        <v>43</v>
      </c>
      <c r="P10" s="6" t="s">
        <v>122</v>
      </c>
      <c r="Q10" s="2"/>
      <c r="R10" s="336" t="s">
        <v>567</v>
      </c>
      <c r="S10" s="336" t="s">
        <v>515</v>
      </c>
      <c r="T10" s="336" t="s">
        <v>568</v>
      </c>
      <c r="U10" s="107">
        <v>45811</v>
      </c>
      <c r="V10" s="107">
        <v>46021</v>
      </c>
      <c r="W10" s="2">
        <f ca="1">V10-TODAY()</f>
        <v>-64</v>
      </c>
      <c r="X10" s="287" t="str">
        <f ca="1">IF(W10&gt;=25,"Vigente",IF(AND(W10&gt;=1,W10&lt;=25),"Por Vencer","Vencido"))</f>
        <v>Vencido</v>
      </c>
      <c r="Y10" s="336" t="s">
        <v>569</v>
      </c>
      <c r="Z10" s="338" t="s">
        <v>238</v>
      </c>
      <c r="AA10" s="10"/>
    </row>
    <row r="11" spans="1:40" ht="111" customHeight="1">
      <c r="A11" s="19">
        <v>7</v>
      </c>
      <c r="B11" s="254" t="s">
        <v>35</v>
      </c>
      <c r="C11" s="45" t="s">
        <v>570</v>
      </c>
      <c r="D11" s="255">
        <v>5212729</v>
      </c>
      <c r="E11" s="255">
        <v>7</v>
      </c>
      <c r="F11" s="255">
        <v>79</v>
      </c>
      <c r="G11" s="255" t="s">
        <v>71</v>
      </c>
      <c r="H11" s="45" t="s">
        <v>571</v>
      </c>
      <c r="I11" s="6">
        <v>2024</v>
      </c>
      <c r="J11" s="256">
        <v>45573</v>
      </c>
      <c r="K11" s="45" t="s">
        <v>41</v>
      </c>
      <c r="L11" s="45" t="s">
        <v>42</v>
      </c>
      <c r="M11" s="45" t="s">
        <v>105</v>
      </c>
      <c r="N11" s="45" t="s">
        <v>133</v>
      </c>
      <c r="O11" s="45" t="s">
        <v>43</v>
      </c>
      <c r="P11" s="45" t="s">
        <v>122</v>
      </c>
      <c r="Q11" s="45"/>
      <c r="R11" s="338" t="s">
        <v>572</v>
      </c>
      <c r="S11" s="6" t="s">
        <v>114</v>
      </c>
      <c r="T11" s="6" t="s">
        <v>562</v>
      </c>
      <c r="U11" s="30">
        <v>46024</v>
      </c>
      <c r="V11" s="30">
        <v>46055</v>
      </c>
      <c r="W11" s="24">
        <f ca="1">V11-TODAY()</f>
        <v>-30</v>
      </c>
      <c r="X11" s="222" t="str">
        <f ca="1">IF(W11&gt;=25,"Vigente",IF(AND(W11&gt;=1,W11&lt;=25),"Por Vencer","Vencido"))</f>
        <v>Vencido</v>
      </c>
      <c r="Y11" s="6" t="s">
        <v>573</v>
      </c>
      <c r="Z11" s="338" t="s">
        <v>238</v>
      </c>
      <c r="AA11" s="10"/>
    </row>
    <row r="12" spans="1:40" ht="140.25" customHeight="1">
      <c r="A12" s="19">
        <v>8</v>
      </c>
      <c r="B12" s="254" t="s">
        <v>35</v>
      </c>
      <c r="C12" s="264" t="s">
        <v>574</v>
      </c>
      <c r="D12" s="265">
        <v>9236705</v>
      </c>
      <c r="E12" s="265">
        <v>3</v>
      </c>
      <c r="F12" s="265">
        <v>64</v>
      </c>
      <c r="G12" s="265" t="s">
        <v>71</v>
      </c>
      <c r="H12" s="227" t="s">
        <v>575</v>
      </c>
      <c r="I12" s="2"/>
      <c r="J12" s="264"/>
      <c r="K12" s="264" t="s">
        <v>41</v>
      </c>
      <c r="L12" s="264" t="s">
        <v>576</v>
      </c>
      <c r="M12" s="264" t="s">
        <v>513</v>
      </c>
      <c r="N12" s="264" t="s">
        <v>513</v>
      </c>
      <c r="O12" s="253" t="s">
        <v>43</v>
      </c>
      <c r="P12" s="45" t="s">
        <v>122</v>
      </c>
      <c r="Q12" s="264"/>
      <c r="R12" s="10" t="s">
        <v>577</v>
      </c>
      <c r="S12" s="10" t="s">
        <v>192</v>
      </c>
      <c r="T12" s="2" t="s">
        <v>478</v>
      </c>
      <c r="U12" s="107">
        <v>45979</v>
      </c>
      <c r="V12" s="107">
        <v>46009</v>
      </c>
      <c r="W12" s="24">
        <f ca="1">V12-TODAY()</f>
        <v>-76</v>
      </c>
      <c r="X12" s="222" t="str">
        <f ca="1">IF(W12&gt;=25,"Vigente",IF(AND(W12&gt;=1,W12&lt;=25),"Por Vencer","Vencido"))</f>
        <v>Vencido</v>
      </c>
      <c r="Y12" s="2"/>
      <c r="Z12" s="336" t="s">
        <v>238</v>
      </c>
      <c r="AA12" s="10"/>
      <c r="AB12" t="s">
        <v>54</v>
      </c>
    </row>
    <row r="13" spans="1:40" ht="126.75" customHeight="1">
      <c r="A13" s="19">
        <v>9</v>
      </c>
      <c r="B13" s="23" t="s">
        <v>35</v>
      </c>
      <c r="C13" s="232" t="s">
        <v>578</v>
      </c>
      <c r="D13" s="135">
        <v>4259419</v>
      </c>
      <c r="E13" s="135">
        <v>9</v>
      </c>
      <c r="F13" s="6">
        <v>85</v>
      </c>
      <c r="G13" s="6" t="s">
        <v>71</v>
      </c>
      <c r="H13" s="6" t="s">
        <v>579</v>
      </c>
      <c r="I13" s="6">
        <v>2024</v>
      </c>
      <c r="J13" s="30">
        <v>45404</v>
      </c>
      <c r="K13" s="6" t="s">
        <v>41</v>
      </c>
      <c r="L13" s="6" t="s">
        <v>42</v>
      </c>
      <c r="M13" s="6" t="s">
        <v>178</v>
      </c>
      <c r="N13" s="6" t="s">
        <v>133</v>
      </c>
      <c r="O13" s="6" t="s">
        <v>43</v>
      </c>
      <c r="P13" s="6" t="s">
        <v>122</v>
      </c>
      <c r="Q13" s="6"/>
      <c r="R13" s="338" t="s">
        <v>580</v>
      </c>
      <c r="S13" s="6" t="s">
        <v>496</v>
      </c>
      <c r="T13" s="6" t="s">
        <v>562</v>
      </c>
      <c r="U13" s="33">
        <v>45659</v>
      </c>
      <c r="V13" s="33">
        <v>46024</v>
      </c>
      <c r="W13" s="24">
        <f ca="1">V13-TODAY()</f>
        <v>-61</v>
      </c>
      <c r="X13" s="221" t="str">
        <f ca="1">IF(W13&gt;=25,"Vigente",IF(AND(W13&gt;=1,W13&lt;=25),"Por Vencer","Vencido"))</f>
        <v>Vencido</v>
      </c>
      <c r="Y13" s="30" t="s">
        <v>581</v>
      </c>
      <c r="Z13" s="338" t="s">
        <v>238</v>
      </c>
      <c r="AA13" s="10"/>
      <c r="AB13" t="s">
        <v>54</v>
      </c>
    </row>
    <row r="14" spans="1:40" ht="111.75" customHeight="1">
      <c r="A14" s="19">
        <v>10</v>
      </c>
      <c r="B14" s="23" t="s">
        <v>35</v>
      </c>
      <c r="C14" s="236" t="s">
        <v>582</v>
      </c>
      <c r="D14" s="155">
        <v>4237874</v>
      </c>
      <c r="E14" s="155">
        <v>7</v>
      </c>
      <c r="F14" s="24">
        <v>85</v>
      </c>
      <c r="G14" s="24" t="s">
        <v>46</v>
      </c>
      <c r="H14" s="24" t="s">
        <v>583</v>
      </c>
      <c r="I14" s="24">
        <v>2020</v>
      </c>
      <c r="J14" s="33">
        <v>44175</v>
      </c>
      <c r="K14" s="24" t="s">
        <v>54</v>
      </c>
      <c r="L14" s="24" t="s">
        <v>42</v>
      </c>
      <c r="M14" s="33">
        <v>45100</v>
      </c>
      <c r="N14" s="24" t="s">
        <v>100</v>
      </c>
      <c r="O14" s="24" t="s">
        <v>43</v>
      </c>
      <c r="P14" s="6" t="s">
        <v>122</v>
      </c>
      <c r="Q14" s="6"/>
      <c r="R14" s="343" t="s">
        <v>584</v>
      </c>
      <c r="S14" s="6" t="s">
        <v>585</v>
      </c>
      <c r="T14" s="6" t="s">
        <v>562</v>
      </c>
      <c r="U14" s="33">
        <v>45950</v>
      </c>
      <c r="V14" s="33">
        <v>46011</v>
      </c>
      <c r="W14" s="24">
        <f ca="1">V14-TODAY()</f>
        <v>-74</v>
      </c>
      <c r="X14" s="222" t="str">
        <f ca="1">IF(W14&gt;=25,"Vigente",IF(AND(W14&gt;=1,W14&lt;=25),"Por Vencer","Vencido"))</f>
        <v>Vencido</v>
      </c>
      <c r="Y14" s="6" t="s">
        <v>586</v>
      </c>
      <c r="Z14" s="338" t="s">
        <v>238</v>
      </c>
      <c r="AA14" s="343"/>
    </row>
    <row r="15" spans="1:40" ht="109.5" hidden="1" customHeight="1">
      <c r="A15" s="19">
        <v>11</v>
      </c>
      <c r="B15" s="269" t="s">
        <v>35</v>
      </c>
      <c r="C15" s="227" t="s">
        <v>587</v>
      </c>
      <c r="D15" s="227">
        <v>9690286</v>
      </c>
      <c r="E15" s="227">
        <v>7</v>
      </c>
      <c r="F15" s="265">
        <v>64</v>
      </c>
      <c r="G15" s="255" t="s">
        <v>510</v>
      </c>
      <c r="H15" s="227" t="s">
        <v>588</v>
      </c>
      <c r="I15" s="2"/>
      <c r="J15" s="264">
        <v>2025</v>
      </c>
      <c r="K15" s="264" t="s">
        <v>41</v>
      </c>
      <c r="L15" s="264" t="s">
        <v>512</v>
      </c>
      <c r="M15" s="264" t="s">
        <v>513</v>
      </c>
      <c r="N15" s="264" t="s">
        <v>513</v>
      </c>
      <c r="O15" s="264" t="s">
        <v>43</v>
      </c>
      <c r="P15" s="45" t="s">
        <v>122</v>
      </c>
      <c r="Q15" s="264"/>
      <c r="R15" s="336" t="s">
        <v>589</v>
      </c>
      <c r="S15" s="336" t="s">
        <v>590</v>
      </c>
      <c r="T15" s="336" t="s">
        <v>501</v>
      </c>
      <c r="U15" s="107">
        <v>45965</v>
      </c>
      <c r="V15" s="107">
        <v>45995</v>
      </c>
      <c r="W15" s="24">
        <f ca="1">V15-TODAY()</f>
        <v>-90</v>
      </c>
      <c r="X15" s="290" t="str">
        <f ca="1">IF(W15&gt;=25,"Vigente",IF(AND(W15&gt;=1,W15&lt;=25),"Por Vencer","Vencido"))</f>
        <v>Vencido</v>
      </c>
      <c r="Y15" s="10"/>
      <c r="Z15" s="2" t="s">
        <v>238</v>
      </c>
      <c r="AA15" s="336" t="s">
        <v>591</v>
      </c>
    </row>
    <row r="16" spans="1:40" ht="110.25" customHeight="1">
      <c r="A16" s="19">
        <v>12</v>
      </c>
      <c r="B16" s="23" t="s">
        <v>35</v>
      </c>
      <c r="C16" s="232" t="s">
        <v>592</v>
      </c>
      <c r="D16" s="135">
        <v>41515519</v>
      </c>
      <c r="E16" s="135">
        <v>0</v>
      </c>
      <c r="F16" s="6">
        <v>39</v>
      </c>
      <c r="G16" s="6" t="s">
        <v>71</v>
      </c>
      <c r="H16" s="6" t="s">
        <v>593</v>
      </c>
      <c r="I16" s="6">
        <v>2024</v>
      </c>
      <c r="J16" s="30">
        <v>45468</v>
      </c>
      <c r="K16" s="6" t="s">
        <v>41</v>
      </c>
      <c r="L16" s="6" t="s">
        <v>42</v>
      </c>
      <c r="M16" s="6" t="s">
        <v>594</v>
      </c>
      <c r="N16" s="6" t="s">
        <v>133</v>
      </c>
      <c r="O16" s="6" t="s">
        <v>43</v>
      </c>
      <c r="P16" s="6" t="s">
        <v>122</v>
      </c>
      <c r="Q16" s="6"/>
      <c r="R16" s="338" t="s">
        <v>595</v>
      </c>
      <c r="S16" s="6" t="s">
        <v>496</v>
      </c>
      <c r="T16" s="6" t="s">
        <v>562</v>
      </c>
      <c r="U16" s="30">
        <v>45814</v>
      </c>
      <c r="V16" s="30">
        <v>46179</v>
      </c>
      <c r="W16" s="24">
        <f ca="1">V16-TODAY()</f>
        <v>94</v>
      </c>
      <c r="X16" s="221" t="str">
        <f ca="1">IF(W16&gt;=25,"Vigente",IF(AND(W16&gt;=1,W16&lt;=25),"Por Vencer","Vencido"))</f>
        <v>Vigente</v>
      </c>
      <c r="Y16" s="338" t="s">
        <v>596</v>
      </c>
      <c r="Z16" s="338" t="s">
        <v>238</v>
      </c>
      <c r="AA16" s="338"/>
    </row>
    <row r="17" spans="1:205" ht="112.5" hidden="1" customHeight="1">
      <c r="A17" s="19">
        <v>13</v>
      </c>
      <c r="B17" s="149" t="s">
        <v>35</v>
      </c>
      <c r="C17" s="232" t="s">
        <v>597</v>
      </c>
      <c r="D17" s="140">
        <v>3978066</v>
      </c>
      <c r="E17" s="140">
        <v>6</v>
      </c>
      <c r="F17" s="6">
        <v>90</v>
      </c>
      <c r="G17" s="6" t="s">
        <v>125</v>
      </c>
      <c r="H17" s="6" t="s">
        <v>598</v>
      </c>
      <c r="I17" s="6">
        <v>2024</v>
      </c>
      <c r="J17" s="30">
        <v>45362</v>
      </c>
      <c r="K17" s="6" t="s">
        <v>132</v>
      </c>
      <c r="L17" s="24" t="s">
        <v>177</v>
      </c>
      <c r="M17" s="6" t="s">
        <v>178</v>
      </c>
      <c r="N17" s="6" t="s">
        <v>133</v>
      </c>
      <c r="O17" s="24" t="s">
        <v>43</v>
      </c>
      <c r="P17" s="6" t="s">
        <v>122</v>
      </c>
      <c r="Q17" s="6"/>
      <c r="R17" s="338" t="s">
        <v>599</v>
      </c>
      <c r="S17" s="338" t="s">
        <v>129</v>
      </c>
      <c r="T17" s="338" t="s">
        <v>543</v>
      </c>
      <c r="U17" s="33">
        <v>45803</v>
      </c>
      <c r="V17" s="33">
        <v>45803</v>
      </c>
      <c r="W17" s="24">
        <f ca="1">V17-TODAY()</f>
        <v>-282</v>
      </c>
      <c r="X17" s="308" t="str">
        <f ca="1">IF(W17&gt;=25,"Vigente",IF(AND(W17&gt;=1,W17&lt;=25),"Por Vencer","Vencido"))</f>
        <v>Vencido</v>
      </c>
      <c r="Y17" s="344" t="s">
        <v>600</v>
      </c>
      <c r="Z17" s="338" t="s">
        <v>601</v>
      </c>
      <c r="AA17" s="128" t="s">
        <v>602</v>
      </c>
    </row>
    <row r="18" spans="1:205" ht="143.25" hidden="1" customHeight="1">
      <c r="A18" s="19">
        <v>14</v>
      </c>
      <c r="B18" s="149" t="s">
        <v>35</v>
      </c>
      <c r="C18" s="232" t="s">
        <v>603</v>
      </c>
      <c r="D18" s="140">
        <v>5416009</v>
      </c>
      <c r="E18" s="140">
        <v>7</v>
      </c>
      <c r="F18" s="6">
        <v>92</v>
      </c>
      <c r="G18" s="6" t="s">
        <v>604</v>
      </c>
      <c r="H18" s="6" t="s">
        <v>605</v>
      </c>
      <c r="I18" s="6">
        <v>2024</v>
      </c>
      <c r="J18" s="30">
        <v>45468</v>
      </c>
      <c r="K18" s="6" t="s">
        <v>132</v>
      </c>
      <c r="L18" s="6" t="s">
        <v>42</v>
      </c>
      <c r="M18" s="30">
        <v>45576</v>
      </c>
      <c r="N18" s="6" t="s">
        <v>100</v>
      </c>
      <c r="O18" s="6" t="s">
        <v>43</v>
      </c>
      <c r="P18" s="6" t="s">
        <v>122</v>
      </c>
      <c r="Q18" s="6" t="s">
        <v>606</v>
      </c>
      <c r="R18" s="338" t="s">
        <v>607</v>
      </c>
      <c r="S18" s="6" t="s">
        <v>129</v>
      </c>
      <c r="T18" s="338" t="s">
        <v>543</v>
      </c>
      <c r="U18" s="33">
        <v>45957</v>
      </c>
      <c r="V18" s="33">
        <v>46018</v>
      </c>
      <c r="W18" s="24">
        <f ca="1">V18-TODAY()</f>
        <v>-67</v>
      </c>
      <c r="X18" s="289" t="str">
        <f ca="1">IF(W18&gt;=25,"Vigente",IF(AND(W18&gt;=1,W18&lt;=25),"Por Vencer","Vencido"))</f>
        <v>Vencido</v>
      </c>
      <c r="Y18" s="6" t="s">
        <v>608</v>
      </c>
      <c r="Z18" s="338" t="s">
        <v>238</v>
      </c>
      <c r="AA18" s="6" t="s">
        <v>609</v>
      </c>
      <c r="AB18" s="46"/>
    </row>
    <row r="19" spans="1:205" ht="133.5" hidden="1" customHeight="1">
      <c r="A19" s="19">
        <v>15</v>
      </c>
      <c r="B19" s="257" t="s">
        <v>35</v>
      </c>
      <c r="C19" s="258" t="s">
        <v>610</v>
      </c>
      <c r="D19" s="255">
        <v>11260849</v>
      </c>
      <c r="E19" s="255">
        <v>4</v>
      </c>
      <c r="F19" s="255">
        <v>55</v>
      </c>
      <c r="G19" s="255" t="s">
        <v>71</v>
      </c>
      <c r="H19" s="45" t="s">
        <v>303</v>
      </c>
      <c r="I19" s="6">
        <v>2025</v>
      </c>
      <c r="J19" s="256">
        <v>45653</v>
      </c>
      <c r="K19" s="45" t="s">
        <v>41</v>
      </c>
      <c r="L19" s="45" t="s">
        <v>121</v>
      </c>
      <c r="M19" s="256">
        <v>45681</v>
      </c>
      <c r="N19" s="45" t="s">
        <v>611</v>
      </c>
      <c r="O19" s="45" t="s">
        <v>43</v>
      </c>
      <c r="P19" s="45" t="s">
        <v>122</v>
      </c>
      <c r="Q19" s="45"/>
      <c r="R19" s="40" t="s">
        <v>612</v>
      </c>
      <c r="S19" s="6" t="s">
        <v>114</v>
      </c>
      <c r="T19" s="338" t="s">
        <v>501</v>
      </c>
      <c r="U19" s="30">
        <v>46057</v>
      </c>
      <c r="V19" s="30">
        <v>46085</v>
      </c>
      <c r="W19" s="24">
        <f ca="1">V19-TODAY()</f>
        <v>0</v>
      </c>
      <c r="X19" s="308" t="str">
        <f ca="1">IF(W19&gt;=25,"Vigente",IF(AND(W19&gt;=1,W19&lt;=25),"Por Vencer","Vencido"))</f>
        <v>Vencido</v>
      </c>
      <c r="Y19" s="338" t="s">
        <v>613</v>
      </c>
      <c r="Z19" s="338" t="s">
        <v>238</v>
      </c>
      <c r="AA19" s="336"/>
      <c r="AB19" s="2"/>
    </row>
    <row r="20" spans="1:205" s="12" customFormat="1" ht="149.25" hidden="1" customHeight="1">
      <c r="A20" s="19">
        <v>16</v>
      </c>
      <c r="B20" s="254" t="s">
        <v>35</v>
      </c>
      <c r="C20" s="258" t="s">
        <v>614</v>
      </c>
      <c r="D20" s="255">
        <v>7235709</v>
      </c>
      <c r="E20" s="255">
        <v>4</v>
      </c>
      <c r="F20" s="255">
        <v>69</v>
      </c>
      <c r="G20" s="255" t="s">
        <v>46</v>
      </c>
      <c r="H20" s="45" t="s">
        <v>615</v>
      </c>
      <c r="I20" s="6">
        <v>2023</v>
      </c>
      <c r="J20" s="256">
        <v>45002</v>
      </c>
      <c r="K20" s="45" t="s">
        <v>41</v>
      </c>
      <c r="L20" s="45" t="s">
        <v>42</v>
      </c>
      <c r="M20" s="256">
        <v>45366</v>
      </c>
      <c r="N20" s="45" t="s">
        <v>616</v>
      </c>
      <c r="O20" s="45" t="s">
        <v>43</v>
      </c>
      <c r="P20" s="45" t="s">
        <v>122</v>
      </c>
      <c r="Q20" s="45"/>
      <c r="R20" s="338" t="s">
        <v>617</v>
      </c>
      <c r="S20" s="6" t="s">
        <v>114</v>
      </c>
      <c r="T20" s="223" t="s">
        <v>618</v>
      </c>
      <c r="U20" s="33">
        <v>45817</v>
      </c>
      <c r="V20" s="33">
        <v>46000</v>
      </c>
      <c r="W20" s="24">
        <f ca="1">V20-TODAY()</f>
        <v>-85</v>
      </c>
      <c r="X20" s="222" t="str">
        <f ca="1">IF(W20&gt;=25,"Vigente",IF(AND(W20&gt;=1,W20&lt;=25),"Por Vencer","Vencido"))</f>
        <v>Vencido</v>
      </c>
      <c r="Y20" s="338" t="s">
        <v>619</v>
      </c>
      <c r="Z20" s="338" t="s">
        <v>158</v>
      </c>
      <c r="AA20" s="336"/>
      <c r="AB20"/>
      <c r="AC20"/>
      <c r="AD20"/>
      <c r="AE20"/>
      <c r="AF20"/>
      <c r="AG20"/>
      <c r="AH20"/>
      <c r="AI20"/>
      <c r="AJ20"/>
      <c r="AK20"/>
      <c r="AL20"/>
      <c r="AM20"/>
      <c r="AN20"/>
    </row>
    <row r="21" spans="1:205" ht="120" hidden="1" customHeight="1">
      <c r="A21" s="19">
        <v>17</v>
      </c>
      <c r="B21" s="23" t="s">
        <v>35</v>
      </c>
      <c r="C21" s="49" t="s">
        <v>620</v>
      </c>
      <c r="D21" s="135">
        <v>9625962</v>
      </c>
      <c r="E21" s="135" t="s">
        <v>50</v>
      </c>
      <c r="F21" s="6">
        <v>61</v>
      </c>
      <c r="G21" s="6" t="s">
        <v>125</v>
      </c>
      <c r="H21" s="6" t="s">
        <v>621</v>
      </c>
      <c r="I21" s="6">
        <v>2023</v>
      </c>
      <c r="J21" s="32">
        <v>45261</v>
      </c>
      <c r="K21" s="6" t="s">
        <v>622</v>
      </c>
      <c r="L21" s="6" t="s">
        <v>121</v>
      </c>
      <c r="M21" s="6" t="s">
        <v>105</v>
      </c>
      <c r="N21" s="6" t="s">
        <v>96</v>
      </c>
      <c r="O21" s="6" t="s">
        <v>43</v>
      </c>
      <c r="P21" s="6" t="s">
        <v>122</v>
      </c>
      <c r="Q21" s="6"/>
      <c r="R21" s="338" t="s">
        <v>623</v>
      </c>
      <c r="S21" s="6" t="s">
        <v>114</v>
      </c>
      <c r="T21" s="223" t="s">
        <v>624</v>
      </c>
      <c r="U21" s="33">
        <v>45763</v>
      </c>
      <c r="V21" s="33">
        <v>45946</v>
      </c>
      <c r="W21" s="24">
        <f ca="1">V21-TODAY()</f>
        <v>-139</v>
      </c>
      <c r="X21" s="307" t="str">
        <f ca="1">IF(W21&gt;=25,"Vigente",IF(AND(W21&gt;=1,W21&lt;=25),"Por Vencer","Vencido"))</f>
        <v>Vencido</v>
      </c>
      <c r="Y21" s="6" t="s">
        <v>625</v>
      </c>
      <c r="Z21" s="338" t="s">
        <v>158</v>
      </c>
      <c r="AA21" s="10"/>
    </row>
    <row r="22" spans="1:205" s="12" customFormat="1" ht="144" hidden="1" customHeight="1">
      <c r="A22" s="19">
        <v>18</v>
      </c>
      <c r="B22" s="23" t="s">
        <v>35</v>
      </c>
      <c r="C22" s="236" t="s">
        <v>626</v>
      </c>
      <c r="D22" s="155">
        <v>4389616</v>
      </c>
      <c r="E22" s="155">
        <v>4</v>
      </c>
      <c r="F22" s="24">
        <v>83</v>
      </c>
      <c r="G22" s="24" t="s">
        <v>46</v>
      </c>
      <c r="H22" s="24" t="s">
        <v>627</v>
      </c>
      <c r="I22" s="24">
        <v>2023</v>
      </c>
      <c r="J22" s="33">
        <v>45229</v>
      </c>
      <c r="K22" s="24" t="s">
        <v>41</v>
      </c>
      <c r="L22" s="24" t="s">
        <v>42</v>
      </c>
      <c r="M22" s="24" t="s">
        <v>628</v>
      </c>
      <c r="N22" s="24" t="s">
        <v>96</v>
      </c>
      <c r="O22" s="24" t="s">
        <v>43</v>
      </c>
      <c r="P22" s="6" t="s">
        <v>122</v>
      </c>
      <c r="Q22" s="6"/>
      <c r="R22" s="338" t="s">
        <v>629</v>
      </c>
      <c r="S22" s="6" t="s">
        <v>630</v>
      </c>
      <c r="T22" s="338" t="s">
        <v>543</v>
      </c>
      <c r="U22" s="33">
        <v>45817</v>
      </c>
      <c r="V22" s="33">
        <v>45833</v>
      </c>
      <c r="W22" s="24">
        <f ca="1">V22-TODAY()</f>
        <v>-252</v>
      </c>
      <c r="X22" s="308" t="str">
        <f ca="1">IF(W22&gt;=25,"Vigente",IF(AND(W22&gt;=1,W22&lt;=25),"Por Vencer","Vencido"))</f>
        <v>Vencido</v>
      </c>
      <c r="Y22" s="344" t="s">
        <v>631</v>
      </c>
      <c r="Z22" s="338" t="s">
        <v>238</v>
      </c>
      <c r="AA22" s="338"/>
      <c r="AB22" s="354" t="s">
        <v>632</v>
      </c>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row>
    <row r="23" spans="1:205" ht="126" hidden="1" customHeight="1">
      <c r="A23" s="19">
        <v>19</v>
      </c>
      <c r="B23" s="149" t="s">
        <v>35</v>
      </c>
      <c r="C23" s="234" t="s">
        <v>633</v>
      </c>
      <c r="D23" s="137">
        <v>5483665</v>
      </c>
      <c r="E23" s="137">
        <v>1</v>
      </c>
      <c r="F23" s="2">
        <v>79</v>
      </c>
      <c r="G23" s="2" t="s">
        <v>604</v>
      </c>
      <c r="H23" s="10" t="s">
        <v>634</v>
      </c>
      <c r="I23" s="2"/>
      <c r="J23" s="2"/>
      <c r="K23" s="341" t="s">
        <v>41</v>
      </c>
      <c r="L23" s="341" t="s">
        <v>512</v>
      </c>
      <c r="M23" s="341" t="s">
        <v>513</v>
      </c>
      <c r="N23" s="341" t="s">
        <v>513</v>
      </c>
      <c r="O23" s="24" t="s">
        <v>43</v>
      </c>
      <c r="P23" s="6" t="s">
        <v>122</v>
      </c>
      <c r="Q23" s="2"/>
      <c r="R23" s="10" t="s">
        <v>635</v>
      </c>
      <c r="S23" s="10" t="s">
        <v>114</v>
      </c>
      <c r="T23" s="336" t="s">
        <v>501</v>
      </c>
      <c r="U23" s="107">
        <v>45889</v>
      </c>
      <c r="V23" s="107">
        <v>45981</v>
      </c>
      <c r="W23" s="24">
        <f ca="1">V23-TODAY()</f>
        <v>-104</v>
      </c>
      <c r="X23" s="308" t="str">
        <f ca="1">IF(W23&gt;=25,"Vigente",IF(AND(W23&gt;=1,W23&lt;=25),"Por Vencer","Vencido"))</f>
        <v>Vencido</v>
      </c>
      <c r="Y23" s="2"/>
      <c r="Z23" s="336" t="s">
        <v>238</v>
      </c>
      <c r="AA23" s="10" t="s">
        <v>636</v>
      </c>
    </row>
    <row r="24" spans="1:205" ht="140.25" hidden="1" customHeight="1">
      <c r="A24" s="19">
        <v>20</v>
      </c>
      <c r="B24" s="21" t="s">
        <v>35</v>
      </c>
      <c r="C24" s="236" t="s">
        <v>637</v>
      </c>
      <c r="D24" s="155">
        <v>7828314</v>
      </c>
      <c r="E24" s="155">
        <v>9</v>
      </c>
      <c r="F24" s="24">
        <v>64</v>
      </c>
      <c r="G24" s="24" t="s">
        <v>57</v>
      </c>
      <c r="H24" s="24" t="s">
        <v>638</v>
      </c>
      <c r="I24" s="24">
        <v>2019</v>
      </c>
      <c r="J24" s="33">
        <v>43615</v>
      </c>
      <c r="K24" s="24" t="s">
        <v>54</v>
      </c>
      <c r="L24" s="24" t="s">
        <v>121</v>
      </c>
      <c r="M24" s="33">
        <v>45275</v>
      </c>
      <c r="N24" s="24" t="s">
        <v>639</v>
      </c>
      <c r="O24" s="24" t="s">
        <v>640</v>
      </c>
      <c r="P24" s="6" t="s">
        <v>106</v>
      </c>
      <c r="Q24" s="6" t="s">
        <v>641</v>
      </c>
      <c r="R24" s="474" t="s">
        <v>642</v>
      </c>
      <c r="S24" s="6" t="s">
        <v>643</v>
      </c>
      <c r="T24" s="338" t="s">
        <v>501</v>
      </c>
      <c r="U24" s="33">
        <v>46064</v>
      </c>
      <c r="V24" s="33">
        <v>46092</v>
      </c>
      <c r="W24" s="24">
        <f ca="1">V24-TODAY()</f>
        <v>7</v>
      </c>
      <c r="X24" s="308" t="str">
        <f ca="1">IF(W24&gt;=25,"Vigente",IF(AND(W24&gt;=1,W24&lt;=25),"Por Vencer","Vencido"))</f>
        <v>Por Vencer</v>
      </c>
      <c r="Y24" s="338" t="s">
        <v>644</v>
      </c>
      <c r="Z24" s="338" t="s">
        <v>374</v>
      </c>
      <c r="AA24" s="6" t="s">
        <v>645</v>
      </c>
    </row>
    <row r="25" spans="1:205" ht="137.25" hidden="1" customHeight="1">
      <c r="A25" s="19">
        <v>22</v>
      </c>
      <c r="B25" s="21" t="s">
        <v>35</v>
      </c>
      <c r="C25" s="232" t="s">
        <v>646</v>
      </c>
      <c r="D25" s="135">
        <v>22890880</v>
      </c>
      <c r="E25" s="135">
        <v>0</v>
      </c>
      <c r="F25" s="6">
        <v>15</v>
      </c>
      <c r="G25" s="6" t="s">
        <v>647</v>
      </c>
      <c r="H25" s="6" t="s">
        <v>648</v>
      </c>
      <c r="I25" s="6">
        <v>2024</v>
      </c>
      <c r="J25" s="30">
        <v>45398</v>
      </c>
      <c r="K25" s="6" t="s">
        <v>132</v>
      </c>
      <c r="L25" s="6" t="s">
        <v>121</v>
      </c>
      <c r="M25" s="6" t="s">
        <v>178</v>
      </c>
      <c r="N25" s="6" t="s">
        <v>208</v>
      </c>
      <c r="O25" s="6" t="s">
        <v>649</v>
      </c>
      <c r="P25" s="6" t="s">
        <v>122</v>
      </c>
      <c r="Q25" s="6"/>
      <c r="R25" s="338" t="s">
        <v>650</v>
      </c>
      <c r="S25" s="6" t="s">
        <v>114</v>
      </c>
      <c r="T25" s="223" t="s">
        <v>651</v>
      </c>
      <c r="U25" s="33">
        <v>45854</v>
      </c>
      <c r="V25" s="33">
        <v>45885</v>
      </c>
      <c r="W25" s="24">
        <f ca="1">V25-TODAY()</f>
        <v>-200</v>
      </c>
      <c r="X25" s="307" t="str">
        <f ca="1">IF(W25&gt;=25,"Vigente",IF(AND(W25&gt;=1,W25&lt;=25),"Por Vencer","Vencido"))</f>
        <v>Vencido</v>
      </c>
      <c r="Y25" s="338" t="s">
        <v>652</v>
      </c>
      <c r="Z25" s="338" t="s">
        <v>158</v>
      </c>
      <c r="AA25" s="336" t="s">
        <v>653</v>
      </c>
    </row>
    <row r="26" spans="1:205" s="12" customFormat="1" ht="108" customHeight="1">
      <c r="A26" s="19">
        <v>23</v>
      </c>
      <c r="B26" s="149" t="s">
        <v>35</v>
      </c>
      <c r="C26" s="232" t="s">
        <v>654</v>
      </c>
      <c r="D26" s="140">
        <v>6589280</v>
      </c>
      <c r="E26" s="140">
        <v>4</v>
      </c>
      <c r="F26" s="6">
        <v>76</v>
      </c>
      <c r="G26" s="6" t="s">
        <v>46</v>
      </c>
      <c r="H26" s="6" t="s">
        <v>655</v>
      </c>
      <c r="I26" s="6">
        <v>2021</v>
      </c>
      <c r="J26" s="30">
        <v>45253</v>
      </c>
      <c r="K26" s="6" t="s">
        <v>41</v>
      </c>
      <c r="L26" s="6" t="s">
        <v>42</v>
      </c>
      <c r="M26" s="6" t="s">
        <v>105</v>
      </c>
      <c r="N26" s="6" t="s">
        <v>96</v>
      </c>
      <c r="O26" s="6" t="s">
        <v>43</v>
      </c>
      <c r="P26" s="6" t="s">
        <v>353</v>
      </c>
      <c r="Q26" s="6"/>
      <c r="R26" s="338" t="s">
        <v>656</v>
      </c>
      <c r="S26" s="6" t="s">
        <v>561</v>
      </c>
      <c r="T26" s="6" t="s">
        <v>478</v>
      </c>
      <c r="U26" s="33">
        <v>45811</v>
      </c>
      <c r="V26" s="33">
        <v>45814</v>
      </c>
      <c r="W26" s="24">
        <f ca="1">V26-TODAY()</f>
        <v>-271</v>
      </c>
      <c r="X26" s="307" t="str">
        <f ca="1">IF(W26&gt;=25,"Vigente",IF(AND(W26&gt;=1,W26&lt;=25),"Por Vencer","Vencido"))</f>
        <v>Vencido</v>
      </c>
      <c r="Y26" s="30"/>
      <c r="Z26" s="338" t="s">
        <v>261</v>
      </c>
      <c r="AA26" s="336" t="s">
        <v>657</v>
      </c>
      <c r="AB26" s="60"/>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row>
    <row r="27" spans="1:205" ht="130.5" hidden="1" customHeight="1">
      <c r="A27" s="19">
        <v>24</v>
      </c>
      <c r="B27" s="23" t="s">
        <v>35</v>
      </c>
      <c r="C27" s="237" t="s">
        <v>658</v>
      </c>
      <c r="D27" s="157">
        <v>7486807</v>
      </c>
      <c r="E27" s="155" t="s">
        <v>50</v>
      </c>
      <c r="F27" s="24">
        <v>70</v>
      </c>
      <c r="G27" s="24" t="s">
        <v>46</v>
      </c>
      <c r="H27" s="22" t="s">
        <v>659</v>
      </c>
      <c r="I27" s="24">
        <v>2022</v>
      </c>
      <c r="J27" s="33">
        <v>44631</v>
      </c>
      <c r="K27" s="24" t="s">
        <v>41</v>
      </c>
      <c r="L27" s="24" t="s">
        <v>42</v>
      </c>
      <c r="M27" s="24" t="s">
        <v>424</v>
      </c>
      <c r="N27" s="24" t="s">
        <v>96</v>
      </c>
      <c r="O27" s="24" t="s">
        <v>43</v>
      </c>
      <c r="P27" s="6" t="s">
        <v>122</v>
      </c>
      <c r="Q27" s="6"/>
      <c r="R27" s="355" t="s">
        <v>660</v>
      </c>
      <c r="S27" s="6" t="s">
        <v>186</v>
      </c>
      <c r="T27" s="338" t="s">
        <v>543</v>
      </c>
      <c r="U27" s="33">
        <v>45664</v>
      </c>
      <c r="V27" s="33">
        <v>45845</v>
      </c>
      <c r="W27" s="24">
        <f ca="1">V27-TODAY()</f>
        <v>-240</v>
      </c>
      <c r="X27" s="308" t="str">
        <f ca="1">IF(W27&gt;=25,"Vigente",IF(AND(W27&gt;=1,W27&lt;=25),"Por Vencer","Vencido"))</f>
        <v>Vencido</v>
      </c>
      <c r="Y27" s="6" t="s">
        <v>661</v>
      </c>
      <c r="Z27" s="338" t="s">
        <v>158</v>
      </c>
      <c r="AA27" s="129" t="s">
        <v>662</v>
      </c>
      <c r="AB27" s="293"/>
    </row>
    <row r="28" spans="1:205" ht="138" hidden="1" customHeight="1">
      <c r="A28" s="19">
        <v>25</v>
      </c>
      <c r="B28" s="149" t="s">
        <v>35</v>
      </c>
      <c r="C28" s="49" t="s">
        <v>663</v>
      </c>
      <c r="D28" s="140">
        <v>18234997</v>
      </c>
      <c r="E28" s="140">
        <v>6</v>
      </c>
      <c r="F28" s="6">
        <v>31</v>
      </c>
      <c r="G28" s="6" t="s">
        <v>125</v>
      </c>
      <c r="H28" s="6" t="s">
        <v>664</v>
      </c>
      <c r="I28" s="6">
        <v>2023</v>
      </c>
      <c r="J28" s="30">
        <v>45288</v>
      </c>
      <c r="K28" s="6" t="s">
        <v>132</v>
      </c>
      <c r="L28" s="6" t="s">
        <v>42</v>
      </c>
      <c r="M28" s="6" t="s">
        <v>105</v>
      </c>
      <c r="N28" s="6" t="s">
        <v>133</v>
      </c>
      <c r="O28" s="6" t="s">
        <v>43</v>
      </c>
      <c r="P28" s="6" t="s">
        <v>122</v>
      </c>
      <c r="Q28" s="6"/>
      <c r="R28" s="338" t="s">
        <v>665</v>
      </c>
      <c r="S28" s="338" t="s">
        <v>186</v>
      </c>
      <c r="T28" s="338" t="s">
        <v>543</v>
      </c>
      <c r="U28" s="33">
        <v>45902</v>
      </c>
      <c r="V28" s="33">
        <v>46083</v>
      </c>
      <c r="W28" s="24">
        <f ca="1">V28-TODAY()</f>
        <v>-2</v>
      </c>
      <c r="X28" s="289" t="str">
        <f ca="1">IF(W28&gt;=25,"Vigente",IF(AND(W28&gt;=1,W28&lt;=25),"Por Vencer","Vencido"))</f>
        <v>Vencido</v>
      </c>
      <c r="Y28" s="32" t="s">
        <v>666</v>
      </c>
      <c r="Z28" s="338" t="s">
        <v>238</v>
      </c>
      <c r="AA28" s="10" t="s">
        <v>667</v>
      </c>
      <c r="AB28" s="60"/>
    </row>
    <row r="29" spans="1:205" ht="110.25" hidden="1" customHeight="1">
      <c r="A29" s="19">
        <v>26</v>
      </c>
      <c r="B29" s="350" t="s">
        <v>564</v>
      </c>
      <c r="C29" s="235" t="s">
        <v>668</v>
      </c>
      <c r="D29" s="345">
        <v>18299534</v>
      </c>
      <c r="E29" s="137">
        <v>7</v>
      </c>
      <c r="F29" s="2">
        <v>32</v>
      </c>
      <c r="G29" s="6" t="s">
        <v>125</v>
      </c>
      <c r="H29" s="336" t="s">
        <v>669</v>
      </c>
      <c r="I29" s="2"/>
      <c r="J29" s="2"/>
      <c r="K29" s="2"/>
      <c r="L29" s="2"/>
      <c r="M29" s="2"/>
      <c r="N29" s="2"/>
      <c r="O29" s="6" t="s">
        <v>43</v>
      </c>
      <c r="P29" s="6" t="s">
        <v>122</v>
      </c>
      <c r="Q29" s="2"/>
      <c r="R29" s="336" t="s">
        <v>670</v>
      </c>
      <c r="S29" s="336" t="s">
        <v>114</v>
      </c>
      <c r="T29" s="336" t="s">
        <v>501</v>
      </c>
      <c r="U29" s="107">
        <v>45834</v>
      </c>
      <c r="V29" s="107">
        <v>46017</v>
      </c>
      <c r="W29" s="2">
        <f ca="1">V29-TODAY()</f>
        <v>-68</v>
      </c>
      <c r="X29" s="307" t="str">
        <f ca="1">IF(W29&gt;=25,"Vigente",IF(AND(W29&gt;=1,W29&lt;=25),"Por Vencer","Vencido"))</f>
        <v>Vencido</v>
      </c>
      <c r="Y29" s="336" t="s">
        <v>671</v>
      </c>
      <c r="Z29" s="338" t="s">
        <v>238</v>
      </c>
      <c r="AA29" s="10" t="s">
        <v>672</v>
      </c>
    </row>
    <row r="30" spans="1:205" ht="116.25" hidden="1" customHeight="1">
      <c r="A30" s="19">
        <v>27</v>
      </c>
      <c r="B30" s="149" t="s">
        <v>35</v>
      </c>
      <c r="C30" s="236" t="s">
        <v>673</v>
      </c>
      <c r="D30" s="148">
        <v>10145453</v>
      </c>
      <c r="E30" s="148">
        <v>3</v>
      </c>
      <c r="F30" s="24">
        <v>57</v>
      </c>
      <c r="G30" s="24" t="s">
        <v>57</v>
      </c>
      <c r="H30" s="24" t="s">
        <v>674</v>
      </c>
      <c r="I30" s="24">
        <v>2021</v>
      </c>
      <c r="J30" s="33">
        <v>44483</v>
      </c>
      <c r="K30" s="33" t="s">
        <v>41</v>
      </c>
      <c r="L30" s="24" t="s">
        <v>42</v>
      </c>
      <c r="M30" s="24" t="s">
        <v>105</v>
      </c>
      <c r="N30" s="24" t="s">
        <v>96</v>
      </c>
      <c r="O30" s="24" t="s">
        <v>43</v>
      </c>
      <c r="P30" s="6" t="s">
        <v>106</v>
      </c>
      <c r="Q30" s="6" t="s">
        <v>107</v>
      </c>
      <c r="R30" s="338" t="s">
        <v>675</v>
      </c>
      <c r="S30" s="6" t="s">
        <v>630</v>
      </c>
      <c r="T30" s="6" t="s">
        <v>676</v>
      </c>
      <c r="U30" s="33">
        <v>45453</v>
      </c>
      <c r="V30" s="33">
        <v>45545</v>
      </c>
      <c r="W30" s="24">
        <f ca="1">V30-TODAY()</f>
        <v>-540</v>
      </c>
      <c r="X30" s="307" t="str">
        <f ca="1">IF(W30&gt;=25,"Vigente",IF(AND(W30&gt;=1,W30&lt;=25),"Por Vencer","Vencido"))</f>
        <v>Vencido</v>
      </c>
      <c r="Y30" s="30" t="s">
        <v>677</v>
      </c>
      <c r="Z30" s="338" t="s">
        <v>158</v>
      </c>
      <c r="AA30" s="356" t="s">
        <v>678</v>
      </c>
      <c r="AB30" s="219"/>
    </row>
    <row r="31" spans="1:205" ht="111.75" hidden="1" customHeight="1">
      <c r="A31" s="19">
        <v>28</v>
      </c>
      <c r="B31" s="23" t="s">
        <v>35</v>
      </c>
      <c r="C31" s="232" t="s">
        <v>679</v>
      </c>
      <c r="D31" s="135">
        <v>5060079</v>
      </c>
      <c r="E31" s="135">
        <v>3</v>
      </c>
      <c r="F31" s="6">
        <v>81</v>
      </c>
      <c r="G31" s="6" t="s">
        <v>71</v>
      </c>
      <c r="H31" s="6" t="s">
        <v>680</v>
      </c>
      <c r="I31" s="6">
        <v>2024</v>
      </c>
      <c r="J31" s="30">
        <v>45631</v>
      </c>
      <c r="K31" s="6" t="s">
        <v>41</v>
      </c>
      <c r="L31" s="6" t="s">
        <v>42</v>
      </c>
      <c r="M31" s="30">
        <v>45667</v>
      </c>
      <c r="N31" s="6" t="s">
        <v>681</v>
      </c>
      <c r="O31" s="6" t="s">
        <v>43</v>
      </c>
      <c r="P31" s="6" t="s">
        <v>122</v>
      </c>
      <c r="Q31" s="6"/>
      <c r="R31" s="338" t="s">
        <v>682</v>
      </c>
      <c r="S31" s="6" t="s">
        <v>630</v>
      </c>
      <c r="T31" s="336" t="s">
        <v>501</v>
      </c>
      <c r="U31" s="30">
        <v>45932</v>
      </c>
      <c r="V31" s="30">
        <v>46024</v>
      </c>
      <c r="W31" s="24">
        <f ca="1">V31-TODAY()</f>
        <v>-61</v>
      </c>
      <c r="X31" s="307" t="str">
        <f ca="1">IF(W31&gt;=25,"Vigente",IF(AND(W31&gt;=1,W31&lt;=25),"Por Vencer","Vencido"))</f>
        <v>Vencido</v>
      </c>
      <c r="Y31" s="338" t="s">
        <v>683</v>
      </c>
      <c r="Z31" s="338" t="s">
        <v>238</v>
      </c>
      <c r="AA31" s="10"/>
      <c r="AB31" s="60"/>
    </row>
    <row r="32" spans="1:205" ht="126.75" hidden="1" customHeight="1">
      <c r="A32" s="19">
        <v>29</v>
      </c>
      <c r="B32" s="149" t="s">
        <v>35</v>
      </c>
      <c r="C32" s="236" t="s">
        <v>684</v>
      </c>
      <c r="D32" s="148">
        <v>4354079</v>
      </c>
      <c r="E32" s="148">
        <v>3</v>
      </c>
      <c r="F32" s="24">
        <v>88</v>
      </c>
      <c r="G32" s="24" t="s">
        <v>46</v>
      </c>
      <c r="H32" s="24" t="s">
        <v>685</v>
      </c>
      <c r="I32" s="24">
        <v>2020</v>
      </c>
      <c r="J32" s="33">
        <v>43902</v>
      </c>
      <c r="K32" s="24" t="s">
        <v>41</v>
      </c>
      <c r="L32" s="24" t="s">
        <v>42</v>
      </c>
      <c r="M32" s="24" t="s">
        <v>105</v>
      </c>
      <c r="N32" s="24" t="s">
        <v>96</v>
      </c>
      <c r="O32" s="24" t="s">
        <v>43</v>
      </c>
      <c r="P32" s="6" t="s">
        <v>106</v>
      </c>
      <c r="Q32" s="6" t="s">
        <v>107</v>
      </c>
      <c r="R32" s="338" t="s">
        <v>686</v>
      </c>
      <c r="S32" s="6" t="s">
        <v>186</v>
      </c>
      <c r="T32" s="357" t="s">
        <v>687</v>
      </c>
      <c r="U32" s="33">
        <v>45832</v>
      </c>
      <c r="V32" s="33">
        <v>45835</v>
      </c>
      <c r="W32" s="24">
        <f ca="1">V32-TODAY()</f>
        <v>-250</v>
      </c>
      <c r="X32" s="307" t="str">
        <f ca="1">IF(W32&gt;=25,"Vigente",IF(AND(W32&gt;=1,W32&lt;=25),"Por Vencer","Vencido"))</f>
        <v>Vencido</v>
      </c>
      <c r="Y32" s="338" t="s">
        <v>688</v>
      </c>
      <c r="Z32" s="338" t="s">
        <v>158</v>
      </c>
      <c r="AA32" s="10"/>
    </row>
    <row r="33" spans="1:647" ht="112.5" hidden="1" customHeight="1">
      <c r="A33" s="19">
        <v>30</v>
      </c>
      <c r="B33" s="257" t="s">
        <v>35</v>
      </c>
      <c r="C33" s="45" t="s">
        <v>689</v>
      </c>
      <c r="D33" s="255">
        <v>4591814</v>
      </c>
      <c r="E33" s="255">
        <v>9</v>
      </c>
      <c r="F33" s="255">
        <v>83</v>
      </c>
      <c r="G33" s="255" t="s">
        <v>71</v>
      </c>
      <c r="H33" s="45" t="s">
        <v>655</v>
      </c>
      <c r="I33" s="6">
        <v>2024</v>
      </c>
      <c r="J33" s="259">
        <v>45586</v>
      </c>
      <c r="K33" s="45" t="s">
        <v>690</v>
      </c>
      <c r="L33" s="45" t="s">
        <v>425</v>
      </c>
      <c r="M33" s="256">
        <v>46059</v>
      </c>
      <c r="N33" s="45" t="s">
        <v>691</v>
      </c>
      <c r="O33" s="45" t="s">
        <v>164</v>
      </c>
      <c r="P33" s="45" t="s">
        <v>122</v>
      </c>
      <c r="Q33" s="45"/>
      <c r="R33" s="338" t="s">
        <v>692</v>
      </c>
      <c r="S33" s="6" t="s">
        <v>114</v>
      </c>
      <c r="T33" s="338" t="s">
        <v>693</v>
      </c>
      <c r="U33" s="30">
        <v>46050</v>
      </c>
      <c r="V33" s="30">
        <v>46081</v>
      </c>
      <c r="W33" s="24">
        <f ca="1">V33-TODAY()</f>
        <v>-4</v>
      </c>
      <c r="X33" s="307" t="str">
        <f ca="1">IF(W33&gt;=25,"Vigente",IF(AND(W33&gt;=1,W33&lt;=25),"Por Vencer","Vencido"))</f>
        <v>Vencido</v>
      </c>
      <c r="Y33" s="338" t="s">
        <v>694</v>
      </c>
      <c r="Z33" s="338" t="s">
        <v>238</v>
      </c>
      <c r="AA33" s="249" t="s">
        <v>695</v>
      </c>
    </row>
    <row r="34" spans="1:647" ht="109.5" hidden="1" customHeight="1">
      <c r="A34" s="19">
        <v>31</v>
      </c>
      <c r="B34" s="149" t="s">
        <v>35</v>
      </c>
      <c r="C34" s="234" t="s">
        <v>696</v>
      </c>
      <c r="D34" s="137">
        <v>7568963</v>
      </c>
      <c r="E34" s="137">
        <v>2</v>
      </c>
      <c r="F34" s="2">
        <v>70</v>
      </c>
      <c r="G34" s="6" t="s">
        <v>71</v>
      </c>
      <c r="H34" s="336" t="s">
        <v>697</v>
      </c>
      <c r="I34" s="2"/>
      <c r="J34" s="2"/>
      <c r="K34" s="2"/>
      <c r="L34" s="2"/>
      <c r="M34" s="2"/>
      <c r="N34" s="2"/>
      <c r="O34" s="6" t="s">
        <v>43</v>
      </c>
      <c r="P34" s="6" t="s">
        <v>122</v>
      </c>
      <c r="Q34" s="2"/>
      <c r="R34" s="336" t="s">
        <v>698</v>
      </c>
      <c r="S34" s="6" t="s">
        <v>114</v>
      </c>
      <c r="T34" s="338" t="s">
        <v>693</v>
      </c>
      <c r="U34" s="107">
        <v>45992</v>
      </c>
      <c r="V34" s="107">
        <v>46023</v>
      </c>
      <c r="W34" s="6">
        <f ca="1">V34-TODAY()</f>
        <v>-62</v>
      </c>
      <c r="X34" s="288" t="str">
        <f ca="1">IF(W34&gt;=25,"Vigente",IF(AND(W34&gt;=1,W34&lt;=25),"Por Vencer","Vencido"))</f>
        <v>Vencido</v>
      </c>
      <c r="Y34" s="10" t="s">
        <v>699</v>
      </c>
      <c r="Z34" s="338" t="s">
        <v>261</v>
      </c>
      <c r="AA34" s="10" t="s">
        <v>700</v>
      </c>
    </row>
    <row r="35" spans="1:647" s="12" customFormat="1" ht="114" hidden="1" customHeight="1">
      <c r="A35" s="19">
        <v>32</v>
      </c>
      <c r="B35" s="254" t="s">
        <v>35</v>
      </c>
      <c r="C35" s="253" t="s">
        <v>701</v>
      </c>
      <c r="D35" s="253">
        <v>4566422</v>
      </c>
      <c r="E35" s="253">
        <v>8</v>
      </c>
      <c r="F35" s="261">
        <v>81</v>
      </c>
      <c r="G35" s="261" t="s">
        <v>71</v>
      </c>
      <c r="H35" s="253" t="s">
        <v>702</v>
      </c>
      <c r="I35" s="318">
        <v>2024</v>
      </c>
      <c r="J35" s="253" t="s">
        <v>703</v>
      </c>
      <c r="K35" s="253" t="s">
        <v>41</v>
      </c>
      <c r="L35" s="253" t="s">
        <v>704</v>
      </c>
      <c r="M35" s="264" t="s">
        <v>513</v>
      </c>
      <c r="N35" s="264" t="s">
        <v>513</v>
      </c>
      <c r="O35" s="253" t="s">
        <v>43</v>
      </c>
      <c r="P35" s="253" t="s">
        <v>122</v>
      </c>
      <c r="Q35" s="253"/>
      <c r="R35" s="10" t="s">
        <v>705</v>
      </c>
      <c r="S35" s="10" t="s">
        <v>114</v>
      </c>
      <c r="T35" s="336" t="s">
        <v>501</v>
      </c>
      <c r="U35" s="107">
        <v>45957</v>
      </c>
      <c r="V35" s="107">
        <v>45988</v>
      </c>
      <c r="W35" s="24">
        <f ca="1">V35-TODAY()</f>
        <v>-97</v>
      </c>
      <c r="X35" s="308" t="str">
        <f ca="1">IF(W35&gt;=25,"Vigente",IF(AND(W35&gt;=1,W35&lt;=25),"Por Vencer","Vencido"))</f>
        <v>Vencido</v>
      </c>
      <c r="Y35" s="2"/>
      <c r="Z35" s="336" t="s">
        <v>238</v>
      </c>
      <c r="AA35" s="10" t="s">
        <v>706</v>
      </c>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row>
    <row r="36" spans="1:647" ht="126.75" customHeight="1">
      <c r="A36" s="19">
        <v>33</v>
      </c>
      <c r="B36" s="149" t="s">
        <v>35</v>
      </c>
      <c r="C36" s="234" t="s">
        <v>707</v>
      </c>
      <c r="D36" s="137">
        <v>7346224</v>
      </c>
      <c r="E36" s="137" t="s">
        <v>50</v>
      </c>
      <c r="F36" s="2">
        <v>75</v>
      </c>
      <c r="G36" s="10" t="s">
        <v>708</v>
      </c>
      <c r="H36" s="10" t="s">
        <v>709</v>
      </c>
      <c r="I36" s="2"/>
      <c r="J36" s="2"/>
      <c r="K36" s="2"/>
      <c r="L36" s="2"/>
      <c r="M36" s="2"/>
      <c r="N36" s="2"/>
      <c r="O36" s="6" t="s">
        <v>43</v>
      </c>
      <c r="P36" s="2" t="s">
        <v>122</v>
      </c>
      <c r="Q36" s="2"/>
      <c r="R36" s="10" t="s">
        <v>710</v>
      </c>
      <c r="S36" s="10" t="s">
        <v>711</v>
      </c>
      <c r="T36" s="341" t="s">
        <v>478</v>
      </c>
      <c r="U36" s="189">
        <v>46365</v>
      </c>
      <c r="V36" s="107">
        <v>46015</v>
      </c>
      <c r="W36" s="30">
        <v>46182</v>
      </c>
      <c r="X36" s="221" t="str">
        <f t="shared" ref="X36:X37" si="0">IF(W36&gt;=25,"Vigente",IF(AND(W36&gt;=1,W36&lt;=25),"Por Vencer","Vencido"))</f>
        <v>Vigente</v>
      </c>
      <c r="Y36" s="2" t="s">
        <v>712</v>
      </c>
      <c r="Z36" s="338" t="s">
        <v>292</v>
      </c>
      <c r="AA36" s="10"/>
    </row>
    <row r="37" spans="1:647" ht="116.25" customHeight="1">
      <c r="A37" s="19">
        <v>34</v>
      </c>
      <c r="B37" s="149" t="s">
        <v>35</v>
      </c>
      <c r="C37" s="232" t="s">
        <v>713</v>
      </c>
      <c r="D37" s="140">
        <v>4864087</v>
      </c>
      <c r="E37" s="140">
        <v>7</v>
      </c>
      <c r="F37" s="6">
        <v>83</v>
      </c>
      <c r="G37" s="6" t="s">
        <v>71</v>
      </c>
      <c r="H37" s="6" t="s">
        <v>714</v>
      </c>
      <c r="I37" s="6">
        <v>2024</v>
      </c>
      <c r="J37" s="30">
        <v>45468</v>
      </c>
      <c r="K37" s="6" t="s">
        <v>41</v>
      </c>
      <c r="L37" s="6" t="s">
        <v>177</v>
      </c>
      <c r="M37" s="6" t="s">
        <v>594</v>
      </c>
      <c r="N37" s="6" t="s">
        <v>133</v>
      </c>
      <c r="O37" s="6" t="s">
        <v>43</v>
      </c>
      <c r="P37" s="6" t="s">
        <v>122</v>
      </c>
      <c r="Q37" s="6"/>
      <c r="R37" s="338" t="s">
        <v>715</v>
      </c>
      <c r="S37" s="338" t="s">
        <v>496</v>
      </c>
      <c r="T37" s="338" t="s">
        <v>478</v>
      </c>
      <c r="U37" s="30">
        <v>45946</v>
      </c>
      <c r="V37" s="30">
        <v>46311</v>
      </c>
      <c r="W37" s="24">
        <f ca="1">V37-TODAY()</f>
        <v>226</v>
      </c>
      <c r="X37" s="221" t="str">
        <f t="shared" ca="1" si="0"/>
        <v>Vigente</v>
      </c>
      <c r="Y37" s="338" t="s">
        <v>716</v>
      </c>
      <c r="Z37" s="338" t="s">
        <v>238</v>
      </c>
      <c r="AA37" s="10"/>
      <c r="AB37" s="60"/>
      <c r="AE37" t="s">
        <v>717</v>
      </c>
    </row>
    <row r="38" spans="1:647" ht="119.25" hidden="1" customHeight="1">
      <c r="A38" s="19">
        <v>35</v>
      </c>
      <c r="B38" s="149" t="s">
        <v>35</v>
      </c>
      <c r="C38" s="232" t="s">
        <v>718</v>
      </c>
      <c r="D38" s="167">
        <v>5959200</v>
      </c>
      <c r="E38" s="167">
        <v>9</v>
      </c>
      <c r="F38" s="161">
        <v>74</v>
      </c>
      <c r="G38" s="161" t="s">
        <v>141</v>
      </c>
      <c r="H38" s="161" t="s">
        <v>183</v>
      </c>
      <c r="I38" s="161">
        <v>2022</v>
      </c>
      <c r="J38" s="162">
        <v>44824</v>
      </c>
      <c r="K38" s="161" t="s">
        <v>54</v>
      </c>
      <c r="L38" s="161" t="s">
        <v>42</v>
      </c>
      <c r="M38" s="162">
        <v>45212</v>
      </c>
      <c r="N38" s="161" t="s">
        <v>81</v>
      </c>
      <c r="O38" s="161" t="s">
        <v>43</v>
      </c>
      <c r="P38" s="6" t="s">
        <v>106</v>
      </c>
      <c r="Q38" s="6" t="s">
        <v>114</v>
      </c>
      <c r="R38" s="358" t="s">
        <v>719</v>
      </c>
      <c r="S38" s="6" t="s">
        <v>720</v>
      </c>
      <c r="T38" s="338" t="s">
        <v>721</v>
      </c>
      <c r="U38" s="33">
        <v>45779</v>
      </c>
      <c r="V38" s="33">
        <v>45792</v>
      </c>
      <c r="W38" s="24">
        <f ca="1">V38-TODAY()</f>
        <v>-293</v>
      </c>
      <c r="X38" s="308" t="str">
        <f ca="1">IF(W38&gt;=25,"Vigente",IF(AND(W38&gt;=1,W38&lt;=25),"Por Vencer","Vencido"))</f>
        <v>Vencido</v>
      </c>
      <c r="Y38" s="32" t="s">
        <v>722</v>
      </c>
      <c r="Z38" s="338" t="s">
        <v>238</v>
      </c>
      <c r="AA38" s="349" t="s">
        <v>723</v>
      </c>
    </row>
    <row r="39" spans="1:647" ht="125.25" hidden="1" customHeight="1">
      <c r="A39" s="19">
        <v>36</v>
      </c>
      <c r="B39" s="149" t="s">
        <v>35</v>
      </c>
      <c r="C39" s="232" t="s">
        <v>724</v>
      </c>
      <c r="D39" s="323">
        <v>15044278</v>
      </c>
      <c r="E39" s="140">
        <v>8</v>
      </c>
      <c r="F39" s="6">
        <v>43</v>
      </c>
      <c r="G39" s="6" t="s">
        <v>245</v>
      </c>
      <c r="H39" s="59" t="s">
        <v>725</v>
      </c>
      <c r="I39" s="6">
        <v>2023</v>
      </c>
      <c r="J39" s="30">
        <v>45156</v>
      </c>
      <c r="K39" s="6" t="s">
        <v>41</v>
      </c>
      <c r="L39" s="6" t="s">
        <v>121</v>
      </c>
      <c r="M39" s="6" t="s">
        <v>105</v>
      </c>
      <c r="N39" s="6" t="s">
        <v>133</v>
      </c>
      <c r="O39" s="6" t="s">
        <v>43</v>
      </c>
      <c r="P39" s="6" t="s">
        <v>122</v>
      </c>
      <c r="Q39" s="6"/>
      <c r="R39" s="338" t="s">
        <v>726</v>
      </c>
      <c r="S39" s="6" t="s">
        <v>515</v>
      </c>
      <c r="T39" s="338" t="s">
        <v>727</v>
      </c>
      <c r="U39" s="33">
        <v>46080</v>
      </c>
      <c r="V39" s="33">
        <v>46096</v>
      </c>
      <c r="W39" s="24">
        <f ca="1">V39-TODAY()</f>
        <v>11</v>
      </c>
      <c r="X39" s="308" t="str">
        <f ca="1">IF(W39&gt;=25,"Vigente",IF(AND(W39&gt;=1,W39&lt;=25),"Por Vencer","Vencido"))</f>
        <v>Por Vencer</v>
      </c>
      <c r="Y39" s="338"/>
      <c r="Z39" s="338" t="s">
        <v>728</v>
      </c>
      <c r="AA39" s="10" t="s">
        <v>729</v>
      </c>
    </row>
    <row r="40" spans="1:647" s="12" customFormat="1" ht="130.5" hidden="1" customHeight="1">
      <c r="A40" s="19">
        <v>37</v>
      </c>
      <c r="B40" s="254" t="s">
        <v>35</v>
      </c>
      <c r="C40" s="234" t="s">
        <v>730</v>
      </c>
      <c r="D40" s="137">
        <v>8106595</v>
      </c>
      <c r="E40" s="137">
        <v>0</v>
      </c>
      <c r="F40" s="265">
        <v>68</v>
      </c>
      <c r="G40" s="261" t="s">
        <v>71</v>
      </c>
      <c r="H40" s="10" t="s">
        <v>731</v>
      </c>
      <c r="I40" s="2"/>
      <c r="J40" s="2" t="s">
        <v>703</v>
      </c>
      <c r="K40" s="264" t="s">
        <v>41</v>
      </c>
      <c r="L40" s="264" t="s">
        <v>704</v>
      </c>
      <c r="M40" s="264" t="s">
        <v>513</v>
      </c>
      <c r="N40" s="264" t="s">
        <v>513</v>
      </c>
      <c r="O40" s="253" t="s">
        <v>43</v>
      </c>
      <c r="P40" s="253" t="s">
        <v>122</v>
      </c>
      <c r="Q40" s="2"/>
      <c r="R40" s="10" t="s">
        <v>732</v>
      </c>
      <c r="S40" s="10" t="s">
        <v>114</v>
      </c>
      <c r="T40" s="336" t="s">
        <v>501</v>
      </c>
      <c r="U40" s="107">
        <v>45979</v>
      </c>
      <c r="V40" s="107">
        <v>46040</v>
      </c>
      <c r="W40" s="24">
        <f ca="1">V40-TODAY()</f>
        <v>-45</v>
      </c>
      <c r="X40" s="288" t="str">
        <f ca="1">IF(W40&gt;=25,"Vigente",IF(AND(W40&gt;=1,W40&lt;=25),"Por Vencer","Vencido"))</f>
        <v>Vencido</v>
      </c>
      <c r="Y40" s="2"/>
      <c r="Z40" s="336" t="s">
        <v>261</v>
      </c>
      <c r="AA40" s="10" t="s">
        <v>733</v>
      </c>
      <c r="AB40"/>
      <c r="AC40"/>
      <c r="AD40"/>
      <c r="AE40"/>
      <c r="AF40"/>
      <c r="AG40"/>
      <c r="AH40"/>
      <c r="AI40"/>
      <c r="AJ40"/>
      <c r="AK40"/>
      <c r="AL40"/>
      <c r="AM40"/>
      <c r="AN40"/>
    </row>
    <row r="41" spans="1:647" ht="119.25" hidden="1" customHeight="1">
      <c r="A41" s="19">
        <v>38</v>
      </c>
      <c r="B41" s="149" t="s">
        <v>35</v>
      </c>
      <c r="C41" s="236" t="s">
        <v>734</v>
      </c>
      <c r="D41" s="148">
        <v>4675227</v>
      </c>
      <c r="E41" s="148">
        <v>9</v>
      </c>
      <c r="F41" s="24">
        <v>90</v>
      </c>
      <c r="G41" s="24" t="s">
        <v>39</v>
      </c>
      <c r="H41" s="343" t="s">
        <v>735</v>
      </c>
      <c r="I41" s="24">
        <v>2023</v>
      </c>
      <c r="J41" s="33">
        <v>45243</v>
      </c>
      <c r="K41" s="24" t="s">
        <v>41</v>
      </c>
      <c r="L41" s="24" t="s">
        <v>42</v>
      </c>
      <c r="M41" s="24" t="s">
        <v>105</v>
      </c>
      <c r="N41" s="24" t="s">
        <v>96</v>
      </c>
      <c r="O41" s="24" t="s">
        <v>43</v>
      </c>
      <c r="P41" s="6" t="s">
        <v>122</v>
      </c>
      <c r="Q41" s="6"/>
      <c r="R41" s="338" t="s">
        <v>736</v>
      </c>
      <c r="S41" s="6" t="s">
        <v>114</v>
      </c>
      <c r="T41" s="338" t="s">
        <v>737</v>
      </c>
      <c r="U41" s="33">
        <v>45839</v>
      </c>
      <c r="V41" s="33">
        <v>45901</v>
      </c>
      <c r="W41" s="24">
        <f ca="1">V41-TODAY()</f>
        <v>-184</v>
      </c>
      <c r="X41" s="308" t="str">
        <f ca="1">IF(W41&gt;=25,"Vigente",IF(AND(W41&gt;=1,W41&lt;=25),"Por Vencer","Vencido"))</f>
        <v>Vencido</v>
      </c>
      <c r="Y41" s="359" t="s">
        <v>738</v>
      </c>
      <c r="Z41" s="338" t="s">
        <v>238</v>
      </c>
      <c r="AA41" s="336" t="s">
        <v>739</v>
      </c>
    </row>
    <row r="42" spans="1:647" s="13" customFormat="1" ht="122.25" hidden="1" customHeight="1">
      <c r="A42" s="19">
        <v>39</v>
      </c>
      <c r="B42" s="149" t="s">
        <v>35</v>
      </c>
      <c r="C42" s="232" t="s">
        <v>740</v>
      </c>
      <c r="D42" s="140">
        <v>4829134</v>
      </c>
      <c r="E42" s="140">
        <v>1</v>
      </c>
      <c r="F42" s="6">
        <v>85</v>
      </c>
      <c r="G42" s="6" t="s">
        <v>175</v>
      </c>
      <c r="H42" s="6" t="s">
        <v>741</v>
      </c>
      <c r="I42" s="6">
        <v>2020</v>
      </c>
      <c r="J42" s="32">
        <v>44105</v>
      </c>
      <c r="K42" s="6" t="s">
        <v>54</v>
      </c>
      <c r="L42" s="6" t="s">
        <v>42</v>
      </c>
      <c r="M42" s="6" t="s">
        <v>178</v>
      </c>
      <c r="N42" s="6" t="s">
        <v>133</v>
      </c>
      <c r="O42" s="6" t="s">
        <v>43</v>
      </c>
      <c r="P42" s="6" t="s">
        <v>122</v>
      </c>
      <c r="Q42" s="6"/>
      <c r="R42" s="338" t="s">
        <v>742</v>
      </c>
      <c r="S42" s="6" t="s">
        <v>114</v>
      </c>
      <c r="T42" s="338" t="s">
        <v>737</v>
      </c>
      <c r="U42" s="30">
        <v>45674</v>
      </c>
      <c r="V42" s="30">
        <v>45705</v>
      </c>
      <c r="W42" s="6">
        <f ca="1">V42-TODAY()</f>
        <v>-380</v>
      </c>
      <c r="X42" s="308" t="str">
        <f ca="1">IF(W42&gt;=25,"Vigente",IF(AND(W42&gt;=1,W42&lt;=25),"Por Vencer","Vencido"))</f>
        <v>Vencido</v>
      </c>
      <c r="Y42" s="338" t="s">
        <v>743</v>
      </c>
      <c r="Z42" s="338" t="s">
        <v>238</v>
      </c>
      <c r="AA42" s="225" t="s">
        <v>744</v>
      </c>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s="217"/>
    </row>
    <row r="43" spans="1:647" ht="110.25" customHeight="1">
      <c r="A43" s="19">
        <v>40</v>
      </c>
      <c r="B43" s="149" t="s">
        <v>745</v>
      </c>
      <c r="C43" s="232" t="s">
        <v>746</v>
      </c>
      <c r="D43" s="140">
        <v>6267543</v>
      </c>
      <c r="E43" s="140">
        <v>8</v>
      </c>
      <c r="F43" s="6">
        <v>73</v>
      </c>
      <c r="G43" s="6" t="s">
        <v>71</v>
      </c>
      <c r="H43" s="6" t="s">
        <v>747</v>
      </c>
      <c r="I43" s="6">
        <v>2024</v>
      </c>
      <c r="J43" s="30">
        <v>45450</v>
      </c>
      <c r="K43" s="6" t="s">
        <v>622</v>
      </c>
      <c r="L43" s="6" t="s">
        <v>748</v>
      </c>
      <c r="M43" s="6" t="s">
        <v>178</v>
      </c>
      <c r="N43" s="6" t="s">
        <v>133</v>
      </c>
      <c r="O43" s="6" t="s">
        <v>43</v>
      </c>
      <c r="P43" s="6" t="s">
        <v>122</v>
      </c>
      <c r="Q43" s="6"/>
      <c r="R43" s="338" t="s">
        <v>749</v>
      </c>
      <c r="S43" s="338" t="s">
        <v>496</v>
      </c>
      <c r="T43" s="338" t="s">
        <v>478</v>
      </c>
      <c r="U43" s="33">
        <v>45803</v>
      </c>
      <c r="V43" s="33">
        <v>46168</v>
      </c>
      <c r="W43" s="24">
        <f ca="1">V43-TODAY()</f>
        <v>83</v>
      </c>
      <c r="X43" s="221" t="str">
        <f t="shared" ref="X43" ca="1" si="1">IF(W43&gt;=25,"Vigente",IF(AND(W43&gt;=1,W43&lt;=25),"Por Vencer","Vencido"))</f>
        <v>Vigente</v>
      </c>
      <c r="Y43" s="6" t="s">
        <v>750</v>
      </c>
      <c r="Z43" s="338" t="s">
        <v>238</v>
      </c>
      <c r="AA43" s="10"/>
      <c r="AB43" t="s">
        <v>751</v>
      </c>
    </row>
    <row r="44" spans="1:647" ht="123" hidden="1" customHeight="1">
      <c r="A44" s="19">
        <v>41</v>
      </c>
      <c r="B44" s="149" t="s">
        <v>35</v>
      </c>
      <c r="C44" s="49" t="s">
        <v>752</v>
      </c>
      <c r="D44" s="140">
        <v>7131489</v>
      </c>
      <c r="E44" s="140">
        <v>8</v>
      </c>
      <c r="F44" s="6">
        <v>69</v>
      </c>
      <c r="G44" s="6" t="s">
        <v>309</v>
      </c>
      <c r="H44" s="6" t="s">
        <v>753</v>
      </c>
      <c r="I44" s="6">
        <v>2024</v>
      </c>
      <c r="J44" s="30">
        <v>45607</v>
      </c>
      <c r="K44" s="6" t="s">
        <v>162</v>
      </c>
      <c r="L44" s="6" t="s">
        <v>235</v>
      </c>
      <c r="M44" s="6" t="s">
        <v>105</v>
      </c>
      <c r="N44" s="6" t="s">
        <v>96</v>
      </c>
      <c r="O44" s="6" t="s">
        <v>43</v>
      </c>
      <c r="P44" s="6" t="s">
        <v>122</v>
      </c>
      <c r="Q44" s="6"/>
      <c r="R44" s="338" t="s">
        <v>754</v>
      </c>
      <c r="S44" s="6" t="s">
        <v>114</v>
      </c>
      <c r="T44" s="338" t="s">
        <v>755</v>
      </c>
      <c r="U44" s="30">
        <v>45958</v>
      </c>
      <c r="V44" s="30">
        <v>46140</v>
      </c>
      <c r="W44" s="6">
        <f ca="1">V44-TODAY()</f>
        <v>55</v>
      </c>
      <c r="X44" s="289" t="str">
        <f ca="1">IF(W44&gt;=25,"Vigente",IF(AND(W44&gt;=1,W44&lt;=25),"Por Vencer","Vencido"))</f>
        <v>Vigente</v>
      </c>
      <c r="Y44" s="338" t="s">
        <v>712</v>
      </c>
      <c r="Z44" s="338" t="s">
        <v>238</v>
      </c>
      <c r="AA44" s="336"/>
      <c r="AB44" s="218"/>
    </row>
    <row r="45" spans="1:647" ht="109.5" hidden="1" customHeight="1">
      <c r="A45" s="19">
        <v>42</v>
      </c>
      <c r="B45" s="149" t="s">
        <v>35</v>
      </c>
      <c r="C45" s="49" t="s">
        <v>756</v>
      </c>
      <c r="D45" s="322">
        <v>131804814</v>
      </c>
      <c r="E45" s="140">
        <v>4</v>
      </c>
      <c r="F45" s="6">
        <v>48</v>
      </c>
      <c r="G45" s="6" t="s">
        <v>604</v>
      </c>
      <c r="H45" s="338" t="s">
        <v>757</v>
      </c>
      <c r="I45" s="6">
        <v>2025</v>
      </c>
      <c r="J45" s="30">
        <v>45677</v>
      </c>
      <c r="K45" s="6" t="s">
        <v>41</v>
      </c>
      <c r="L45" s="6" t="s">
        <v>121</v>
      </c>
      <c r="M45" s="6" t="s">
        <v>105</v>
      </c>
      <c r="N45" s="6" t="s">
        <v>208</v>
      </c>
      <c r="O45" s="6" t="s">
        <v>43</v>
      </c>
      <c r="P45" s="6" t="s">
        <v>106</v>
      </c>
      <c r="Q45" s="6" t="s">
        <v>758</v>
      </c>
      <c r="R45" s="40" t="s">
        <v>759</v>
      </c>
      <c r="S45" s="6" t="s">
        <v>114</v>
      </c>
      <c r="T45" s="338" t="s">
        <v>721</v>
      </c>
      <c r="U45" s="30">
        <v>45840</v>
      </c>
      <c r="V45" s="30">
        <v>45871</v>
      </c>
      <c r="W45" s="24">
        <f ca="1">V45-TODAY()</f>
        <v>-214</v>
      </c>
      <c r="X45" s="308" t="str">
        <f ca="1">IF(W45&gt;=25,"Vigente",IF(AND(W45&gt;=1,W45&lt;=25),"Por Vencer","Vencido"))</f>
        <v>Vencido</v>
      </c>
      <c r="Y45" s="338" t="s">
        <v>760</v>
      </c>
      <c r="Z45" s="338" t="s">
        <v>238</v>
      </c>
      <c r="AA45" s="336" t="s">
        <v>761</v>
      </c>
      <c r="AB45" s="360" t="s">
        <v>762</v>
      </c>
    </row>
    <row r="46" spans="1:647" ht="119.25" hidden="1" customHeight="1">
      <c r="A46" s="19">
        <v>43</v>
      </c>
      <c r="B46" s="149" t="s">
        <v>35</v>
      </c>
      <c r="C46" s="232" t="s">
        <v>763</v>
      </c>
      <c r="D46" s="140">
        <v>11383417</v>
      </c>
      <c r="E46" s="140" t="s">
        <v>281</v>
      </c>
      <c r="F46" s="6">
        <v>54</v>
      </c>
      <c r="G46" s="6" t="s">
        <v>71</v>
      </c>
      <c r="H46" s="338" t="s">
        <v>764</v>
      </c>
      <c r="I46" s="6">
        <v>2024</v>
      </c>
      <c r="J46" s="30">
        <v>45395</v>
      </c>
      <c r="K46" s="6" t="s">
        <v>132</v>
      </c>
      <c r="L46" s="24" t="s">
        <v>765</v>
      </c>
      <c r="M46" s="6" t="s">
        <v>105</v>
      </c>
      <c r="N46" s="6" t="s">
        <v>96</v>
      </c>
      <c r="O46" s="24" t="s">
        <v>43</v>
      </c>
      <c r="P46" s="6" t="s">
        <v>122</v>
      </c>
      <c r="Q46" s="6"/>
      <c r="R46" s="338" t="s">
        <v>766</v>
      </c>
      <c r="S46" s="338" t="s">
        <v>767</v>
      </c>
      <c r="T46" s="338" t="s">
        <v>721</v>
      </c>
      <c r="U46" s="33">
        <v>45965</v>
      </c>
      <c r="V46" s="33">
        <v>46146</v>
      </c>
      <c r="W46" s="24">
        <f ca="1">V46-TODAY()</f>
        <v>61</v>
      </c>
      <c r="X46" s="289" t="str">
        <f ca="1">IF(W46&gt;=25,"Vigente",IF(AND(W46&gt;=1,W46&lt;=25),"Por Vencer","Vencido"))</f>
        <v>Vigente</v>
      </c>
      <c r="Y46" s="344" t="s">
        <v>768</v>
      </c>
      <c r="Z46" s="338" t="s">
        <v>238</v>
      </c>
      <c r="AA46" s="336"/>
    </row>
    <row r="47" spans="1:647" ht="116.25" customHeight="1">
      <c r="A47" s="19">
        <v>44</v>
      </c>
      <c r="B47" s="257" t="s">
        <v>35</v>
      </c>
      <c r="C47" s="253" t="s">
        <v>769</v>
      </c>
      <c r="D47" s="261">
        <v>7676297</v>
      </c>
      <c r="E47" s="261" t="s">
        <v>50</v>
      </c>
      <c r="F47" s="261">
        <v>65</v>
      </c>
      <c r="G47" s="261" t="s">
        <v>46</v>
      </c>
      <c r="H47" s="253" t="s">
        <v>770</v>
      </c>
      <c r="I47" s="24">
        <v>2023</v>
      </c>
      <c r="J47" s="260">
        <v>45280</v>
      </c>
      <c r="K47" s="253" t="s">
        <v>41</v>
      </c>
      <c r="L47" s="253" t="s">
        <v>42</v>
      </c>
      <c r="M47" s="253" t="s">
        <v>105</v>
      </c>
      <c r="N47" s="253" t="s">
        <v>96</v>
      </c>
      <c r="O47" s="253" t="s">
        <v>43</v>
      </c>
      <c r="P47" s="45" t="s">
        <v>122</v>
      </c>
      <c r="Q47" s="45"/>
      <c r="R47" s="24" t="s">
        <v>771</v>
      </c>
      <c r="S47" s="6" t="s">
        <v>496</v>
      </c>
      <c r="T47" s="338" t="s">
        <v>478</v>
      </c>
      <c r="U47" s="33">
        <v>46003</v>
      </c>
      <c r="V47" s="33">
        <v>46368</v>
      </c>
      <c r="W47" s="24">
        <f ca="1">V47-TODAY()</f>
        <v>283</v>
      </c>
      <c r="X47" s="221" t="str">
        <f t="shared" ref="X47" ca="1" si="2">IF(W47&gt;=25,"Vigente",IF(AND(W47&gt;=1,W47&lt;=25),"Por Vencer","Vencido"))</f>
        <v>Vigente</v>
      </c>
      <c r="Y47" s="6" t="s">
        <v>772</v>
      </c>
      <c r="Z47" s="338" t="s">
        <v>292</v>
      </c>
      <c r="AA47" s="10"/>
    </row>
    <row r="48" spans="1:647" ht="124.5" hidden="1" customHeight="1">
      <c r="A48" s="19">
        <v>45</v>
      </c>
      <c r="B48" s="23" t="s">
        <v>35</v>
      </c>
      <c r="C48" s="232" t="s">
        <v>773</v>
      </c>
      <c r="D48" s="135">
        <v>7452964</v>
      </c>
      <c r="E48" s="135" t="s">
        <v>281</v>
      </c>
      <c r="F48" s="6">
        <v>68</v>
      </c>
      <c r="G48" s="6" t="s">
        <v>71</v>
      </c>
      <c r="H48" s="6" t="s">
        <v>774</v>
      </c>
      <c r="I48" s="6">
        <v>2024</v>
      </c>
      <c r="J48" s="30">
        <v>45547</v>
      </c>
      <c r="K48" s="6" t="s">
        <v>41</v>
      </c>
      <c r="L48" s="6" t="s">
        <v>121</v>
      </c>
      <c r="M48" s="30">
        <v>45590</v>
      </c>
      <c r="N48" s="6" t="s">
        <v>775</v>
      </c>
      <c r="O48" s="6" t="s">
        <v>43</v>
      </c>
      <c r="P48" s="6" t="s">
        <v>122</v>
      </c>
      <c r="Q48" s="6"/>
      <c r="R48" s="338" t="s">
        <v>776</v>
      </c>
      <c r="S48" s="6" t="s">
        <v>114</v>
      </c>
      <c r="T48" s="338" t="s">
        <v>777</v>
      </c>
      <c r="U48" s="30">
        <v>45757</v>
      </c>
      <c r="V48" s="30">
        <v>45848</v>
      </c>
      <c r="W48" s="6">
        <f ca="1">V48-TODAY()</f>
        <v>-237</v>
      </c>
      <c r="X48" s="307" t="str">
        <f ca="1">IF(W48&gt;=25,"Vigente",IF(AND(W48&gt;=1,W48&lt;=25),"Por Vencer","Vencido"))</f>
        <v>Vencido</v>
      </c>
      <c r="Y48" s="6" t="s">
        <v>778</v>
      </c>
      <c r="Z48" s="6" t="s">
        <v>779</v>
      </c>
      <c r="AA48" s="10" t="s">
        <v>780</v>
      </c>
    </row>
    <row r="49" spans="1:190" ht="118.5" hidden="1" customHeight="1">
      <c r="A49" s="19">
        <v>46</v>
      </c>
      <c r="B49" s="149" t="s">
        <v>35</v>
      </c>
      <c r="C49" s="232" t="s">
        <v>781</v>
      </c>
      <c r="D49" s="140">
        <v>8192016</v>
      </c>
      <c r="E49" s="140">
        <v>8</v>
      </c>
      <c r="F49" s="6">
        <v>70</v>
      </c>
      <c r="G49" s="6" t="s">
        <v>309</v>
      </c>
      <c r="H49" s="22" t="s">
        <v>782</v>
      </c>
      <c r="I49" s="6">
        <v>2023</v>
      </c>
      <c r="J49" s="30">
        <v>45106</v>
      </c>
      <c r="K49" s="6" t="s">
        <v>41</v>
      </c>
      <c r="L49" s="6" t="s">
        <v>783</v>
      </c>
      <c r="M49" s="6" t="s">
        <v>105</v>
      </c>
      <c r="N49" s="6" t="s">
        <v>133</v>
      </c>
      <c r="O49" s="6" t="s">
        <v>43</v>
      </c>
      <c r="P49" s="6" t="s">
        <v>122</v>
      </c>
      <c r="Q49" s="6"/>
      <c r="R49" s="338" t="s">
        <v>784</v>
      </c>
      <c r="S49" s="6" t="s">
        <v>114</v>
      </c>
      <c r="T49" s="338" t="s">
        <v>501</v>
      </c>
      <c r="U49" s="33">
        <v>45698</v>
      </c>
      <c r="V49" s="33">
        <v>45719</v>
      </c>
      <c r="W49" s="24">
        <f ca="1">V49-TODAY()</f>
        <v>-366</v>
      </c>
      <c r="X49" s="308" t="str">
        <f ca="1">IF(W49&gt;=25,"Vigente",IF(AND(W49&gt;=1,W49&lt;=25),"Por Vencer","Vencido"))</f>
        <v>Vencido</v>
      </c>
      <c r="Y49" s="6" t="s">
        <v>785</v>
      </c>
      <c r="Z49" s="338" t="s">
        <v>238</v>
      </c>
      <c r="AA49" s="349" t="s">
        <v>786</v>
      </c>
      <c r="AB49" s="43"/>
    </row>
    <row r="50" spans="1:190" ht="105.75" customHeight="1">
      <c r="A50" s="19">
        <v>47</v>
      </c>
      <c r="B50" s="254" t="s">
        <v>35</v>
      </c>
      <c r="C50" s="253" t="s">
        <v>787</v>
      </c>
      <c r="D50" s="261">
        <v>4212757</v>
      </c>
      <c r="E50" s="261">
        <v>4</v>
      </c>
      <c r="F50" s="261">
        <v>84</v>
      </c>
      <c r="G50" s="261" t="s">
        <v>141</v>
      </c>
      <c r="H50" s="253" t="s">
        <v>788</v>
      </c>
      <c r="I50" s="24">
        <v>2023</v>
      </c>
      <c r="J50" s="260">
        <v>45022</v>
      </c>
      <c r="K50" s="253" t="s">
        <v>54</v>
      </c>
      <c r="L50" s="253" t="s">
        <v>42</v>
      </c>
      <c r="M50" s="253" t="s">
        <v>105</v>
      </c>
      <c r="N50" s="253" t="s">
        <v>96</v>
      </c>
      <c r="O50" s="253" t="s">
        <v>43</v>
      </c>
      <c r="P50" s="45" t="s">
        <v>122</v>
      </c>
      <c r="Q50" s="45"/>
      <c r="R50" s="338" t="s">
        <v>789</v>
      </c>
      <c r="S50" s="6" t="s">
        <v>585</v>
      </c>
      <c r="T50" s="338" t="s">
        <v>478</v>
      </c>
      <c r="U50" s="33">
        <v>45938</v>
      </c>
      <c r="V50" s="33">
        <v>45999</v>
      </c>
      <c r="W50" s="24">
        <f ca="1">V50-TODAY()</f>
        <v>-86</v>
      </c>
      <c r="X50" s="307" t="str">
        <f ca="1">IF(W50&gt;=25,"Vigente",IF(AND(W50&gt;=1,W50&lt;=25),"Por Vencer","Vencido"))</f>
        <v>Vencido</v>
      </c>
      <c r="Y50" s="348" t="s">
        <v>790</v>
      </c>
      <c r="Z50" s="338" t="s">
        <v>238</v>
      </c>
      <c r="AA50" s="336"/>
      <c r="AB50" t="s">
        <v>54</v>
      </c>
    </row>
    <row r="51" spans="1:190" ht="114" hidden="1" customHeight="1">
      <c r="A51" s="19">
        <v>48</v>
      </c>
      <c r="B51" s="257" t="s">
        <v>35</v>
      </c>
      <c r="C51" s="262" t="s">
        <v>791</v>
      </c>
      <c r="D51" s="273">
        <v>5848772</v>
      </c>
      <c r="E51" s="273">
        <v>4</v>
      </c>
      <c r="F51" s="273">
        <v>75</v>
      </c>
      <c r="G51" s="273" t="s">
        <v>46</v>
      </c>
      <c r="H51" s="262" t="s">
        <v>792</v>
      </c>
      <c r="I51" s="27">
        <v>2023</v>
      </c>
      <c r="J51" s="263">
        <v>45012</v>
      </c>
      <c r="K51" s="262" t="s">
        <v>54</v>
      </c>
      <c r="L51" s="262" t="s">
        <v>42</v>
      </c>
      <c r="M51" s="263">
        <v>45275</v>
      </c>
      <c r="N51" s="262" t="s">
        <v>81</v>
      </c>
      <c r="O51" s="262" t="s">
        <v>43</v>
      </c>
      <c r="P51" s="45" t="s">
        <v>122</v>
      </c>
      <c r="Q51" s="45"/>
      <c r="R51" s="361" t="s">
        <v>793</v>
      </c>
      <c r="S51" s="6" t="s">
        <v>515</v>
      </c>
      <c r="T51" s="338" t="s">
        <v>543</v>
      </c>
      <c r="U51" s="352">
        <v>45974</v>
      </c>
      <c r="V51" s="352">
        <v>46004</v>
      </c>
      <c r="W51" s="24">
        <f ca="1">V51-TODAY()</f>
        <v>-81</v>
      </c>
      <c r="X51" s="290" t="str">
        <f ca="1">IF(W51&gt;=25,"Vigente",IF(AND(W51&gt;=1,W51&lt;=25),"Por Vencer","Vencido"))</f>
        <v>Vencido</v>
      </c>
      <c r="Y51" s="348" t="s">
        <v>794</v>
      </c>
      <c r="Z51" s="338" t="s">
        <v>238</v>
      </c>
      <c r="AA51" s="6"/>
    </row>
    <row r="52" spans="1:190" ht="127.5" customHeight="1">
      <c r="A52" s="19">
        <v>49</v>
      </c>
      <c r="B52" s="149" t="s">
        <v>35</v>
      </c>
      <c r="C52" s="232" t="s">
        <v>795</v>
      </c>
      <c r="D52" s="362">
        <v>5959165</v>
      </c>
      <c r="E52" s="140">
        <v>7</v>
      </c>
      <c r="F52" s="6">
        <v>71</v>
      </c>
      <c r="G52" s="6" t="s">
        <v>71</v>
      </c>
      <c r="H52" s="6" t="s">
        <v>796</v>
      </c>
      <c r="I52" s="6">
        <v>2024</v>
      </c>
      <c r="J52" s="30">
        <v>45476</v>
      </c>
      <c r="K52" s="6" t="s">
        <v>41</v>
      </c>
      <c r="L52" s="6" t="s">
        <v>42</v>
      </c>
      <c r="M52" s="6" t="s">
        <v>178</v>
      </c>
      <c r="N52" s="6" t="s">
        <v>133</v>
      </c>
      <c r="O52" s="6" t="s">
        <v>43</v>
      </c>
      <c r="P52" s="6" t="s">
        <v>122</v>
      </c>
      <c r="Q52" s="6"/>
      <c r="R52" s="338" t="s">
        <v>797</v>
      </c>
      <c r="S52" s="6" t="s">
        <v>186</v>
      </c>
      <c r="T52" s="6" t="s">
        <v>478</v>
      </c>
      <c r="U52" s="30">
        <v>45860</v>
      </c>
      <c r="V52" s="30">
        <v>46225</v>
      </c>
      <c r="W52" s="24">
        <f ca="1">V52-TODAY()</f>
        <v>140</v>
      </c>
      <c r="X52" s="221" t="str">
        <f ca="1">IF(W52&gt;=25,"Vigente",IF(AND(W52&gt;=1,W52&lt;=25),"Por Vencer","Vencido"))</f>
        <v>Vigente</v>
      </c>
      <c r="Y52" s="6" t="s">
        <v>798</v>
      </c>
      <c r="Z52" s="338" t="s">
        <v>238</v>
      </c>
      <c r="AA52" s="6"/>
      <c r="AB52" s="43"/>
    </row>
    <row r="53" spans="1:190" ht="112.5" hidden="1" customHeight="1">
      <c r="A53" s="19">
        <v>50</v>
      </c>
      <c r="B53" s="149" t="s">
        <v>35</v>
      </c>
      <c r="C53" s="236" t="s">
        <v>799</v>
      </c>
      <c r="D53" s="148">
        <v>6583545</v>
      </c>
      <c r="E53" s="148">
        <v>2</v>
      </c>
      <c r="F53" s="24">
        <v>73</v>
      </c>
      <c r="G53" s="24" t="s">
        <v>800</v>
      </c>
      <c r="H53" s="6" t="s">
        <v>801</v>
      </c>
      <c r="I53" s="24" t="s">
        <v>802</v>
      </c>
      <c r="J53" s="24" t="s">
        <v>703</v>
      </c>
      <c r="K53" s="24" t="s">
        <v>54</v>
      </c>
      <c r="L53" s="9" t="s">
        <v>59</v>
      </c>
      <c r="M53" s="33" t="s">
        <v>105</v>
      </c>
      <c r="N53" s="24" t="s">
        <v>133</v>
      </c>
      <c r="O53" s="24" t="s">
        <v>43</v>
      </c>
      <c r="P53" s="24" t="s">
        <v>535</v>
      </c>
      <c r="Q53" s="24"/>
      <c r="R53" s="9" t="s">
        <v>803</v>
      </c>
      <c r="S53" s="24" t="s">
        <v>114</v>
      </c>
      <c r="T53" s="338" t="s">
        <v>501</v>
      </c>
      <c r="U53" s="33">
        <v>45833</v>
      </c>
      <c r="V53" s="33">
        <v>46016</v>
      </c>
      <c r="W53" s="24">
        <f ca="1">V53-TODAY()</f>
        <v>-69</v>
      </c>
      <c r="X53" s="290" t="str">
        <f ca="1">IF(W53&gt;=25,"Vigente",IF(AND(W53&gt;=1,W53&lt;=25),"Por Vencer","Vencido"))</f>
        <v>Vencido</v>
      </c>
      <c r="Y53" s="45" t="s">
        <v>804</v>
      </c>
      <c r="Z53" s="338" t="s">
        <v>238</v>
      </c>
      <c r="AA53" s="6"/>
    </row>
    <row r="54" spans="1:190" ht="110.25" hidden="1" customHeight="1">
      <c r="A54" s="19">
        <v>51</v>
      </c>
      <c r="B54" s="254" t="s">
        <v>35</v>
      </c>
      <c r="C54" s="45" t="s">
        <v>805</v>
      </c>
      <c r="D54" s="255">
        <v>9503019</v>
      </c>
      <c r="E54" s="255" t="s">
        <v>281</v>
      </c>
      <c r="F54" s="255">
        <v>64</v>
      </c>
      <c r="G54" s="255" t="s">
        <v>604</v>
      </c>
      <c r="H54" s="45" t="s">
        <v>806</v>
      </c>
      <c r="I54" s="6">
        <v>2024</v>
      </c>
      <c r="J54" s="45" t="s">
        <v>105</v>
      </c>
      <c r="K54" s="45" t="s">
        <v>41</v>
      </c>
      <c r="L54" s="45" t="s">
        <v>59</v>
      </c>
      <c r="M54" s="45" t="s">
        <v>105</v>
      </c>
      <c r="N54" s="45" t="s">
        <v>208</v>
      </c>
      <c r="O54" s="45" t="s">
        <v>43</v>
      </c>
      <c r="P54" s="45" t="s">
        <v>122</v>
      </c>
      <c r="Q54" s="45"/>
      <c r="R54" s="338" t="s">
        <v>807</v>
      </c>
      <c r="S54" s="6" t="s">
        <v>114</v>
      </c>
      <c r="T54" s="338" t="s">
        <v>501</v>
      </c>
      <c r="U54" s="30">
        <v>45964</v>
      </c>
      <c r="V54" s="30">
        <v>45994</v>
      </c>
      <c r="W54" s="24">
        <f ca="1">V54-TODAY()</f>
        <v>-91</v>
      </c>
      <c r="X54" s="308" t="str">
        <f ca="1">IF(W54&gt;=25,"Vigente",IF(AND(W54&gt;=1,W54&lt;=25),"Por Vencer","Vencido"))</f>
        <v>Vencido</v>
      </c>
      <c r="Y54" s="338" t="s">
        <v>808</v>
      </c>
      <c r="Z54" s="338" t="s">
        <v>238</v>
      </c>
      <c r="AA54" s="336"/>
    </row>
    <row r="55" spans="1:190" ht="113.25" hidden="1" customHeight="1">
      <c r="A55" s="19">
        <v>52</v>
      </c>
      <c r="B55" s="350" t="s">
        <v>35</v>
      </c>
      <c r="C55" s="234" t="s">
        <v>809</v>
      </c>
      <c r="D55" s="341">
        <v>9321117</v>
      </c>
      <c r="E55" s="137">
        <v>0</v>
      </c>
      <c r="F55" s="2">
        <v>63</v>
      </c>
      <c r="G55" s="2" t="s">
        <v>71</v>
      </c>
      <c r="H55" s="10" t="s">
        <v>810</v>
      </c>
      <c r="I55" s="2"/>
      <c r="J55" s="2"/>
      <c r="K55" s="2"/>
      <c r="L55" s="2"/>
      <c r="M55" s="2"/>
      <c r="N55" s="2"/>
      <c r="O55" s="2" t="s">
        <v>43</v>
      </c>
      <c r="P55" s="6" t="s">
        <v>122</v>
      </c>
      <c r="Q55" s="2"/>
      <c r="R55" s="336" t="s">
        <v>811</v>
      </c>
      <c r="S55" s="10" t="s">
        <v>812</v>
      </c>
      <c r="T55" s="336" t="s">
        <v>501</v>
      </c>
      <c r="U55" s="107">
        <v>45931</v>
      </c>
      <c r="V55" s="107">
        <v>46064</v>
      </c>
      <c r="W55" s="24">
        <f ca="1">V55-TODAY()</f>
        <v>-21</v>
      </c>
      <c r="X55" s="289" t="str">
        <f ca="1">IF(W55&gt;=25,"Vigente",IF(AND(W55&gt;=1,W55&lt;=25),"Por Vencer","Vencido"))</f>
        <v>Vencido</v>
      </c>
      <c r="Y55" s="10" t="s">
        <v>813</v>
      </c>
      <c r="Z55" s="2" t="s">
        <v>238</v>
      </c>
      <c r="AA55" s="10"/>
    </row>
    <row r="56" spans="1:190" s="2" customFormat="1" ht="122.25" hidden="1" customHeight="1">
      <c r="A56" s="19">
        <v>53</v>
      </c>
      <c r="B56" s="254" t="s">
        <v>35</v>
      </c>
      <c r="C56" s="264" t="s">
        <v>814</v>
      </c>
      <c r="D56" s="265">
        <v>9726989</v>
      </c>
      <c r="E56" s="265">
        <v>0</v>
      </c>
      <c r="F56" s="265">
        <v>82</v>
      </c>
      <c r="G56" s="265" t="s">
        <v>71</v>
      </c>
      <c r="H56" s="227" t="s">
        <v>815</v>
      </c>
      <c r="J56" s="264">
        <v>2025</v>
      </c>
      <c r="K56" s="264" t="s">
        <v>132</v>
      </c>
      <c r="L56" s="264" t="s">
        <v>42</v>
      </c>
      <c r="M56" s="266">
        <v>45975</v>
      </c>
      <c r="N56" s="227" t="s">
        <v>816</v>
      </c>
      <c r="O56" s="45" t="s">
        <v>43</v>
      </c>
      <c r="P56" s="45" t="s">
        <v>122</v>
      </c>
      <c r="Q56" s="264"/>
      <c r="R56" s="336" t="s">
        <v>817</v>
      </c>
      <c r="S56" s="6" t="s">
        <v>114</v>
      </c>
      <c r="T56" s="338" t="s">
        <v>543</v>
      </c>
      <c r="U56" s="107">
        <v>45992</v>
      </c>
      <c r="V56" s="107">
        <v>46174</v>
      </c>
      <c r="W56" s="24">
        <f ca="1">V56-TODAY()</f>
        <v>89</v>
      </c>
      <c r="X56" s="290" t="str">
        <f ca="1">IF(W56&gt;=25,"Vigente",IF(AND(W56&gt;=1,W56&lt;=25),"Por Vencer","Vencido"))</f>
        <v>Vigente</v>
      </c>
      <c r="Y56" s="341"/>
      <c r="Z56" s="338" t="s">
        <v>261</v>
      </c>
      <c r="AA56" s="336" t="s">
        <v>818</v>
      </c>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s="46"/>
    </row>
    <row r="57" spans="1:190" s="2" customFormat="1" ht="117.75" customHeight="1">
      <c r="A57" s="19">
        <v>54</v>
      </c>
      <c r="B57" s="254" t="s">
        <v>35</v>
      </c>
      <c r="C57" s="227" t="s">
        <v>819</v>
      </c>
      <c r="D57" s="265">
        <v>6042327</v>
      </c>
      <c r="E57" s="255" t="s">
        <v>50</v>
      </c>
      <c r="F57" s="265">
        <v>75</v>
      </c>
      <c r="G57" s="255" t="s">
        <v>125</v>
      </c>
      <c r="H57" s="227" t="s">
        <v>820</v>
      </c>
      <c r="J57" s="264"/>
      <c r="K57" s="264"/>
      <c r="L57" s="264"/>
      <c r="M57" s="264"/>
      <c r="N57" s="264"/>
      <c r="O57" s="45" t="s">
        <v>43</v>
      </c>
      <c r="P57" s="45" t="s">
        <v>122</v>
      </c>
      <c r="Q57" s="264"/>
      <c r="R57" s="336" t="s">
        <v>821</v>
      </c>
      <c r="S57" s="336" t="s">
        <v>822</v>
      </c>
      <c r="T57" s="341" t="s">
        <v>478</v>
      </c>
      <c r="U57" s="107">
        <v>46078</v>
      </c>
      <c r="V57" s="107">
        <v>46106</v>
      </c>
      <c r="W57" s="2">
        <f ca="1">V57-TODAY()</f>
        <v>21</v>
      </c>
      <c r="X57" s="222" t="str">
        <f ca="1">IF(W57&gt;=25,"Vigente",IF(AND(W57&gt;=1,W57&lt;=25),"Por Vencer","Vencido"))</f>
        <v>Por Vencer</v>
      </c>
      <c r="Y57" s="2" t="s">
        <v>823</v>
      </c>
      <c r="Z57" s="338" t="s">
        <v>158</v>
      </c>
      <c r="AA57" s="10"/>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s="46"/>
    </row>
    <row r="58" spans="1:190" ht="126" hidden="1" customHeight="1">
      <c r="A58" s="19">
        <v>55</v>
      </c>
      <c r="B58" s="149" t="s">
        <v>35</v>
      </c>
      <c r="C58" s="232" t="s">
        <v>824</v>
      </c>
      <c r="D58" s="140">
        <v>6534530</v>
      </c>
      <c r="E58" s="140">
        <v>7</v>
      </c>
      <c r="F58" s="6">
        <v>72</v>
      </c>
      <c r="G58" s="6" t="s">
        <v>125</v>
      </c>
      <c r="H58" s="6" t="s">
        <v>825</v>
      </c>
      <c r="I58" s="6">
        <v>2024</v>
      </c>
      <c r="J58" s="30">
        <v>45398</v>
      </c>
      <c r="K58" s="6" t="s">
        <v>622</v>
      </c>
      <c r="L58" s="6" t="s">
        <v>311</v>
      </c>
      <c r="M58" s="6" t="s">
        <v>105</v>
      </c>
      <c r="N58" s="6" t="s">
        <v>96</v>
      </c>
      <c r="O58" s="6" t="s">
        <v>43</v>
      </c>
      <c r="P58" s="6" t="s">
        <v>122</v>
      </c>
      <c r="Q58" s="6"/>
      <c r="R58" s="338" t="s">
        <v>826</v>
      </c>
      <c r="S58" s="6" t="s">
        <v>114</v>
      </c>
      <c r="T58" s="6" t="s">
        <v>827</v>
      </c>
      <c r="U58" s="33">
        <v>45588</v>
      </c>
      <c r="V58" s="33">
        <v>45608</v>
      </c>
      <c r="W58" s="24">
        <f ca="1">V58-TODAY()</f>
        <v>-477</v>
      </c>
      <c r="X58" s="307" t="str">
        <f ca="1">IF(W58&gt;=25,"Vigente",IF(AND(W58&gt;=1,W58&lt;=25),"Por Vencer","Vencido"))</f>
        <v>Vencido</v>
      </c>
      <c r="Y58" s="6" t="s">
        <v>828</v>
      </c>
      <c r="Z58" s="6" t="s">
        <v>292</v>
      </c>
      <c r="AA58" s="250"/>
      <c r="AB58" s="43"/>
    </row>
    <row r="59" spans="1:190" ht="131.25" customHeight="1">
      <c r="A59" s="19">
        <v>56</v>
      </c>
      <c r="B59" s="319" t="s">
        <v>35</v>
      </c>
      <c r="C59" s="241" t="s">
        <v>829</v>
      </c>
      <c r="D59" s="327">
        <v>9288942</v>
      </c>
      <c r="E59" s="327">
        <v>4</v>
      </c>
      <c r="F59" s="197">
        <v>63</v>
      </c>
      <c r="G59" s="197" t="s">
        <v>175</v>
      </c>
      <c r="H59" s="197" t="s">
        <v>830</v>
      </c>
      <c r="I59" s="6">
        <v>2024</v>
      </c>
      <c r="J59" s="199">
        <v>45576</v>
      </c>
      <c r="K59" s="197" t="s">
        <v>41</v>
      </c>
      <c r="L59" s="197" t="s">
        <v>177</v>
      </c>
      <c r="M59" s="197" t="s">
        <v>105</v>
      </c>
      <c r="N59" s="197" t="s">
        <v>133</v>
      </c>
      <c r="O59" s="197" t="s">
        <v>43</v>
      </c>
      <c r="P59" s="197" t="s">
        <v>122</v>
      </c>
      <c r="Q59" s="197"/>
      <c r="R59" s="363" t="s">
        <v>831</v>
      </c>
      <c r="S59" s="197" t="s">
        <v>186</v>
      </c>
      <c r="T59" s="197" t="s">
        <v>478</v>
      </c>
      <c r="U59" s="199">
        <v>45888</v>
      </c>
      <c r="V59" s="199">
        <v>46253</v>
      </c>
      <c r="W59" s="331">
        <f ca="1">V59-TODAY()</f>
        <v>168</v>
      </c>
      <c r="X59" s="332" t="str">
        <f ca="1">IF(W59&gt;=25,"Vigente",IF(AND(W59&gt;=1,W59&lt;=25),"Por Vencer","Vencido"))</f>
        <v>Vigente</v>
      </c>
      <c r="Y59" s="363" t="s">
        <v>832</v>
      </c>
      <c r="Z59" s="363" t="s">
        <v>238</v>
      </c>
      <c r="AA59" s="337">
        <v>46235</v>
      </c>
    </row>
    <row r="60" spans="1:190" ht="129" hidden="1" customHeight="1">
      <c r="A60" s="19">
        <v>57</v>
      </c>
      <c r="B60" s="149" t="s">
        <v>35</v>
      </c>
      <c r="C60" s="49" t="s">
        <v>833</v>
      </c>
      <c r="D60" s="140">
        <v>8984953</v>
      </c>
      <c r="E60" s="140">
        <v>5</v>
      </c>
      <c r="F60" s="6">
        <v>66</v>
      </c>
      <c r="G60" s="6" t="s">
        <v>71</v>
      </c>
      <c r="H60" s="6" t="s">
        <v>834</v>
      </c>
      <c r="I60" s="195">
        <v>2024</v>
      </c>
      <c r="J60" s="6" t="s">
        <v>216</v>
      </c>
      <c r="K60" s="6" t="s">
        <v>41</v>
      </c>
      <c r="L60" s="6" t="s">
        <v>151</v>
      </c>
      <c r="M60" s="6" t="s">
        <v>105</v>
      </c>
      <c r="N60" s="6" t="s">
        <v>133</v>
      </c>
      <c r="O60" s="6" t="s">
        <v>43</v>
      </c>
      <c r="P60" s="6" t="s">
        <v>122</v>
      </c>
      <c r="Q60" s="6"/>
      <c r="R60" s="338" t="s">
        <v>835</v>
      </c>
      <c r="S60" s="6" t="s">
        <v>114</v>
      </c>
      <c r="T60" s="338" t="s">
        <v>501</v>
      </c>
      <c r="U60" s="30">
        <v>45698</v>
      </c>
      <c r="V60" s="30">
        <v>45726</v>
      </c>
      <c r="W60" s="6">
        <f ca="1">V60-TODAY()</f>
        <v>-359</v>
      </c>
      <c r="X60" s="308" t="str">
        <f ca="1">IF(W60&gt;=25,"Vigente",IF(AND(W60&gt;=1,W60&lt;=25),"Por Vencer","Vencido"))</f>
        <v>Vencido</v>
      </c>
      <c r="Y60" s="338" t="s">
        <v>836</v>
      </c>
      <c r="Z60" s="338" t="s">
        <v>238</v>
      </c>
      <c r="AA60" s="10"/>
    </row>
    <row r="61" spans="1:190" ht="117.75" customHeight="1">
      <c r="A61" s="19">
        <v>58</v>
      </c>
      <c r="B61" s="200" t="s">
        <v>35</v>
      </c>
      <c r="C61" s="320" t="s">
        <v>837</v>
      </c>
      <c r="D61" s="326">
        <v>6200029</v>
      </c>
      <c r="E61" s="326">
        <v>5</v>
      </c>
      <c r="F61" s="211">
        <v>72</v>
      </c>
      <c r="G61" s="211" t="s">
        <v>46</v>
      </c>
      <c r="H61" s="211" t="s">
        <v>838</v>
      </c>
      <c r="I61" s="24">
        <v>2023</v>
      </c>
      <c r="J61" s="220">
        <v>44951</v>
      </c>
      <c r="K61" s="220" t="s">
        <v>54</v>
      </c>
      <c r="L61" s="211" t="s">
        <v>59</v>
      </c>
      <c r="M61" s="211" t="s">
        <v>105</v>
      </c>
      <c r="N61" s="211" t="s">
        <v>96</v>
      </c>
      <c r="O61" s="211" t="s">
        <v>43</v>
      </c>
      <c r="P61" s="203" t="s">
        <v>106</v>
      </c>
      <c r="Q61" s="203"/>
      <c r="R61" s="364" t="s">
        <v>839</v>
      </c>
      <c r="S61" s="203" t="s">
        <v>186</v>
      </c>
      <c r="T61" s="203" t="s">
        <v>478</v>
      </c>
      <c r="U61" s="220">
        <v>45698</v>
      </c>
      <c r="V61" s="220">
        <v>45703</v>
      </c>
      <c r="W61" s="211">
        <f ca="1">V61-TODAY()</f>
        <v>-382</v>
      </c>
      <c r="X61" s="310" t="str">
        <f ca="1">IF(W61&gt;=25,"Vigente",IF(AND(W61&gt;=1,W61&lt;=25),"Por Vencer","Vencido"))</f>
        <v>Vencido</v>
      </c>
      <c r="Y61" s="365" t="s">
        <v>840</v>
      </c>
      <c r="Z61" s="366" t="s">
        <v>238</v>
      </c>
      <c r="AA61" s="367" t="s">
        <v>841</v>
      </c>
    </row>
    <row r="62" spans="1:190" ht="106.5" hidden="1" customHeight="1">
      <c r="A62" s="19">
        <v>59</v>
      </c>
      <c r="B62" s="23" t="s">
        <v>35</v>
      </c>
      <c r="C62" s="232" t="s">
        <v>842</v>
      </c>
      <c r="D62" s="135">
        <v>24070018</v>
      </c>
      <c r="E62" s="135">
        <v>2</v>
      </c>
      <c r="F62" s="6">
        <v>45</v>
      </c>
      <c r="G62" s="6" t="s">
        <v>71</v>
      </c>
      <c r="H62" s="6" t="s">
        <v>843</v>
      </c>
      <c r="I62" s="6">
        <v>2024</v>
      </c>
      <c r="J62" s="30">
        <v>45621</v>
      </c>
      <c r="K62" s="6" t="s">
        <v>41</v>
      </c>
      <c r="L62" s="6" t="s">
        <v>121</v>
      </c>
      <c r="M62" s="30">
        <v>45688</v>
      </c>
      <c r="N62" s="6" t="s">
        <v>844</v>
      </c>
      <c r="O62" s="6" t="s">
        <v>43</v>
      </c>
      <c r="P62" s="6" t="s">
        <v>122</v>
      </c>
      <c r="Q62" s="6"/>
      <c r="R62" s="338" t="s">
        <v>845</v>
      </c>
      <c r="S62" s="6" t="s">
        <v>114</v>
      </c>
      <c r="T62" s="338" t="s">
        <v>543</v>
      </c>
      <c r="U62" s="30">
        <v>45992</v>
      </c>
      <c r="V62" s="30">
        <v>46357</v>
      </c>
      <c r="W62" s="6">
        <f ca="1">V62-TODAY()</f>
        <v>272</v>
      </c>
      <c r="X62" s="288" t="str">
        <f ca="1">IF(W62&gt;=25,"Vigente",IF(AND(W62&gt;=1,W62&lt;=25),"Por Vencer","Vencido"))</f>
        <v>Vigente</v>
      </c>
      <c r="Y62" s="48"/>
      <c r="Z62" s="338" t="s">
        <v>261</v>
      </c>
      <c r="AA62" s="10" t="s">
        <v>846</v>
      </c>
    </row>
    <row r="63" spans="1:190" ht="114.75" hidden="1" customHeight="1">
      <c r="A63" s="19">
        <v>60</v>
      </c>
      <c r="B63" s="149" t="s">
        <v>35</v>
      </c>
      <c r="C63" s="245" t="s">
        <v>847</v>
      </c>
      <c r="D63" s="137">
        <v>7215523</v>
      </c>
      <c r="E63" s="137">
        <v>8</v>
      </c>
      <c r="F63" s="6">
        <v>69</v>
      </c>
      <c r="G63" s="2"/>
      <c r="H63" s="336" t="s">
        <v>848</v>
      </c>
      <c r="I63" s="2"/>
      <c r="J63" s="107">
        <v>45965</v>
      </c>
      <c r="K63" s="341" t="s">
        <v>54</v>
      </c>
      <c r="L63" s="341" t="s">
        <v>121</v>
      </c>
      <c r="M63" s="107">
        <v>45975</v>
      </c>
      <c r="N63" s="341" t="s">
        <v>849</v>
      </c>
      <c r="O63" s="338" t="s">
        <v>850</v>
      </c>
      <c r="P63" s="338" t="s">
        <v>122</v>
      </c>
      <c r="Q63" s="2"/>
      <c r="R63" s="336" t="s">
        <v>851</v>
      </c>
      <c r="S63" s="336" t="s">
        <v>852</v>
      </c>
      <c r="T63" s="341" t="s">
        <v>755</v>
      </c>
      <c r="U63" s="107">
        <v>45975</v>
      </c>
      <c r="V63" s="107">
        <v>46036</v>
      </c>
      <c r="W63" s="24">
        <f ca="1">V63-TODAY()</f>
        <v>-49</v>
      </c>
      <c r="X63" s="289" t="str">
        <f ca="1">IF(W63&gt;=25,"Vigente",IF(AND(W63&gt;=1,W63&lt;=25),"Por Vencer","Vencido"))</f>
        <v>Vencido</v>
      </c>
      <c r="Y63" s="2"/>
      <c r="Z63" s="338" t="s">
        <v>238</v>
      </c>
      <c r="AA63" s="336" t="s">
        <v>853</v>
      </c>
    </row>
    <row r="64" spans="1:190" ht="97.5" hidden="1" customHeight="1">
      <c r="A64" s="19">
        <v>61</v>
      </c>
      <c r="B64" s="149" t="s">
        <v>35</v>
      </c>
      <c r="C64" s="239" t="s">
        <v>854</v>
      </c>
      <c r="D64" s="148">
        <v>4056823</v>
      </c>
      <c r="E64" s="148">
        <v>9</v>
      </c>
      <c r="F64" s="24">
        <v>87</v>
      </c>
      <c r="G64" s="24" t="s">
        <v>39</v>
      </c>
      <c r="H64" s="24" t="s">
        <v>855</v>
      </c>
      <c r="I64" s="24">
        <v>2023</v>
      </c>
      <c r="J64" s="33">
        <v>45132</v>
      </c>
      <c r="K64" s="24" t="s">
        <v>41</v>
      </c>
      <c r="L64" s="24" t="s">
        <v>121</v>
      </c>
      <c r="M64" s="33">
        <v>45667</v>
      </c>
      <c r="N64" s="24" t="s">
        <v>856</v>
      </c>
      <c r="O64" s="24" t="s">
        <v>43</v>
      </c>
      <c r="P64" s="6" t="s">
        <v>122</v>
      </c>
      <c r="Q64" s="6"/>
      <c r="R64" s="343" t="s">
        <v>857</v>
      </c>
      <c r="S64" s="6" t="s">
        <v>114</v>
      </c>
      <c r="T64" s="338" t="s">
        <v>501</v>
      </c>
      <c r="U64" s="33">
        <v>45992</v>
      </c>
      <c r="V64" s="33">
        <v>46023</v>
      </c>
      <c r="W64" s="24">
        <f ca="1">V64-TODAY()</f>
        <v>-62</v>
      </c>
      <c r="X64" s="288" t="str">
        <f ca="1">IF(W64&gt;=25,"Vigente",IF(AND(W64&gt;=1,W64&lt;=25),"Por Vencer","Vencido"))</f>
        <v>Vencido</v>
      </c>
      <c r="Y64" s="344" t="s">
        <v>858</v>
      </c>
      <c r="Z64" s="338" t="s">
        <v>238</v>
      </c>
      <c r="AA64" s="186" t="s">
        <v>859</v>
      </c>
    </row>
    <row r="65" spans="1:27" ht="111" customHeight="1">
      <c r="A65" s="19">
        <v>62</v>
      </c>
      <c r="B65" s="23" t="s">
        <v>35</v>
      </c>
      <c r="C65" s="232" t="s">
        <v>860</v>
      </c>
      <c r="D65" s="135">
        <v>5972089</v>
      </c>
      <c r="E65" s="135">
        <v>9</v>
      </c>
      <c r="F65" s="6">
        <v>86</v>
      </c>
      <c r="G65" s="6" t="s">
        <v>71</v>
      </c>
      <c r="H65" s="6" t="s">
        <v>861</v>
      </c>
      <c r="I65" s="6">
        <v>2024</v>
      </c>
      <c r="J65" s="30">
        <v>45545</v>
      </c>
      <c r="K65" s="6" t="s">
        <v>41</v>
      </c>
      <c r="L65" s="6" t="s">
        <v>42</v>
      </c>
      <c r="M65" s="6" t="s">
        <v>105</v>
      </c>
      <c r="N65" s="6" t="s">
        <v>96</v>
      </c>
      <c r="O65" s="6" t="s">
        <v>43</v>
      </c>
      <c r="P65" s="6" t="s">
        <v>122</v>
      </c>
      <c r="Q65" s="6"/>
      <c r="R65" s="338" t="s">
        <v>862</v>
      </c>
      <c r="S65" s="6" t="s">
        <v>114</v>
      </c>
      <c r="T65" s="6" t="s">
        <v>478</v>
      </c>
      <c r="U65" s="30">
        <v>45860</v>
      </c>
      <c r="V65" s="30">
        <v>46225</v>
      </c>
      <c r="W65" s="6">
        <f ca="1">V65-TODAY()</f>
        <v>140</v>
      </c>
      <c r="X65" s="221" t="str">
        <f ca="1">IF(W65&gt;=25,"Vigente",IF(AND(W65&gt;=1,W65&lt;=25),"Por Vencer","Vencido"))</f>
        <v>Vigente</v>
      </c>
      <c r="Y65" s="338" t="s">
        <v>596</v>
      </c>
      <c r="Z65" s="338" t="s">
        <v>238</v>
      </c>
      <c r="AA65" s="10"/>
    </row>
    <row r="66" spans="1:27" ht="178.5" hidden="1" customHeight="1">
      <c r="A66" s="19">
        <v>63</v>
      </c>
      <c r="B66" s="149" t="s">
        <v>35</v>
      </c>
      <c r="C66" s="234" t="s">
        <v>863</v>
      </c>
      <c r="D66" s="137">
        <v>5127401</v>
      </c>
      <c r="E66" s="137">
        <v>6</v>
      </c>
      <c r="F66" s="2">
        <v>77</v>
      </c>
      <c r="G66" s="2"/>
      <c r="H66" s="10" t="s">
        <v>864</v>
      </c>
      <c r="I66" s="2"/>
      <c r="J66" s="2"/>
      <c r="K66" s="2"/>
      <c r="L66" s="2"/>
      <c r="M66" s="2"/>
      <c r="N66" s="2"/>
      <c r="O66" s="6" t="s">
        <v>43</v>
      </c>
      <c r="P66" s="2" t="s">
        <v>106</v>
      </c>
      <c r="Q66" s="2"/>
      <c r="R66" s="10" t="s">
        <v>865</v>
      </c>
      <c r="S66" s="6" t="s">
        <v>114</v>
      </c>
      <c r="T66" s="338" t="s">
        <v>501</v>
      </c>
      <c r="U66" s="107">
        <v>45735</v>
      </c>
      <c r="V66" s="107">
        <v>45838</v>
      </c>
      <c r="W66" s="24">
        <f ca="1">V66-TODAY()</f>
        <v>-247</v>
      </c>
      <c r="X66" s="308" t="str">
        <f ca="1">IF(W66&gt;=25,"Vigente",IF(AND(W66&gt;=1,W66&lt;=25),"Por Vencer","Vencido"))</f>
        <v>Vencido</v>
      </c>
      <c r="Y66" s="341" t="s">
        <v>866</v>
      </c>
      <c r="Z66" s="338" t="s">
        <v>238</v>
      </c>
      <c r="AA66" s="10"/>
    </row>
    <row r="67" spans="1:27" ht="117" customHeight="1">
      <c r="A67" s="19">
        <v>64</v>
      </c>
      <c r="B67" s="149" t="s">
        <v>35</v>
      </c>
      <c r="C67" s="235" t="s">
        <v>867</v>
      </c>
      <c r="D67" s="137">
        <v>3990542</v>
      </c>
      <c r="E67" s="137">
        <v>6</v>
      </c>
      <c r="F67" s="2">
        <v>87</v>
      </c>
      <c r="G67" s="6" t="s">
        <v>71</v>
      </c>
      <c r="H67" s="10" t="s">
        <v>868</v>
      </c>
      <c r="I67" s="2"/>
      <c r="J67" s="2"/>
      <c r="K67" s="2"/>
      <c r="L67" s="2"/>
      <c r="M67" s="2"/>
      <c r="N67" s="2"/>
      <c r="O67" s="6" t="s">
        <v>43</v>
      </c>
      <c r="P67" s="6" t="s">
        <v>122</v>
      </c>
      <c r="Q67" s="2"/>
      <c r="R67" s="336" t="s">
        <v>869</v>
      </c>
      <c r="S67" s="6" t="s">
        <v>114</v>
      </c>
      <c r="T67" s="338" t="s">
        <v>478</v>
      </c>
      <c r="U67" s="2"/>
      <c r="V67" s="2"/>
      <c r="W67" s="6">
        <f ca="1">V67-TODAY()</f>
        <v>-46085</v>
      </c>
      <c r="X67" s="308" t="str">
        <f ca="1">IF(W67&gt;=25,"Vigente",IF(AND(W67&gt;=1,W67&lt;=25),"Por Vencer","Vencido"))</f>
        <v>Vencido</v>
      </c>
      <c r="Y67" s="336" t="s">
        <v>870</v>
      </c>
      <c r="Z67" s="338" t="s">
        <v>238</v>
      </c>
      <c r="AA67" s="368">
        <v>45986.4375</v>
      </c>
    </row>
    <row r="68" spans="1:27" ht="105" hidden="1" customHeight="1">
      <c r="A68" s="19">
        <v>65</v>
      </c>
      <c r="B68" s="267" t="s">
        <v>35</v>
      </c>
      <c r="C68" s="45" t="s">
        <v>871</v>
      </c>
      <c r="D68" s="255">
        <v>7020088</v>
      </c>
      <c r="E68" s="255">
        <v>0</v>
      </c>
      <c r="F68" s="255">
        <v>73</v>
      </c>
      <c r="G68" s="255" t="s">
        <v>46</v>
      </c>
      <c r="H68" s="45" t="s">
        <v>872</v>
      </c>
      <c r="I68" s="6">
        <v>2023</v>
      </c>
      <c r="J68" s="256">
        <v>45196</v>
      </c>
      <c r="K68" s="45" t="s">
        <v>54</v>
      </c>
      <c r="L68" s="45" t="s">
        <v>42</v>
      </c>
      <c r="M68" s="256">
        <v>45316</v>
      </c>
      <c r="N68" s="45" t="s">
        <v>873</v>
      </c>
      <c r="O68" s="45" t="s">
        <v>874</v>
      </c>
      <c r="P68" s="45" t="s">
        <v>122</v>
      </c>
      <c r="Q68" s="45"/>
      <c r="R68" s="338" t="s">
        <v>875</v>
      </c>
      <c r="S68" s="6" t="s">
        <v>186</v>
      </c>
      <c r="T68" s="338" t="s">
        <v>543</v>
      </c>
      <c r="U68" s="33">
        <v>45979</v>
      </c>
      <c r="V68" s="33">
        <v>46009</v>
      </c>
      <c r="W68" s="24">
        <f ca="1">V68-TODAY()</f>
        <v>-76</v>
      </c>
      <c r="X68" s="290" t="str">
        <f ca="1">IF(W68&gt;=25,"Vigente",IF(AND(W68&gt;=1,W68&lt;=25),"Por Vencer","Vencido"))</f>
        <v>Vencido</v>
      </c>
      <c r="Y68" s="344"/>
      <c r="Z68" s="338" t="s">
        <v>238</v>
      </c>
      <c r="AA68" s="304" t="s">
        <v>876</v>
      </c>
    </row>
    <row r="69" spans="1:27" ht="120.75" hidden="1" customHeight="1">
      <c r="A69" s="19">
        <v>66</v>
      </c>
      <c r="B69" s="20" t="s">
        <v>35</v>
      </c>
      <c r="C69" s="232" t="s">
        <v>877</v>
      </c>
      <c r="D69" s="135">
        <v>8034327</v>
      </c>
      <c r="E69" s="135">
        <v>2</v>
      </c>
      <c r="F69" s="6">
        <v>64</v>
      </c>
      <c r="G69" s="6" t="s">
        <v>46</v>
      </c>
      <c r="H69" s="6" t="s">
        <v>878</v>
      </c>
      <c r="I69" s="6">
        <v>2023</v>
      </c>
      <c r="J69" s="30">
        <v>45218</v>
      </c>
      <c r="K69" s="6" t="s">
        <v>54</v>
      </c>
      <c r="L69" s="6" t="s">
        <v>512</v>
      </c>
      <c r="M69" s="30">
        <v>45324</v>
      </c>
      <c r="N69" s="6" t="s">
        <v>879</v>
      </c>
      <c r="O69" s="6" t="s">
        <v>534</v>
      </c>
      <c r="P69" s="6" t="s">
        <v>122</v>
      </c>
      <c r="Q69" s="6"/>
      <c r="R69" s="338" t="s">
        <v>880</v>
      </c>
      <c r="S69" s="6" t="s">
        <v>881</v>
      </c>
      <c r="T69" s="6" t="s">
        <v>882</v>
      </c>
      <c r="U69" s="33">
        <v>45889</v>
      </c>
      <c r="V69" s="33">
        <v>45981</v>
      </c>
      <c r="W69" s="24">
        <f ca="1">V69-TODAY()</f>
        <v>-104</v>
      </c>
      <c r="X69" s="307" t="str">
        <f ca="1">IF(W69&gt;=25,"Vigente",IF(AND(W69&gt;=1,W69&lt;=25),"Por Vencer","Vencido"))</f>
        <v>Vencido</v>
      </c>
      <c r="Y69" s="344"/>
      <c r="Z69" s="338" t="s">
        <v>238</v>
      </c>
      <c r="AA69" s="344" t="s">
        <v>883</v>
      </c>
    </row>
    <row r="70" spans="1:27" ht="111.75" hidden="1" customHeight="1">
      <c r="A70" s="19">
        <v>67</v>
      </c>
      <c r="B70" s="23" t="s">
        <v>884</v>
      </c>
      <c r="C70" s="232" t="s">
        <v>885</v>
      </c>
      <c r="D70" s="135">
        <v>9548233</v>
      </c>
      <c r="E70" s="135">
        <v>3</v>
      </c>
      <c r="F70" s="6">
        <v>64</v>
      </c>
      <c r="G70" s="6" t="s">
        <v>125</v>
      </c>
      <c r="H70" s="6" t="s">
        <v>886</v>
      </c>
      <c r="I70" s="6">
        <v>2024</v>
      </c>
      <c r="J70" s="30">
        <v>45339</v>
      </c>
      <c r="K70" s="6" t="s">
        <v>54</v>
      </c>
      <c r="L70" s="6" t="s">
        <v>887</v>
      </c>
      <c r="M70" s="6" t="s">
        <v>888</v>
      </c>
      <c r="N70" s="6" t="s">
        <v>889</v>
      </c>
      <c r="O70" s="6" t="s">
        <v>43</v>
      </c>
      <c r="P70" s="6" t="s">
        <v>122</v>
      </c>
      <c r="Q70" s="6"/>
      <c r="R70" s="338" t="s">
        <v>890</v>
      </c>
      <c r="S70" s="6" t="s">
        <v>368</v>
      </c>
      <c r="T70" s="338" t="s">
        <v>543</v>
      </c>
      <c r="U70" s="33">
        <v>45491</v>
      </c>
      <c r="V70" s="33">
        <v>45856</v>
      </c>
      <c r="W70" s="24">
        <f ca="1">V70-TODAY()</f>
        <v>-229</v>
      </c>
      <c r="X70" s="308" t="str">
        <f ca="1">IF(W70&gt;=25,"Vigente",IF(AND(W70&gt;=1,W70&lt;=25),"Por Vencer","Vencido"))</f>
        <v>Vencido</v>
      </c>
      <c r="Y70" s="338" t="s">
        <v>549</v>
      </c>
      <c r="Z70" s="338" t="s">
        <v>238</v>
      </c>
      <c r="AA70" s="336" t="s">
        <v>891</v>
      </c>
    </row>
    <row r="71" spans="1:27" ht="132.75" hidden="1" customHeight="1">
      <c r="A71" s="19">
        <v>68</v>
      </c>
      <c r="B71" s="267" t="s">
        <v>35</v>
      </c>
      <c r="C71" s="234" t="s">
        <v>892</v>
      </c>
      <c r="D71" s="137">
        <v>7601135</v>
      </c>
      <c r="E71" s="137">
        <v>4</v>
      </c>
      <c r="F71" s="137">
        <v>67</v>
      </c>
      <c r="G71" s="255" t="s">
        <v>46</v>
      </c>
      <c r="H71" s="10" t="s">
        <v>893</v>
      </c>
      <c r="I71" s="2"/>
      <c r="J71" s="107">
        <v>45946</v>
      </c>
      <c r="K71" s="264" t="s">
        <v>41</v>
      </c>
      <c r="L71" s="264" t="s">
        <v>121</v>
      </c>
      <c r="M71" s="264" t="s">
        <v>513</v>
      </c>
      <c r="N71" s="264" t="s">
        <v>513</v>
      </c>
      <c r="O71" s="253" t="s">
        <v>43</v>
      </c>
      <c r="P71" s="264" t="s">
        <v>122</v>
      </c>
      <c r="Q71" s="2"/>
      <c r="R71" s="10" t="s">
        <v>894</v>
      </c>
      <c r="S71" s="336" t="s">
        <v>418</v>
      </c>
      <c r="T71" s="336" t="s">
        <v>501</v>
      </c>
      <c r="U71" s="107">
        <v>46014</v>
      </c>
      <c r="V71" s="107">
        <v>46045</v>
      </c>
      <c r="W71" s="24">
        <f ca="1">V71-TODAY()</f>
        <v>-40</v>
      </c>
      <c r="X71" s="290" t="str">
        <f ca="1">IF(W71&gt;=25,"Vigente",IF(AND(W71&gt;=1,W71&lt;=25),"Por Vencer","Vencido"))</f>
        <v>Vencido</v>
      </c>
      <c r="Y71" s="2"/>
      <c r="Z71" s="341" t="s">
        <v>895</v>
      </c>
      <c r="AA71" s="10" t="s">
        <v>896</v>
      </c>
    </row>
    <row r="72" spans="1:27" ht="149.25" hidden="1" customHeight="1">
      <c r="A72" s="19">
        <v>69</v>
      </c>
      <c r="B72" s="149" t="s">
        <v>35</v>
      </c>
      <c r="C72" s="234" t="s">
        <v>897</v>
      </c>
      <c r="D72" s="137">
        <v>5443239</v>
      </c>
      <c r="E72" s="137">
        <v>9</v>
      </c>
      <c r="F72" s="2">
        <v>79</v>
      </c>
      <c r="G72" s="341" t="s">
        <v>898</v>
      </c>
      <c r="H72" s="336" t="s">
        <v>899</v>
      </c>
      <c r="I72" s="2"/>
      <c r="J72" s="2"/>
      <c r="K72" s="2"/>
      <c r="L72" s="2"/>
      <c r="M72" s="2"/>
      <c r="N72" s="2"/>
      <c r="O72" s="6" t="s">
        <v>43</v>
      </c>
      <c r="P72" s="341" t="s">
        <v>106</v>
      </c>
      <c r="Q72" s="2"/>
      <c r="R72" s="336" t="s">
        <v>900</v>
      </c>
      <c r="S72" s="336" t="s">
        <v>114</v>
      </c>
      <c r="T72" s="338" t="s">
        <v>543</v>
      </c>
      <c r="U72" s="2"/>
      <c r="V72" s="2"/>
      <c r="W72" s="2"/>
      <c r="X72" s="291"/>
      <c r="Y72" s="341"/>
      <c r="Z72" s="338" t="s">
        <v>238</v>
      </c>
      <c r="AA72" s="349" t="s">
        <v>901</v>
      </c>
    </row>
    <row r="73" spans="1:27" ht="113.25" customHeight="1">
      <c r="A73" s="19">
        <v>70</v>
      </c>
      <c r="B73" s="149" t="s">
        <v>35</v>
      </c>
      <c r="C73" s="232" t="s">
        <v>902</v>
      </c>
      <c r="D73" s="140">
        <v>6290748</v>
      </c>
      <c r="E73" s="140">
        <v>7</v>
      </c>
      <c r="F73" s="6">
        <v>76</v>
      </c>
      <c r="G73" s="6" t="s">
        <v>282</v>
      </c>
      <c r="H73" s="6" t="s">
        <v>903</v>
      </c>
      <c r="I73" s="6">
        <v>2023</v>
      </c>
      <c r="J73" s="30">
        <v>45237</v>
      </c>
      <c r="K73" s="6" t="s">
        <v>41</v>
      </c>
      <c r="L73" s="6" t="s">
        <v>121</v>
      </c>
      <c r="M73" s="6" t="s">
        <v>105</v>
      </c>
      <c r="N73" s="6" t="s">
        <v>96</v>
      </c>
      <c r="O73" s="6" t="s">
        <v>43</v>
      </c>
      <c r="P73" s="6" t="s">
        <v>122</v>
      </c>
      <c r="Q73" s="6"/>
      <c r="R73" s="343" t="s">
        <v>904</v>
      </c>
      <c r="S73" s="6" t="s">
        <v>905</v>
      </c>
      <c r="T73" s="6" t="s">
        <v>306</v>
      </c>
      <c r="U73" s="33">
        <v>45839</v>
      </c>
      <c r="V73" s="33">
        <v>45840</v>
      </c>
      <c r="W73" s="24">
        <f ca="1">V73-TODAY()</f>
        <v>-245</v>
      </c>
      <c r="X73" s="307" t="str">
        <f ca="1">IF(W73&gt;=25,"Vigente",IF(AND(W73&gt;=1,W73&lt;=25),"Por Vencer","Vencido"))</f>
        <v>Vencido</v>
      </c>
      <c r="Y73" s="344"/>
      <c r="Z73" s="338" t="s">
        <v>238</v>
      </c>
      <c r="AA73" s="349" t="s">
        <v>906</v>
      </c>
    </row>
    <row r="74" spans="1:27" ht="138" hidden="1" customHeight="1">
      <c r="A74" s="19">
        <v>71</v>
      </c>
      <c r="B74" s="149" t="s">
        <v>35</v>
      </c>
      <c r="C74" s="232" t="s">
        <v>907</v>
      </c>
      <c r="D74" s="140">
        <v>4000897</v>
      </c>
      <c r="E74" s="140">
        <v>7</v>
      </c>
      <c r="F74" s="6">
        <v>88</v>
      </c>
      <c r="G74" s="6" t="s">
        <v>71</v>
      </c>
      <c r="H74" s="6" t="s">
        <v>908</v>
      </c>
      <c r="I74" s="6">
        <v>2024</v>
      </c>
      <c r="J74" s="30">
        <v>45607</v>
      </c>
      <c r="K74" s="6" t="s">
        <v>41</v>
      </c>
      <c r="L74" s="6" t="s">
        <v>59</v>
      </c>
      <c r="M74" s="6" t="s">
        <v>105</v>
      </c>
      <c r="N74" s="6" t="s">
        <v>96</v>
      </c>
      <c r="O74" s="6" t="s">
        <v>43</v>
      </c>
      <c r="P74" s="6" t="s">
        <v>122</v>
      </c>
      <c r="Q74" s="6"/>
      <c r="R74" s="338" t="s">
        <v>909</v>
      </c>
      <c r="S74" s="6" t="s">
        <v>114</v>
      </c>
      <c r="T74" s="338" t="s">
        <v>543</v>
      </c>
      <c r="U74" s="30">
        <v>45609</v>
      </c>
      <c r="V74" s="30">
        <v>45630</v>
      </c>
      <c r="W74" s="24">
        <f ca="1">V74-TODAY()</f>
        <v>-455</v>
      </c>
      <c r="X74" s="308" t="str">
        <f ca="1">IF(W74&gt;=25,"Vigente",IF(AND(W74&gt;=1,W74&lt;=25),"Por Vencer","Vencido"))</f>
        <v>Vencido</v>
      </c>
      <c r="Y74" s="338"/>
      <c r="Z74" s="338" t="s">
        <v>238</v>
      </c>
      <c r="AA74" s="336" t="s">
        <v>910</v>
      </c>
    </row>
    <row r="75" spans="1:27" ht="136.5" customHeight="1">
      <c r="A75" s="19">
        <v>72</v>
      </c>
      <c r="B75" s="149" t="s">
        <v>35</v>
      </c>
      <c r="C75" s="236" t="s">
        <v>911</v>
      </c>
      <c r="D75" s="148">
        <v>3302505</v>
      </c>
      <c r="E75" s="148" t="s">
        <v>50</v>
      </c>
      <c r="F75" s="24">
        <v>94</v>
      </c>
      <c r="G75" s="24" t="s">
        <v>39</v>
      </c>
      <c r="H75" s="24" t="s">
        <v>912</v>
      </c>
      <c r="I75" s="24">
        <v>2017</v>
      </c>
      <c r="J75" s="33">
        <v>42795</v>
      </c>
      <c r="K75" s="24" t="s">
        <v>41</v>
      </c>
      <c r="L75" s="24" t="s">
        <v>59</v>
      </c>
      <c r="M75" s="24" t="s">
        <v>105</v>
      </c>
      <c r="N75" s="24" t="s">
        <v>96</v>
      </c>
      <c r="O75" s="24" t="s">
        <v>43</v>
      </c>
      <c r="P75" s="6" t="s">
        <v>122</v>
      </c>
      <c r="Q75" s="6"/>
      <c r="R75" s="355" t="s">
        <v>913</v>
      </c>
      <c r="S75" s="6" t="s">
        <v>186</v>
      </c>
      <c r="T75" s="6" t="s">
        <v>478</v>
      </c>
      <c r="U75" s="33">
        <v>45567</v>
      </c>
      <c r="V75" s="33">
        <v>45749</v>
      </c>
      <c r="W75" s="24">
        <f ca="1">V75-TODAY()</f>
        <v>-336</v>
      </c>
      <c r="X75" s="307" t="str">
        <f ca="1">IF(W75&gt;=25,"Vigente",IF(AND(W75&gt;=1,W75&lt;=25),"Por Vencer","Vencido"))</f>
        <v>Vencido</v>
      </c>
      <c r="Y75" s="32" t="s">
        <v>914</v>
      </c>
      <c r="Z75" s="338" t="s">
        <v>238</v>
      </c>
      <c r="AA75" s="336" t="s">
        <v>915</v>
      </c>
    </row>
    <row r="76" spans="1:27" ht="114.75" hidden="1" customHeight="1">
      <c r="A76" s="19">
        <v>73</v>
      </c>
      <c r="B76" s="149" t="s">
        <v>35</v>
      </c>
      <c r="C76" s="233" t="s">
        <v>916</v>
      </c>
      <c r="D76" s="166">
        <v>5993352</v>
      </c>
      <c r="E76" s="166">
        <v>3</v>
      </c>
      <c r="F76" s="8">
        <v>74</v>
      </c>
      <c r="G76" s="8" t="s">
        <v>46</v>
      </c>
      <c r="H76" s="8" t="s">
        <v>917</v>
      </c>
      <c r="I76" s="8">
        <v>2019</v>
      </c>
      <c r="J76" s="31">
        <v>43782</v>
      </c>
      <c r="K76" s="8" t="s">
        <v>54</v>
      </c>
      <c r="L76" s="8" t="s">
        <v>42</v>
      </c>
      <c r="M76" s="31" t="s">
        <v>918</v>
      </c>
      <c r="N76" s="8" t="s">
        <v>81</v>
      </c>
      <c r="O76" s="8" t="s">
        <v>43</v>
      </c>
      <c r="P76" s="6" t="s">
        <v>122</v>
      </c>
      <c r="Q76" s="6"/>
      <c r="R76" s="347" t="s">
        <v>919</v>
      </c>
      <c r="S76" s="6" t="s">
        <v>114</v>
      </c>
      <c r="T76" s="338" t="s">
        <v>543</v>
      </c>
      <c r="U76" s="33">
        <v>45829</v>
      </c>
      <c r="V76" s="33">
        <v>45951</v>
      </c>
      <c r="W76" s="24">
        <f ca="1">V76-TODAY()</f>
        <v>-134</v>
      </c>
      <c r="X76" s="308" t="str">
        <f ca="1">IF(W76&gt;=25,"Vigente",IF(AND(W76&gt;=1,W76&lt;=25),"Por Vencer","Vencido"))</f>
        <v>Vencido</v>
      </c>
      <c r="Y76" s="348" t="s">
        <v>920</v>
      </c>
      <c r="Z76" s="338" t="s">
        <v>238</v>
      </c>
      <c r="AA76" s="10" t="s">
        <v>921</v>
      </c>
    </row>
    <row r="77" spans="1:27" ht="120.75" hidden="1" customHeight="1">
      <c r="A77" s="19">
        <v>74</v>
      </c>
      <c r="B77" s="21" t="s">
        <v>35</v>
      </c>
      <c r="C77" s="49" t="s">
        <v>922</v>
      </c>
      <c r="D77" s="159">
        <v>4424410</v>
      </c>
      <c r="E77" s="159">
        <v>1</v>
      </c>
      <c r="F77" s="49">
        <v>82</v>
      </c>
      <c r="G77" s="49" t="s">
        <v>39</v>
      </c>
      <c r="H77" s="49" t="s">
        <v>923</v>
      </c>
      <c r="I77" s="49">
        <v>2023</v>
      </c>
      <c r="J77" s="55">
        <v>45138</v>
      </c>
      <c r="K77" s="49" t="s">
        <v>54</v>
      </c>
      <c r="L77" s="49" t="s">
        <v>42</v>
      </c>
      <c r="M77" s="55">
        <v>45184</v>
      </c>
      <c r="N77" s="49" t="s">
        <v>924</v>
      </c>
      <c r="O77" s="49" t="s">
        <v>925</v>
      </c>
      <c r="P77" s="6" t="s">
        <v>122</v>
      </c>
      <c r="Q77" s="6"/>
      <c r="R77" s="49" t="s">
        <v>926</v>
      </c>
      <c r="S77" s="6" t="s">
        <v>114</v>
      </c>
      <c r="T77" s="338" t="s">
        <v>543</v>
      </c>
      <c r="U77" s="33">
        <v>45790</v>
      </c>
      <c r="V77" s="33">
        <v>45851</v>
      </c>
      <c r="W77" s="24">
        <f ca="1">V77-TODAY()</f>
        <v>-234</v>
      </c>
      <c r="X77" s="308" t="str">
        <f ca="1">IF(W77&gt;=25,"Vigente",IF(AND(W77&gt;=1,W77&lt;=25),"Por Vencer","Vencido"))</f>
        <v>Vencido</v>
      </c>
      <c r="Y77" s="348" t="s">
        <v>927</v>
      </c>
      <c r="Z77" s="338" t="s">
        <v>238</v>
      </c>
      <c r="AA77" s="251" t="s">
        <v>928</v>
      </c>
    </row>
    <row r="78" spans="1:27" ht="129" customHeight="1">
      <c r="A78" s="19">
        <v>75</v>
      </c>
      <c r="B78" s="149" t="s">
        <v>35</v>
      </c>
      <c r="C78" s="232" t="s">
        <v>929</v>
      </c>
      <c r="D78" s="169">
        <v>6124729</v>
      </c>
      <c r="E78" s="140">
        <v>7</v>
      </c>
      <c r="F78" s="6">
        <v>80</v>
      </c>
      <c r="G78" s="6" t="s">
        <v>57</v>
      </c>
      <c r="H78" s="6" t="s">
        <v>930</v>
      </c>
      <c r="I78" s="6">
        <v>2023</v>
      </c>
      <c r="J78" s="30">
        <v>45169</v>
      </c>
      <c r="K78" s="6" t="s">
        <v>41</v>
      </c>
      <c r="L78" s="6" t="s">
        <v>59</v>
      </c>
      <c r="M78" s="6" t="s">
        <v>178</v>
      </c>
      <c r="N78" s="6" t="s">
        <v>133</v>
      </c>
      <c r="O78" s="6" t="s">
        <v>43</v>
      </c>
      <c r="P78" s="6" t="s">
        <v>122</v>
      </c>
      <c r="Q78" s="6"/>
      <c r="R78" s="338" t="s">
        <v>931</v>
      </c>
      <c r="S78" s="6" t="s">
        <v>932</v>
      </c>
      <c r="T78" s="6" t="s">
        <v>478</v>
      </c>
      <c r="U78" s="33">
        <v>45625</v>
      </c>
      <c r="V78" s="33">
        <v>45806</v>
      </c>
      <c r="W78" s="24">
        <f ca="1">V78-TODAY()</f>
        <v>-279</v>
      </c>
      <c r="X78" s="307" t="str">
        <f ca="1">IF(W78&gt;=25,"Vigente",IF(AND(W78&gt;=1,W78&lt;=25),"Por Vencer","Vencido"))</f>
        <v>Vencido</v>
      </c>
      <c r="Y78" s="6" t="s">
        <v>933</v>
      </c>
      <c r="Z78" s="338" t="s">
        <v>238</v>
      </c>
      <c r="AA78" s="10" t="s">
        <v>934</v>
      </c>
    </row>
    <row r="79" spans="1:27" ht="105.75" hidden="1" customHeight="1">
      <c r="A79" s="19">
        <v>76</v>
      </c>
      <c r="B79" s="149" t="s">
        <v>35</v>
      </c>
      <c r="C79" s="235" t="s">
        <v>935</v>
      </c>
      <c r="D79" s="137">
        <v>9513510</v>
      </c>
      <c r="E79" s="137">
        <v>2</v>
      </c>
      <c r="F79" s="2"/>
      <c r="G79" s="2"/>
      <c r="H79" s="10" t="s">
        <v>936</v>
      </c>
      <c r="I79" s="2"/>
      <c r="J79" s="2"/>
      <c r="K79" s="2"/>
      <c r="L79" s="2"/>
      <c r="M79" s="2"/>
      <c r="N79" s="2"/>
      <c r="O79" s="6" t="s">
        <v>43</v>
      </c>
      <c r="P79" s="2"/>
      <c r="Q79" s="2"/>
      <c r="R79" s="336" t="s">
        <v>937</v>
      </c>
      <c r="S79" s="6" t="s">
        <v>114</v>
      </c>
      <c r="T79" s="338" t="s">
        <v>543</v>
      </c>
      <c r="U79" s="107">
        <v>45888</v>
      </c>
      <c r="V79" s="107">
        <v>45888</v>
      </c>
      <c r="W79" s="2">
        <f ca="1">V79-TODAY()</f>
        <v>-197</v>
      </c>
      <c r="X79" s="311" t="str">
        <f ca="1">IF(W79&gt;=25,"Vigente",IF(AND(W79&gt;=1,W79&lt;=25),"Por Vencer","Vencido"))</f>
        <v>Vencido</v>
      </c>
      <c r="Y79" s="336"/>
      <c r="Z79" s="338" t="s">
        <v>238</v>
      </c>
      <c r="AA79" s="336" t="s">
        <v>938</v>
      </c>
    </row>
    <row r="80" spans="1:27" ht="115.5" hidden="1" customHeight="1">
      <c r="A80" s="19">
        <v>77</v>
      </c>
      <c r="B80" s="149" t="s">
        <v>35</v>
      </c>
      <c r="C80" s="232" t="s">
        <v>939</v>
      </c>
      <c r="D80" s="369">
        <v>19271365</v>
      </c>
      <c r="E80" s="140" t="s">
        <v>281</v>
      </c>
      <c r="F80" s="6">
        <v>28</v>
      </c>
      <c r="G80" s="6" t="s">
        <v>71</v>
      </c>
      <c r="H80" s="6" t="s">
        <v>940</v>
      </c>
      <c r="I80" s="6">
        <v>2023</v>
      </c>
      <c r="J80" s="30">
        <v>45212</v>
      </c>
      <c r="K80" s="6" t="s">
        <v>41</v>
      </c>
      <c r="L80" s="6" t="s">
        <v>576</v>
      </c>
      <c r="M80" s="6" t="s">
        <v>105</v>
      </c>
      <c r="N80" s="6" t="s">
        <v>133</v>
      </c>
      <c r="O80" s="6" t="s">
        <v>43</v>
      </c>
      <c r="P80" s="6" t="s">
        <v>122</v>
      </c>
      <c r="Q80" s="6"/>
      <c r="R80" s="338" t="s">
        <v>941</v>
      </c>
      <c r="S80" s="6" t="s">
        <v>114</v>
      </c>
      <c r="T80" s="338" t="s">
        <v>543</v>
      </c>
      <c r="U80" s="30">
        <v>45835</v>
      </c>
      <c r="V80" s="30">
        <v>45865</v>
      </c>
      <c r="W80" s="24">
        <f ca="1">V80-TODAY()</f>
        <v>-220</v>
      </c>
      <c r="X80" s="308" t="str">
        <f ca="1">IF(W80&gt;=25,"Vigente",IF(AND(W80&gt;=1,W80&lt;=25),"Por Vencer","Vencido"))</f>
        <v>Vencido</v>
      </c>
      <c r="Y80" s="338" t="s">
        <v>942</v>
      </c>
      <c r="Z80" s="338" t="s">
        <v>238</v>
      </c>
      <c r="AA80" s="10" t="s">
        <v>943</v>
      </c>
    </row>
    <row r="81" spans="1:29" ht="129" hidden="1" customHeight="1">
      <c r="A81" s="19">
        <v>78</v>
      </c>
      <c r="B81" s="23" t="s">
        <v>35</v>
      </c>
      <c r="C81" s="51" t="s">
        <v>944</v>
      </c>
      <c r="D81" s="158">
        <v>4261599</v>
      </c>
      <c r="E81" s="158">
        <v>4</v>
      </c>
      <c r="F81" s="52">
        <v>82</v>
      </c>
      <c r="G81" s="52" t="s">
        <v>46</v>
      </c>
      <c r="H81" s="52" t="s">
        <v>303</v>
      </c>
      <c r="I81" s="52">
        <v>2022</v>
      </c>
      <c r="J81" s="56">
        <v>44585</v>
      </c>
      <c r="K81" s="56" t="s">
        <v>54</v>
      </c>
      <c r="L81" s="52" t="s">
        <v>42</v>
      </c>
      <c r="M81" s="56">
        <v>44671</v>
      </c>
      <c r="N81" s="52" t="s">
        <v>81</v>
      </c>
      <c r="O81" s="52" t="s">
        <v>43</v>
      </c>
      <c r="P81" s="6" t="s">
        <v>122</v>
      </c>
      <c r="Q81" s="6"/>
      <c r="R81" s="52" t="s">
        <v>945</v>
      </c>
      <c r="S81" s="6" t="s">
        <v>186</v>
      </c>
      <c r="T81" s="338" t="s">
        <v>543</v>
      </c>
      <c r="U81" s="33">
        <v>45664</v>
      </c>
      <c r="V81" s="33">
        <v>45845</v>
      </c>
      <c r="W81" s="24">
        <f ca="1">V81-TODAY()</f>
        <v>-240</v>
      </c>
      <c r="X81" s="308" t="str">
        <f ca="1">IF(W81&gt;=25,"Vigente",IF(AND(W81&gt;=1,W81&lt;=25),"Por Vencer","Vencido"))</f>
        <v>Vencido</v>
      </c>
      <c r="Y81" s="30" t="s">
        <v>946</v>
      </c>
      <c r="Z81" s="338" t="s">
        <v>238</v>
      </c>
      <c r="AA81" s="10" t="s">
        <v>947</v>
      </c>
      <c r="AB81" s="1" t="s">
        <v>948</v>
      </c>
      <c r="AC81" s="370" t="s">
        <v>949</v>
      </c>
    </row>
    <row r="82" spans="1:29" ht="119.25" hidden="1" customHeight="1">
      <c r="A82" s="19">
        <v>79</v>
      </c>
      <c r="B82" s="149" t="s">
        <v>35</v>
      </c>
      <c r="C82" s="240" t="s">
        <v>950</v>
      </c>
      <c r="D82" s="148">
        <v>5774075</v>
      </c>
      <c r="E82" s="148">
        <v>2</v>
      </c>
      <c r="F82" s="24">
        <v>76</v>
      </c>
      <c r="G82" s="24" t="s">
        <v>39</v>
      </c>
      <c r="H82" s="24" t="s">
        <v>951</v>
      </c>
      <c r="I82" s="24">
        <v>2022</v>
      </c>
      <c r="J82" s="33">
        <v>44618</v>
      </c>
      <c r="K82" s="33" t="s">
        <v>54</v>
      </c>
      <c r="L82" s="24" t="s">
        <v>42</v>
      </c>
      <c r="M82" s="24" t="s">
        <v>105</v>
      </c>
      <c r="N82" s="24" t="s">
        <v>96</v>
      </c>
      <c r="O82" s="24" t="s">
        <v>164</v>
      </c>
      <c r="P82" s="6" t="s">
        <v>122</v>
      </c>
      <c r="Q82" s="6"/>
      <c r="R82" s="343" t="s">
        <v>952</v>
      </c>
      <c r="S82" s="6" t="s">
        <v>114</v>
      </c>
      <c r="T82" s="338" t="s">
        <v>543</v>
      </c>
      <c r="U82" s="33">
        <v>45511</v>
      </c>
      <c r="V82" s="33">
        <v>45695</v>
      </c>
      <c r="W82" s="24">
        <f ca="1">V82-TODAY()</f>
        <v>-390</v>
      </c>
      <c r="X82" s="308" t="str">
        <f ca="1">IF(W82&gt;=25,"Vigente",IF(AND(W82&gt;=1,W82&lt;=25),"Por Vencer","Vencido"))</f>
        <v>Vencido</v>
      </c>
      <c r="Y82" s="348" t="s">
        <v>953</v>
      </c>
      <c r="Z82" s="338" t="s">
        <v>238</v>
      </c>
      <c r="AA82" s="10" t="s">
        <v>954</v>
      </c>
    </row>
    <row r="83" spans="1:29" ht="123" hidden="1" customHeight="1">
      <c r="A83" s="19">
        <v>80</v>
      </c>
      <c r="B83" s="269" t="s">
        <v>35</v>
      </c>
      <c r="C83" s="227" t="s">
        <v>955</v>
      </c>
      <c r="D83" s="264">
        <v>6512579</v>
      </c>
      <c r="E83" s="264" t="s">
        <v>50</v>
      </c>
      <c r="F83" s="265">
        <v>71</v>
      </c>
      <c r="G83" s="255" t="s">
        <v>510</v>
      </c>
      <c r="H83" s="227" t="s">
        <v>956</v>
      </c>
      <c r="I83" s="2"/>
      <c r="J83" s="264"/>
      <c r="K83" s="264"/>
      <c r="L83" s="264"/>
      <c r="M83" s="264"/>
      <c r="N83" s="264"/>
      <c r="O83" s="264" t="s">
        <v>43</v>
      </c>
      <c r="P83" s="45" t="s">
        <v>122</v>
      </c>
      <c r="Q83" s="264"/>
      <c r="R83" s="336" t="s">
        <v>957</v>
      </c>
      <c r="S83" s="10" t="s">
        <v>958</v>
      </c>
      <c r="T83" s="336" t="s">
        <v>501</v>
      </c>
      <c r="U83" s="107">
        <v>45910</v>
      </c>
      <c r="V83" s="107">
        <v>46001</v>
      </c>
      <c r="W83" s="24">
        <f ca="1">V83-TODAY()</f>
        <v>-84</v>
      </c>
      <c r="X83" s="290" t="str">
        <f ca="1">IF(W83&gt;=25,"Vigente",IF(AND(W83&gt;=1,W83&lt;=25),"Por Vencer","Vencido"))</f>
        <v>Vencido</v>
      </c>
      <c r="Y83" s="2"/>
      <c r="Z83" s="2" t="s">
        <v>238</v>
      </c>
      <c r="AA83" s="336" t="s">
        <v>959</v>
      </c>
    </row>
    <row r="84" spans="1:29" ht="123" hidden="1" customHeight="1">
      <c r="A84" s="19">
        <v>81</v>
      </c>
      <c r="B84" s="149" t="s">
        <v>35</v>
      </c>
      <c r="C84" s="232" t="s">
        <v>960</v>
      </c>
      <c r="D84" s="140">
        <v>8997592</v>
      </c>
      <c r="E84" s="140">
        <v>1</v>
      </c>
      <c r="F84" s="6">
        <v>64</v>
      </c>
      <c r="G84" s="6" t="s">
        <v>46</v>
      </c>
      <c r="H84" s="6" t="s">
        <v>961</v>
      </c>
      <c r="I84" s="24">
        <v>2022</v>
      </c>
      <c r="J84" s="33">
        <v>44893</v>
      </c>
      <c r="K84" s="24" t="s">
        <v>54</v>
      </c>
      <c r="L84" s="24" t="s">
        <v>42</v>
      </c>
      <c r="M84" s="24" t="s">
        <v>105</v>
      </c>
      <c r="N84" s="24" t="s">
        <v>96</v>
      </c>
      <c r="O84" s="6" t="s">
        <v>43</v>
      </c>
      <c r="P84" s="6" t="s">
        <v>122</v>
      </c>
      <c r="Q84" s="6"/>
      <c r="R84" s="338" t="s">
        <v>962</v>
      </c>
      <c r="S84" s="6" t="s">
        <v>963</v>
      </c>
      <c r="T84" s="338" t="s">
        <v>543</v>
      </c>
      <c r="U84" s="30">
        <v>45881</v>
      </c>
      <c r="V84" s="30">
        <v>46246</v>
      </c>
      <c r="W84" s="6">
        <f ca="1">V84-TODAY()</f>
        <v>161</v>
      </c>
      <c r="X84" s="292" t="str">
        <f ca="1">IF(W84&gt;=25,"Vigente",IF(AND(W84&gt;=1,W84&lt;=25),"Por Vencer","Vencido"))</f>
        <v>Vigente</v>
      </c>
      <c r="Y84" s="344"/>
      <c r="Z84" s="338" t="s">
        <v>238</v>
      </c>
      <c r="AA84" s="344" t="s">
        <v>964</v>
      </c>
    </row>
    <row r="85" spans="1:29" ht="128.25" hidden="1" customHeight="1">
      <c r="A85" s="19">
        <v>82</v>
      </c>
      <c r="B85" s="182"/>
      <c r="C85" s="234" t="s">
        <v>965</v>
      </c>
      <c r="D85" s="137">
        <v>18886957</v>
      </c>
      <c r="E85" s="137">
        <v>2</v>
      </c>
      <c r="F85" s="265">
        <v>31</v>
      </c>
      <c r="G85" s="261" t="s">
        <v>71</v>
      </c>
      <c r="H85" s="10" t="s">
        <v>966</v>
      </c>
      <c r="I85" s="2"/>
      <c r="J85" s="2" t="s">
        <v>703</v>
      </c>
      <c r="K85" s="264" t="s">
        <v>41</v>
      </c>
      <c r="L85" s="264" t="s">
        <v>704</v>
      </c>
      <c r="M85" s="264" t="s">
        <v>513</v>
      </c>
      <c r="N85" s="264" t="s">
        <v>513</v>
      </c>
      <c r="O85" s="253" t="s">
        <v>43</v>
      </c>
      <c r="P85" s="264" t="s">
        <v>122</v>
      </c>
      <c r="Q85" s="2"/>
      <c r="R85" s="10" t="s">
        <v>967</v>
      </c>
      <c r="S85" s="10" t="s">
        <v>114</v>
      </c>
      <c r="T85" s="336" t="s">
        <v>501</v>
      </c>
      <c r="U85" s="107">
        <v>46014</v>
      </c>
      <c r="V85" s="107">
        <v>46076</v>
      </c>
      <c r="W85" s="24">
        <f ca="1">V85-TODAY()</f>
        <v>-9</v>
      </c>
      <c r="X85" s="308" t="str">
        <f ca="1">IF(W85&gt;=25,"Vigente",IF(AND(W85&gt;=1,W85&lt;=25),"Por Vencer","Vencido"))</f>
        <v>Vencido</v>
      </c>
      <c r="Y85" s="2"/>
      <c r="Z85" s="336" t="s">
        <v>261</v>
      </c>
      <c r="AA85" s="10" t="s">
        <v>968</v>
      </c>
    </row>
    <row r="86" spans="1:29" ht="117.75" hidden="1" customHeight="1">
      <c r="A86" s="19">
        <v>83</v>
      </c>
      <c r="B86" s="254" t="s">
        <v>35</v>
      </c>
      <c r="C86" s="264" t="s">
        <v>969</v>
      </c>
      <c r="D86" s="265">
        <v>21564655</v>
      </c>
      <c r="E86" s="265">
        <v>6</v>
      </c>
      <c r="F86" s="265">
        <v>21</v>
      </c>
      <c r="G86" s="265" t="s">
        <v>71</v>
      </c>
      <c r="H86" s="227" t="s">
        <v>970</v>
      </c>
      <c r="I86" s="2"/>
      <c r="J86" s="264"/>
      <c r="K86" s="264" t="s">
        <v>41</v>
      </c>
      <c r="L86" s="264"/>
      <c r="M86" s="264" t="s">
        <v>513</v>
      </c>
      <c r="N86" s="264" t="s">
        <v>513</v>
      </c>
      <c r="O86" s="253" t="s">
        <v>43</v>
      </c>
      <c r="P86" s="45" t="s">
        <v>122</v>
      </c>
      <c r="Q86" s="264"/>
      <c r="R86" s="336" t="s">
        <v>971</v>
      </c>
      <c r="S86" s="10" t="s">
        <v>114</v>
      </c>
      <c r="T86" s="336" t="s">
        <v>501</v>
      </c>
      <c r="U86" s="107">
        <v>45987</v>
      </c>
      <c r="V86" s="107">
        <v>46079</v>
      </c>
      <c r="W86" s="24">
        <f ca="1">V86-TODAY()</f>
        <v>-6</v>
      </c>
      <c r="X86" s="288" t="str">
        <f ca="1">IF(W86&gt;=25,"Vigente",IF(AND(W86&gt;=1,W86&lt;=25),"Por Vencer","Vencido"))</f>
        <v>Vencido</v>
      </c>
      <c r="Y86" s="2"/>
      <c r="Z86" s="336" t="s">
        <v>261</v>
      </c>
      <c r="AA86" s="336" t="s">
        <v>972</v>
      </c>
    </row>
    <row r="87" spans="1:29" ht="125.25" hidden="1" customHeight="1">
      <c r="A87" s="19">
        <v>84</v>
      </c>
      <c r="B87" s="149" t="s">
        <v>35</v>
      </c>
      <c r="C87" s="49" t="s">
        <v>973</v>
      </c>
      <c r="D87" s="140">
        <v>919595</v>
      </c>
      <c r="E87" s="140">
        <v>5</v>
      </c>
      <c r="F87" s="6">
        <v>75</v>
      </c>
      <c r="G87" s="6" t="s">
        <v>57</v>
      </c>
      <c r="H87" s="6" t="s">
        <v>974</v>
      </c>
      <c r="I87" s="24">
        <v>2020</v>
      </c>
      <c r="J87" s="33">
        <v>43899</v>
      </c>
      <c r="K87" s="33" t="s">
        <v>54</v>
      </c>
      <c r="L87" s="24" t="s">
        <v>42</v>
      </c>
      <c r="M87" s="33">
        <v>45681</v>
      </c>
      <c r="N87" s="24" t="s">
        <v>975</v>
      </c>
      <c r="O87" s="6" t="s">
        <v>164</v>
      </c>
      <c r="P87" s="6" t="s">
        <v>122</v>
      </c>
      <c r="Q87" s="6"/>
      <c r="R87" s="338" t="s">
        <v>976</v>
      </c>
      <c r="S87" s="6" t="s">
        <v>114</v>
      </c>
      <c r="T87" s="338" t="s">
        <v>543</v>
      </c>
      <c r="U87" s="30">
        <v>45888</v>
      </c>
      <c r="V87" s="30">
        <v>46041</v>
      </c>
      <c r="W87" s="6">
        <f ca="1">V87-TODAY()</f>
        <v>-44</v>
      </c>
      <c r="X87" s="292" t="str">
        <f ca="1">IF(W87&gt;=25,"Vigente",IF(AND(W87&gt;=1,W87&lt;=25),"Por Vencer","Vencido"))</f>
        <v>Vencido</v>
      </c>
      <c r="Y87" s="348"/>
      <c r="Z87" s="338" t="s">
        <v>238</v>
      </c>
      <c r="AA87" s="252" t="s">
        <v>977</v>
      </c>
    </row>
    <row r="88" spans="1:29" ht="113.25" hidden="1" customHeight="1">
      <c r="A88" s="19">
        <v>85</v>
      </c>
      <c r="B88" s="196" t="s">
        <v>35</v>
      </c>
      <c r="C88" s="241" t="s">
        <v>978</v>
      </c>
      <c r="D88" s="198">
        <v>11382033</v>
      </c>
      <c r="E88" s="198">
        <v>0</v>
      </c>
      <c r="F88" s="197">
        <v>55</v>
      </c>
      <c r="G88" s="363" t="s">
        <v>71</v>
      </c>
      <c r="H88" s="197" t="s">
        <v>979</v>
      </c>
      <c r="I88" s="6"/>
      <c r="J88" s="6"/>
      <c r="K88" s="6"/>
      <c r="L88" s="6"/>
      <c r="M88" s="6"/>
      <c r="N88" s="6"/>
      <c r="O88" s="197" t="s">
        <v>43</v>
      </c>
      <c r="P88" s="6" t="s">
        <v>122</v>
      </c>
      <c r="Q88" s="6"/>
      <c r="R88" s="363" t="s">
        <v>980</v>
      </c>
      <c r="S88" s="363" t="s">
        <v>630</v>
      </c>
      <c r="T88" s="338" t="s">
        <v>543</v>
      </c>
      <c r="U88" s="199">
        <v>45835</v>
      </c>
      <c r="V88" s="199">
        <v>45896</v>
      </c>
      <c r="W88" s="197">
        <f ca="1">V88-TODAY()</f>
        <v>-189</v>
      </c>
      <c r="X88" s="309" t="str">
        <f ca="1">IF(W88&gt;=25,"Vigente",IF(AND(W88&gt;=1,W88&lt;=25),"Por Vencer","Vencido"))</f>
        <v>Vencido</v>
      </c>
      <c r="Y88" s="363"/>
      <c r="Z88" s="338" t="s">
        <v>238</v>
      </c>
      <c r="AA88" s="305" t="s">
        <v>981</v>
      </c>
    </row>
    <row r="89" spans="1:29" ht="120.75" hidden="1" customHeight="1">
      <c r="A89" s="19">
        <v>86</v>
      </c>
      <c r="B89" s="254" t="s">
        <v>35</v>
      </c>
      <c r="C89" s="45" t="s">
        <v>982</v>
      </c>
      <c r="D89" s="255">
        <v>16110407</v>
      </c>
      <c r="E89" s="255">
        <v>8</v>
      </c>
      <c r="F89" s="255">
        <v>38</v>
      </c>
      <c r="G89" s="255" t="s">
        <v>46</v>
      </c>
      <c r="H89" s="268" t="s">
        <v>983</v>
      </c>
      <c r="I89" s="192">
        <v>2024</v>
      </c>
      <c r="J89" s="256">
        <v>45415</v>
      </c>
      <c r="K89" s="45" t="s">
        <v>41</v>
      </c>
      <c r="L89" s="45" t="s">
        <v>121</v>
      </c>
      <c r="M89" s="45" t="s">
        <v>105</v>
      </c>
      <c r="N89" s="329" t="s">
        <v>96</v>
      </c>
      <c r="O89" s="45" t="s">
        <v>43</v>
      </c>
      <c r="P89" s="45" t="s">
        <v>122</v>
      </c>
      <c r="Q89" s="330"/>
      <c r="R89" s="338" t="s">
        <v>984</v>
      </c>
      <c r="S89" s="6" t="s">
        <v>114</v>
      </c>
      <c r="T89" s="338" t="s">
        <v>543</v>
      </c>
      <c r="U89" s="33">
        <v>45965</v>
      </c>
      <c r="V89" s="33">
        <v>45995</v>
      </c>
      <c r="W89" s="24">
        <f ca="1">V89-TODAY()</f>
        <v>-90</v>
      </c>
      <c r="X89" s="290" t="str">
        <f ca="1">IF(W89&gt;=25,"Vigente",IF(AND(W89&gt;=1,W89&lt;=25),"Por Vencer","Vencido"))</f>
        <v>Vencido</v>
      </c>
      <c r="Y89" s="338"/>
      <c r="Z89" s="338" t="s">
        <v>238</v>
      </c>
      <c r="AA89" s="10" t="s">
        <v>985</v>
      </c>
    </row>
    <row r="90" spans="1:29" ht="105" hidden="1" customHeight="1">
      <c r="A90" s="19">
        <v>87</v>
      </c>
      <c r="B90" s="200" t="s">
        <v>35</v>
      </c>
      <c r="C90" s="306" t="s">
        <v>986</v>
      </c>
      <c r="D90" s="325">
        <v>17112114</v>
      </c>
      <c r="E90" s="325">
        <v>0</v>
      </c>
      <c r="F90" s="203">
        <v>35</v>
      </c>
      <c r="G90" s="203" t="s">
        <v>71</v>
      </c>
      <c r="H90" s="203" t="s">
        <v>987</v>
      </c>
      <c r="I90" s="6">
        <v>2024</v>
      </c>
      <c r="J90" s="30">
        <v>45423</v>
      </c>
      <c r="K90" s="6" t="s">
        <v>132</v>
      </c>
      <c r="L90" s="6" t="s">
        <v>765</v>
      </c>
      <c r="M90" s="6" t="s">
        <v>105</v>
      </c>
      <c r="N90" s="6" t="s">
        <v>96</v>
      </c>
      <c r="O90" s="203" t="s">
        <v>43</v>
      </c>
      <c r="P90" s="203" t="s">
        <v>122</v>
      </c>
      <c r="Q90" s="6"/>
      <c r="R90" s="366" t="s">
        <v>988</v>
      </c>
      <c r="S90" s="203" t="s">
        <v>114</v>
      </c>
      <c r="T90" s="338" t="s">
        <v>543</v>
      </c>
      <c r="U90" s="220">
        <v>45804</v>
      </c>
      <c r="V90" s="220">
        <v>45888</v>
      </c>
      <c r="W90" s="211">
        <f ca="1">V90-TODAY()</f>
        <v>-197</v>
      </c>
      <c r="X90" s="312" t="str">
        <f ca="1">IF(W90&gt;=25,"Vigente",IF(AND(W90&gt;=1,W90&lt;=25),"Por Vencer","Vencido"))</f>
        <v>Vencido</v>
      </c>
      <c r="Y90" s="371" t="s">
        <v>989</v>
      </c>
      <c r="Z90" s="338" t="s">
        <v>238</v>
      </c>
      <c r="AA90" s="204" t="s">
        <v>990</v>
      </c>
    </row>
    <row r="91" spans="1:29" ht="123.75" customHeight="1">
      <c r="A91" s="19">
        <v>88</v>
      </c>
      <c r="B91" s="269" t="s">
        <v>35</v>
      </c>
      <c r="C91" s="264" t="s">
        <v>991</v>
      </c>
      <c r="D91" s="265">
        <v>5842430</v>
      </c>
      <c r="E91" s="265">
        <v>7</v>
      </c>
      <c r="F91" s="265">
        <v>78</v>
      </c>
      <c r="G91" s="265"/>
      <c r="H91" s="227" t="s">
        <v>992</v>
      </c>
      <c r="I91" s="2"/>
      <c r="J91" s="264"/>
      <c r="K91" s="264"/>
      <c r="L91" s="264"/>
      <c r="M91" s="264"/>
      <c r="N91" s="264"/>
      <c r="O91" s="45" t="s">
        <v>43</v>
      </c>
      <c r="P91" s="264" t="s">
        <v>106</v>
      </c>
      <c r="Q91" s="264"/>
      <c r="R91" s="336" t="s">
        <v>993</v>
      </c>
      <c r="S91" s="6" t="s">
        <v>114</v>
      </c>
      <c r="T91" s="341" t="s">
        <v>478</v>
      </c>
      <c r="U91" s="107">
        <v>46042</v>
      </c>
      <c r="V91" s="107">
        <v>46101</v>
      </c>
      <c r="W91" s="2">
        <f ca="1">V91-TODAY()</f>
        <v>16</v>
      </c>
      <c r="X91" s="222" t="str">
        <f ca="1">IF(W91&gt;=25,"Vigente",IF(AND(W91&gt;=1,W91&lt;=25),"Por Vencer","Vencido"))</f>
        <v>Por Vencer</v>
      </c>
      <c r="Y91" s="336"/>
      <c r="Z91" s="338" t="s">
        <v>238</v>
      </c>
      <c r="AA91" s="10" t="s">
        <v>994</v>
      </c>
      <c r="AB91" t="s">
        <v>54</v>
      </c>
    </row>
    <row r="92" spans="1:29" ht="127.5" customHeight="1">
      <c r="A92" s="19">
        <v>89</v>
      </c>
      <c r="B92" s="149" t="s">
        <v>35</v>
      </c>
      <c r="C92" s="236" t="s">
        <v>995</v>
      </c>
      <c r="D92" s="148">
        <v>3171633</v>
      </c>
      <c r="E92" s="148">
        <v>0</v>
      </c>
      <c r="F92" s="24">
        <v>91</v>
      </c>
      <c r="G92" s="24" t="s">
        <v>46</v>
      </c>
      <c r="H92" s="24" t="s">
        <v>996</v>
      </c>
      <c r="I92" s="24">
        <v>2023</v>
      </c>
      <c r="J92" s="33">
        <v>45125</v>
      </c>
      <c r="K92" s="24" t="s">
        <v>41</v>
      </c>
      <c r="L92" s="24" t="s">
        <v>42</v>
      </c>
      <c r="M92" s="24" t="s">
        <v>997</v>
      </c>
      <c r="N92" s="24" t="s">
        <v>998</v>
      </c>
      <c r="O92" s="24" t="s">
        <v>43</v>
      </c>
      <c r="P92" s="6" t="s">
        <v>122</v>
      </c>
      <c r="Q92" s="6"/>
      <c r="R92" s="343" t="s">
        <v>999</v>
      </c>
      <c r="S92" s="6" t="s">
        <v>114</v>
      </c>
      <c r="T92" s="341" t="s">
        <v>478</v>
      </c>
      <c r="U92" s="33">
        <v>45916</v>
      </c>
      <c r="V92" s="33">
        <v>46189</v>
      </c>
      <c r="W92" s="24">
        <f ca="1">V92-TODAY()</f>
        <v>104</v>
      </c>
      <c r="X92" s="221" t="str">
        <f ca="1">IF(W92&gt;=25,"Vigente",IF(AND(W92&gt;=1,W92&lt;=25),"Por Vencer","Vencido"))</f>
        <v>Vigente</v>
      </c>
      <c r="Y92" s="32" t="s">
        <v>1000</v>
      </c>
      <c r="Z92" s="338" t="s">
        <v>238</v>
      </c>
      <c r="AA92" s="226" t="s">
        <v>1001</v>
      </c>
      <c r="AB92" t="s">
        <v>1002</v>
      </c>
    </row>
    <row r="93" spans="1:29" ht="136.5" hidden="1" customHeight="1">
      <c r="A93" s="19">
        <v>90</v>
      </c>
      <c r="B93" s="149" t="s">
        <v>35</v>
      </c>
      <c r="C93" s="232" t="s">
        <v>1003</v>
      </c>
      <c r="D93" s="140">
        <v>5841216</v>
      </c>
      <c r="E93" s="140">
        <v>3</v>
      </c>
      <c r="F93" s="6">
        <v>77</v>
      </c>
      <c r="G93" s="6" t="s">
        <v>309</v>
      </c>
      <c r="H93" s="6" t="s">
        <v>1004</v>
      </c>
      <c r="I93" s="44">
        <v>2024</v>
      </c>
      <c r="J93" s="6" t="s">
        <v>216</v>
      </c>
      <c r="K93" s="6" t="s">
        <v>132</v>
      </c>
      <c r="L93" s="6" t="s">
        <v>1005</v>
      </c>
      <c r="M93" s="6" t="s">
        <v>105</v>
      </c>
      <c r="N93" s="6" t="s">
        <v>96</v>
      </c>
      <c r="O93" s="6" t="s">
        <v>43</v>
      </c>
      <c r="P93" s="6" t="s">
        <v>122</v>
      </c>
      <c r="Q93" s="6"/>
      <c r="R93" s="338" t="s">
        <v>1006</v>
      </c>
      <c r="S93" s="6" t="s">
        <v>114</v>
      </c>
      <c r="T93" s="338" t="s">
        <v>543</v>
      </c>
      <c r="U93" s="30">
        <v>45611</v>
      </c>
      <c r="V93" s="30">
        <v>45641</v>
      </c>
      <c r="W93" s="6">
        <f ca="1">V93-TODAY()</f>
        <v>-444</v>
      </c>
      <c r="X93" s="308" t="str">
        <f ca="1">IF(W93&gt;=25,"Vigente",IF(AND(W93&gt;=1,W93&lt;=25),"Por Vencer","Vencido"))</f>
        <v>Vencido</v>
      </c>
      <c r="Y93" s="338"/>
      <c r="Z93" s="338" t="s">
        <v>238</v>
      </c>
      <c r="AA93" s="338" t="s">
        <v>1007</v>
      </c>
    </row>
    <row r="94" spans="1:29" ht="141" hidden="1" customHeight="1">
      <c r="A94" s="19">
        <v>91</v>
      </c>
      <c r="B94" s="149" t="s">
        <v>35</v>
      </c>
      <c r="C94" s="239" t="s">
        <v>1008</v>
      </c>
      <c r="D94" s="148">
        <v>4179694</v>
      </c>
      <c r="E94" s="148">
        <v>4</v>
      </c>
      <c r="F94" s="24">
        <v>77</v>
      </c>
      <c r="G94" s="24" t="s">
        <v>46</v>
      </c>
      <c r="H94" s="24" t="s">
        <v>1009</v>
      </c>
      <c r="I94" s="24">
        <v>2023</v>
      </c>
      <c r="J94" s="33">
        <v>45155</v>
      </c>
      <c r="K94" s="24" t="s">
        <v>54</v>
      </c>
      <c r="L94" s="24" t="s">
        <v>42</v>
      </c>
      <c r="M94" s="33">
        <v>45233</v>
      </c>
      <c r="N94" s="24" t="s">
        <v>1010</v>
      </c>
      <c r="O94" s="24" t="s">
        <v>43</v>
      </c>
      <c r="P94" s="6" t="s">
        <v>122</v>
      </c>
      <c r="Q94" s="6"/>
      <c r="R94" s="343" t="s">
        <v>1011</v>
      </c>
      <c r="S94" s="6" t="s">
        <v>114</v>
      </c>
      <c r="T94" s="338" t="s">
        <v>543</v>
      </c>
      <c r="U94" s="33">
        <v>45595</v>
      </c>
      <c r="V94" s="33">
        <v>45746</v>
      </c>
      <c r="W94" s="24">
        <f ca="1">V94-TODAY()</f>
        <v>-339</v>
      </c>
      <c r="X94" s="308" t="str">
        <f ca="1">IF(W94&gt;=25,"Vigente",IF(AND(W94&gt;=1,W94&lt;=25),"Por Vencer","Vencido"))</f>
        <v>Vencido</v>
      </c>
      <c r="Y94" s="348"/>
      <c r="Z94" s="338" t="s">
        <v>238</v>
      </c>
      <c r="AA94" s="10" t="s">
        <v>1012</v>
      </c>
      <c r="AB94" s="58"/>
    </row>
    <row r="95" spans="1:29" ht="144.75" customHeight="1">
      <c r="A95" s="19">
        <v>92</v>
      </c>
      <c r="B95" s="23" t="s">
        <v>35</v>
      </c>
      <c r="C95" s="236" t="s">
        <v>1013</v>
      </c>
      <c r="D95" s="155">
        <v>5212728</v>
      </c>
      <c r="E95" s="155">
        <v>9</v>
      </c>
      <c r="F95" s="24">
        <v>76</v>
      </c>
      <c r="G95" s="24" t="s">
        <v>46</v>
      </c>
      <c r="H95" s="24" t="s">
        <v>1014</v>
      </c>
      <c r="I95" s="24">
        <v>2023</v>
      </c>
      <c r="J95" s="33">
        <v>45232</v>
      </c>
      <c r="K95" s="24" t="s">
        <v>41</v>
      </c>
      <c r="L95" s="24" t="s">
        <v>42</v>
      </c>
      <c r="M95" s="33" t="s">
        <v>105</v>
      </c>
      <c r="N95" s="24" t="s">
        <v>96</v>
      </c>
      <c r="O95" s="24" t="s">
        <v>43</v>
      </c>
      <c r="P95" s="6" t="s">
        <v>122</v>
      </c>
      <c r="Q95" s="6"/>
      <c r="R95" s="24" t="s">
        <v>1015</v>
      </c>
      <c r="S95" s="6" t="s">
        <v>368</v>
      </c>
      <c r="T95" s="6" t="s">
        <v>490</v>
      </c>
      <c r="U95" s="33">
        <v>45980</v>
      </c>
      <c r="V95" s="33">
        <v>46345</v>
      </c>
      <c r="W95" s="24">
        <f ca="1">V95-TODAY()</f>
        <v>260</v>
      </c>
      <c r="X95" s="221" t="str">
        <f ca="1">IF(W95&gt;=25,"Vigente",IF(AND(W95&gt;=1,W95&lt;=25),"Por Vencer","Vencido"))</f>
        <v>Vigente</v>
      </c>
      <c r="Y95" s="32"/>
      <c r="Z95" s="338" t="s">
        <v>238</v>
      </c>
      <c r="AA95" s="10" t="s">
        <v>1016</v>
      </c>
      <c r="AB95" s="43"/>
    </row>
    <row r="96" spans="1:29" ht="117.75" hidden="1" customHeight="1">
      <c r="A96" s="19">
        <v>93</v>
      </c>
      <c r="B96" s="149" t="s">
        <v>35</v>
      </c>
      <c r="C96" s="236" t="s">
        <v>1017</v>
      </c>
      <c r="D96" s="148">
        <v>6584797</v>
      </c>
      <c r="E96" s="148">
        <v>3</v>
      </c>
      <c r="F96" s="24">
        <v>72</v>
      </c>
      <c r="G96" s="24" t="s">
        <v>46</v>
      </c>
      <c r="H96" s="24" t="s">
        <v>1018</v>
      </c>
      <c r="I96" s="24">
        <v>2022</v>
      </c>
      <c r="J96" s="24" t="s">
        <v>1019</v>
      </c>
      <c r="K96" s="33" t="s">
        <v>54</v>
      </c>
      <c r="L96" s="24" t="s">
        <v>121</v>
      </c>
      <c r="M96" s="33">
        <v>45688</v>
      </c>
      <c r="N96" s="24" t="s">
        <v>1020</v>
      </c>
      <c r="O96" s="24" t="s">
        <v>164</v>
      </c>
      <c r="P96" s="6" t="s">
        <v>122</v>
      </c>
      <c r="Q96" s="6"/>
      <c r="R96" s="343" t="s">
        <v>1021</v>
      </c>
      <c r="S96" s="6" t="s">
        <v>109</v>
      </c>
      <c r="T96" s="338" t="s">
        <v>543</v>
      </c>
      <c r="U96" s="33">
        <v>45735</v>
      </c>
      <c r="V96" s="33">
        <v>45919</v>
      </c>
      <c r="W96" s="24">
        <f ca="1">V96-TODAY()</f>
        <v>-166</v>
      </c>
      <c r="X96" s="308" t="str">
        <f ca="1">IF(W96&gt;=25,"Vigente",IF(AND(W96&gt;=1,W96&lt;=25),"Por Vencer","Vencido"))</f>
        <v>Vencido</v>
      </c>
      <c r="Y96" s="348" t="s">
        <v>1022</v>
      </c>
      <c r="Z96" s="338" t="s">
        <v>158</v>
      </c>
      <c r="AA96" s="129"/>
      <c r="AB96" t="s">
        <v>717</v>
      </c>
    </row>
    <row r="97" spans="1:40" ht="120.75" hidden="1" customHeight="1">
      <c r="A97" s="19">
        <v>94</v>
      </c>
      <c r="B97" s="149" t="s">
        <v>35</v>
      </c>
      <c r="C97" s="234" t="s">
        <v>1023</v>
      </c>
      <c r="D97" s="170">
        <v>6604828</v>
      </c>
      <c r="E97" s="137">
        <v>4</v>
      </c>
      <c r="F97" s="2"/>
      <c r="G97" s="341" t="s">
        <v>1024</v>
      </c>
      <c r="H97" s="336" t="s">
        <v>1025</v>
      </c>
      <c r="I97" s="2"/>
      <c r="J97" s="2"/>
      <c r="K97" s="2" t="s">
        <v>41</v>
      </c>
      <c r="L97" s="10" t="s">
        <v>783</v>
      </c>
      <c r="M97" s="2" t="s">
        <v>513</v>
      </c>
      <c r="N97" s="2" t="s">
        <v>513</v>
      </c>
      <c r="O97" s="24" t="s">
        <v>164</v>
      </c>
      <c r="P97" s="6" t="s">
        <v>106</v>
      </c>
      <c r="Q97" s="2"/>
      <c r="R97" s="336" t="s">
        <v>1026</v>
      </c>
      <c r="S97" s="6" t="s">
        <v>109</v>
      </c>
      <c r="T97" s="338" t="s">
        <v>543</v>
      </c>
      <c r="U97" s="107">
        <v>45833</v>
      </c>
      <c r="V97" s="107">
        <v>45838</v>
      </c>
      <c r="W97" s="2">
        <f ca="1">V97-TODAY()</f>
        <v>-247</v>
      </c>
      <c r="X97" s="308" t="str">
        <f ca="1">IF(W97&gt;=25,"Vigente",IF(AND(W97&gt;=1,W97&lt;=25),"Por Vencer","Vencido"))</f>
        <v>Vencido</v>
      </c>
      <c r="Y97" s="336"/>
      <c r="Z97" s="338" t="s">
        <v>238</v>
      </c>
      <c r="AA97" s="10" t="s">
        <v>1027</v>
      </c>
    </row>
    <row r="98" spans="1:40" ht="115.5" hidden="1" customHeight="1">
      <c r="A98" s="19">
        <v>95</v>
      </c>
      <c r="B98" s="21" t="s">
        <v>35</v>
      </c>
      <c r="C98" s="235" t="s">
        <v>1028</v>
      </c>
      <c r="D98" s="372">
        <v>4252042</v>
      </c>
      <c r="E98" s="372" t="s">
        <v>50</v>
      </c>
      <c r="F98" s="2">
        <v>86</v>
      </c>
      <c r="G98" s="2"/>
      <c r="H98" s="10" t="s">
        <v>1029</v>
      </c>
      <c r="I98" s="2"/>
      <c r="J98" s="2"/>
      <c r="K98" s="2"/>
      <c r="L98" s="2"/>
      <c r="M98" s="2"/>
      <c r="N98" s="2"/>
      <c r="O98" s="2" t="s">
        <v>43</v>
      </c>
      <c r="P98" s="2" t="s">
        <v>122</v>
      </c>
      <c r="Q98" s="2"/>
      <c r="R98" s="208" t="s">
        <v>1030</v>
      </c>
      <c r="S98" s="336" t="s">
        <v>114</v>
      </c>
      <c r="T98" s="336" t="s">
        <v>1031</v>
      </c>
      <c r="U98" s="107">
        <v>45982</v>
      </c>
      <c r="V98" s="107">
        <v>46012</v>
      </c>
      <c r="W98" s="24">
        <f ca="1">V98-TODAY()</f>
        <v>-73</v>
      </c>
      <c r="X98" s="222" t="str">
        <f ca="1">IF(W98&gt;=25,"Vigente",IF(AND(W98&gt;=1,W98&lt;=25),"Por Vencer","Vencido"))</f>
        <v>Vencido</v>
      </c>
      <c r="Y98" s="336"/>
      <c r="Z98" s="338" t="s">
        <v>238</v>
      </c>
      <c r="AA98" s="336" t="s">
        <v>129</v>
      </c>
      <c r="AB98" s="373"/>
    </row>
    <row r="99" spans="1:40" ht="118.5" hidden="1" customHeight="1">
      <c r="A99" s="19">
        <v>96</v>
      </c>
      <c r="B99" s="254" t="s">
        <v>35</v>
      </c>
      <c r="C99" s="264" t="s">
        <v>1032</v>
      </c>
      <c r="D99" s="265">
        <v>4036023</v>
      </c>
      <c r="E99" s="265">
        <v>9</v>
      </c>
      <c r="F99" s="265">
        <v>88</v>
      </c>
      <c r="G99" s="255" t="s">
        <v>175</v>
      </c>
      <c r="H99" s="227" t="s">
        <v>1033</v>
      </c>
      <c r="I99" s="2"/>
      <c r="J99" s="264"/>
      <c r="K99" s="264" t="s">
        <v>41</v>
      </c>
      <c r="L99" s="264" t="s">
        <v>576</v>
      </c>
      <c r="M99" s="264" t="s">
        <v>513</v>
      </c>
      <c r="N99" s="264" t="s">
        <v>513</v>
      </c>
      <c r="O99" s="253" t="s">
        <v>43</v>
      </c>
      <c r="P99" s="45" t="s">
        <v>122</v>
      </c>
      <c r="Q99" s="264"/>
      <c r="R99" s="336" t="s">
        <v>1034</v>
      </c>
      <c r="S99" s="10" t="s">
        <v>114</v>
      </c>
      <c r="T99" s="336" t="s">
        <v>501</v>
      </c>
      <c r="U99" s="107">
        <v>46057</v>
      </c>
      <c r="V99" s="107">
        <v>46085</v>
      </c>
      <c r="W99" s="24">
        <f ca="1">V99-TODAY()</f>
        <v>0</v>
      </c>
      <c r="X99" s="308" t="str">
        <f ca="1">IF(W99&gt;=25,"Vigente",IF(AND(W99&gt;=1,W99&lt;=25),"Por Vencer","Vencido"))</f>
        <v>Vencido</v>
      </c>
      <c r="Y99" s="2"/>
      <c r="Z99" s="336" t="s">
        <v>238</v>
      </c>
      <c r="AA99" s="10" t="s">
        <v>1035</v>
      </c>
    </row>
    <row r="100" spans="1:40" ht="131.25" hidden="1" customHeight="1">
      <c r="A100" s="19">
        <v>97</v>
      </c>
      <c r="B100" s="149" t="s">
        <v>35</v>
      </c>
      <c r="C100" s="232" t="s">
        <v>1036</v>
      </c>
      <c r="D100" s="140">
        <v>10564578</v>
      </c>
      <c r="E100" s="140">
        <v>3</v>
      </c>
      <c r="F100" s="6">
        <v>57</v>
      </c>
      <c r="G100" s="6" t="s">
        <v>141</v>
      </c>
      <c r="H100" s="6" t="s">
        <v>1037</v>
      </c>
      <c r="I100" s="6">
        <v>2022</v>
      </c>
      <c r="J100" s="30">
        <v>44754</v>
      </c>
      <c r="K100" s="6" t="s">
        <v>54</v>
      </c>
      <c r="L100" s="6" t="s">
        <v>42</v>
      </c>
      <c r="M100" s="30">
        <v>45037</v>
      </c>
      <c r="N100" s="6" t="s">
        <v>1038</v>
      </c>
      <c r="O100" s="6" t="s">
        <v>43</v>
      </c>
      <c r="P100" s="6" t="s">
        <v>122</v>
      </c>
      <c r="Q100" s="6"/>
      <c r="R100" s="338" t="s">
        <v>1039</v>
      </c>
      <c r="S100" s="6" t="s">
        <v>561</v>
      </c>
      <c r="T100" s="6" t="s">
        <v>1040</v>
      </c>
      <c r="U100" s="24" t="s">
        <v>1041</v>
      </c>
      <c r="V100" s="33">
        <v>45691</v>
      </c>
      <c r="W100" s="24">
        <f ca="1">V100-TODAY()</f>
        <v>-394</v>
      </c>
      <c r="X100" s="307" t="str">
        <f ca="1">IF(W100&gt;=25,"Vigente",IF(AND(W100&gt;=1,W100&lt;=25),"Por Vencer","Vencido"))</f>
        <v>Vencido</v>
      </c>
      <c r="Y100" s="6"/>
      <c r="Z100" s="338" t="s">
        <v>238</v>
      </c>
      <c r="AA100" s="10" t="s">
        <v>1042</v>
      </c>
    </row>
    <row r="101" spans="1:40" s="15" customFormat="1" ht="98.25" hidden="1" customHeight="1">
      <c r="A101" s="19">
        <v>98</v>
      </c>
      <c r="B101" s="149" t="s">
        <v>564</v>
      </c>
      <c r="C101" s="235" t="s">
        <v>1043</v>
      </c>
      <c r="D101" s="336">
        <v>5398780</v>
      </c>
      <c r="E101" s="336" t="s">
        <v>281</v>
      </c>
      <c r="F101" s="336">
        <v>79</v>
      </c>
      <c r="G101" s="336" t="s">
        <v>71</v>
      </c>
      <c r="H101" s="336" t="s">
        <v>1044</v>
      </c>
      <c r="I101" s="2"/>
      <c r="J101" s="2">
        <v>2025</v>
      </c>
      <c r="K101" s="341" t="s">
        <v>54</v>
      </c>
      <c r="L101" s="341" t="s">
        <v>121</v>
      </c>
      <c r="M101" s="341" t="s">
        <v>1045</v>
      </c>
      <c r="N101" s="341" t="s">
        <v>1046</v>
      </c>
      <c r="O101" s="6" t="s">
        <v>43</v>
      </c>
      <c r="P101" s="6" t="s">
        <v>122</v>
      </c>
      <c r="Q101" s="2"/>
      <c r="R101" s="336" t="s">
        <v>1047</v>
      </c>
      <c r="S101" s="336" t="s">
        <v>114</v>
      </c>
      <c r="T101" s="336" t="s">
        <v>501</v>
      </c>
      <c r="U101" s="106">
        <v>46036</v>
      </c>
      <c r="V101" s="106">
        <v>46095</v>
      </c>
      <c r="W101" s="24">
        <f ca="1">V101-TODAY()</f>
        <v>10</v>
      </c>
      <c r="X101" s="289" t="str">
        <f ca="1">IF(W101&gt;=25,"Vigente",IF(AND(W101&gt;=1,W101&lt;=25),"Por Vencer","Vencido"))</f>
        <v>Por Vencer</v>
      </c>
      <c r="Y101" s="336"/>
      <c r="Z101" s="338" t="s">
        <v>292</v>
      </c>
      <c r="AA101" s="336" t="s">
        <v>1048</v>
      </c>
      <c r="AB101"/>
      <c r="AC101"/>
      <c r="AD101"/>
      <c r="AE101"/>
      <c r="AF101"/>
      <c r="AG101"/>
      <c r="AH101"/>
      <c r="AI101"/>
      <c r="AJ101"/>
      <c r="AK101"/>
      <c r="AL101"/>
      <c r="AM101"/>
      <c r="AN101"/>
    </row>
    <row r="102" spans="1:40" ht="112.5" hidden="1" customHeight="1">
      <c r="A102" s="19">
        <v>99</v>
      </c>
      <c r="B102" s="149" t="s">
        <v>35</v>
      </c>
      <c r="C102" s="232" t="s">
        <v>1049</v>
      </c>
      <c r="D102" s="140">
        <v>6352857</v>
      </c>
      <c r="E102" s="140">
        <v>9</v>
      </c>
      <c r="F102" s="6">
        <v>75</v>
      </c>
      <c r="G102" s="6" t="s">
        <v>71</v>
      </c>
      <c r="H102" s="338" t="s">
        <v>1050</v>
      </c>
      <c r="I102" s="44"/>
      <c r="J102" s="6"/>
      <c r="K102" s="6" t="s">
        <v>1051</v>
      </c>
      <c r="L102" s="6" t="s">
        <v>42</v>
      </c>
      <c r="M102" s="6" t="s">
        <v>513</v>
      </c>
      <c r="N102" s="6" t="s">
        <v>513</v>
      </c>
      <c r="O102" s="6" t="s">
        <v>43</v>
      </c>
      <c r="P102" s="6" t="s">
        <v>122</v>
      </c>
      <c r="Q102" s="6"/>
      <c r="R102" s="338" t="s">
        <v>1052</v>
      </c>
      <c r="S102" s="338" t="s">
        <v>186</v>
      </c>
      <c r="T102" s="338" t="s">
        <v>543</v>
      </c>
      <c r="U102" s="30">
        <v>45910</v>
      </c>
      <c r="V102" s="30">
        <v>46091</v>
      </c>
      <c r="W102" s="6">
        <f ca="1">V102-TODAY()</f>
        <v>6</v>
      </c>
      <c r="X102" s="289" t="str">
        <f ca="1">IF(W102&gt;=25,"Vigente",IF(AND(W102&gt;=1,W102&lt;=25),"Por Vencer","Vencido"))</f>
        <v>Por Vencer</v>
      </c>
      <c r="Y102" s="338"/>
      <c r="Z102" s="338" t="s">
        <v>238</v>
      </c>
      <c r="AA102" s="338" t="s">
        <v>1053</v>
      </c>
    </row>
    <row r="103" spans="1:40" ht="108" customHeight="1">
      <c r="A103" s="19">
        <v>100</v>
      </c>
      <c r="B103" s="149" t="s">
        <v>35</v>
      </c>
      <c r="C103" s="232" t="s">
        <v>1054</v>
      </c>
      <c r="D103" s="140">
        <v>4684346</v>
      </c>
      <c r="E103" s="140">
        <v>0</v>
      </c>
      <c r="F103" s="6">
        <v>82</v>
      </c>
      <c r="G103" s="6" t="s">
        <v>604</v>
      </c>
      <c r="H103" s="6" t="s">
        <v>86</v>
      </c>
      <c r="I103" s="6">
        <v>2024</v>
      </c>
      <c r="J103" s="30">
        <v>45476</v>
      </c>
      <c r="K103" s="6" t="s">
        <v>41</v>
      </c>
      <c r="L103" s="6" t="s">
        <v>177</v>
      </c>
      <c r="M103" s="6" t="s">
        <v>178</v>
      </c>
      <c r="N103" s="6" t="s">
        <v>133</v>
      </c>
      <c r="O103" s="6" t="s">
        <v>43</v>
      </c>
      <c r="P103" s="6" t="s">
        <v>122</v>
      </c>
      <c r="Q103" s="6"/>
      <c r="R103" s="338" t="s">
        <v>1055</v>
      </c>
      <c r="S103" s="6" t="s">
        <v>186</v>
      </c>
      <c r="T103" s="6" t="s">
        <v>478</v>
      </c>
      <c r="U103" s="30">
        <v>45622</v>
      </c>
      <c r="V103" s="30">
        <v>45803</v>
      </c>
      <c r="W103" s="24">
        <f ca="1">V103-TODAY()</f>
        <v>-282</v>
      </c>
      <c r="X103" s="307" t="str">
        <f ca="1">IF(W103&gt;=25,"Vigente",IF(AND(W103&gt;=1,W103&lt;=25),"Por Vencer","Vencido"))</f>
        <v>Vencido</v>
      </c>
      <c r="Y103" s="6"/>
      <c r="Z103" s="338" t="s">
        <v>238</v>
      </c>
      <c r="AA103" s="10" t="s">
        <v>1056</v>
      </c>
    </row>
    <row r="104" spans="1:40" ht="141.75" hidden="1" customHeight="1">
      <c r="A104" s="19">
        <v>101</v>
      </c>
      <c r="B104" s="149" t="s">
        <v>35</v>
      </c>
      <c r="C104" s="235" t="s">
        <v>1057</v>
      </c>
      <c r="D104" s="336">
        <v>5799409</v>
      </c>
      <c r="E104" s="336">
        <v>6</v>
      </c>
      <c r="F104" s="336">
        <v>77</v>
      </c>
      <c r="G104" s="336" t="s">
        <v>71</v>
      </c>
      <c r="H104" s="336" t="s">
        <v>1058</v>
      </c>
      <c r="I104" s="2"/>
      <c r="J104" s="2">
        <v>2025</v>
      </c>
      <c r="K104" s="341" t="s">
        <v>41</v>
      </c>
      <c r="L104" s="341" t="s">
        <v>121</v>
      </c>
      <c r="M104" s="341" t="s">
        <v>513</v>
      </c>
      <c r="N104" s="341" t="s">
        <v>513</v>
      </c>
      <c r="O104" s="6" t="s">
        <v>43</v>
      </c>
      <c r="P104" s="6" t="s">
        <v>122</v>
      </c>
      <c r="Q104" s="2"/>
      <c r="R104" s="336" t="s">
        <v>1059</v>
      </c>
      <c r="S104" s="336" t="s">
        <v>114</v>
      </c>
      <c r="T104" s="336" t="s">
        <v>1060</v>
      </c>
      <c r="U104" s="106">
        <v>45968</v>
      </c>
      <c r="V104" s="106">
        <v>46029</v>
      </c>
      <c r="W104" s="24">
        <f ca="1">V104-TODAY()</f>
        <v>-56</v>
      </c>
      <c r="X104" s="308" t="str">
        <f ca="1">IF(W104&gt;=25,"Vigente",IF(AND(W104&gt;=1,W104&lt;=25),"Por Vencer","Vencido"))</f>
        <v>Vencido</v>
      </c>
      <c r="Y104" s="336"/>
      <c r="Z104" s="338" t="s">
        <v>238</v>
      </c>
      <c r="AA104" s="336" t="s">
        <v>1061</v>
      </c>
    </row>
    <row r="105" spans="1:40" ht="133.5" hidden="1" customHeight="1">
      <c r="A105" s="19">
        <v>102</v>
      </c>
      <c r="B105" s="149" t="s">
        <v>35</v>
      </c>
      <c r="C105" s="234" t="s">
        <v>1062</v>
      </c>
      <c r="D105" s="137">
        <v>10729927</v>
      </c>
      <c r="E105" s="137">
        <v>0</v>
      </c>
      <c r="F105" s="2">
        <v>56</v>
      </c>
      <c r="G105" s="6" t="s">
        <v>71</v>
      </c>
      <c r="H105" s="10" t="s">
        <v>1063</v>
      </c>
      <c r="I105" s="2"/>
      <c r="J105" s="2"/>
      <c r="K105" s="2"/>
      <c r="L105" s="2"/>
      <c r="M105" s="2"/>
      <c r="N105" s="2"/>
      <c r="O105" s="6" t="s">
        <v>43</v>
      </c>
      <c r="P105" s="6" t="s">
        <v>122</v>
      </c>
      <c r="Q105" s="2"/>
      <c r="R105" s="10"/>
      <c r="S105" s="6" t="s">
        <v>114</v>
      </c>
      <c r="T105" s="338" t="s">
        <v>543</v>
      </c>
      <c r="U105" s="107">
        <v>45811</v>
      </c>
      <c r="V105" s="107">
        <v>45903</v>
      </c>
      <c r="W105" s="6">
        <f ca="1">V105-TODAY()</f>
        <v>-182</v>
      </c>
      <c r="X105" s="308" t="str">
        <f ca="1">IF(W105&gt;=25,"Vigente",IF(AND(W105&gt;=1,W105&lt;=25),"Por Vencer","Vencido"))</f>
        <v>Vencido</v>
      </c>
      <c r="Y105" s="10"/>
      <c r="Z105" s="338" t="s">
        <v>238</v>
      </c>
      <c r="AA105" s="10" t="s">
        <v>1064</v>
      </c>
    </row>
    <row r="106" spans="1:40" ht="111.75" hidden="1" customHeight="1">
      <c r="A106" s="19">
        <v>103</v>
      </c>
      <c r="B106" s="254" t="s">
        <v>35</v>
      </c>
      <c r="C106" s="45" t="s">
        <v>1065</v>
      </c>
      <c r="D106" s="255">
        <v>15572257</v>
      </c>
      <c r="E106" s="255">
        <v>6</v>
      </c>
      <c r="F106" s="255">
        <v>40</v>
      </c>
      <c r="G106" s="255" t="s">
        <v>71</v>
      </c>
      <c r="H106" s="45" t="s">
        <v>1066</v>
      </c>
      <c r="I106" s="6">
        <v>2023</v>
      </c>
      <c r="J106" s="256">
        <v>45265</v>
      </c>
      <c r="K106" s="45" t="s">
        <v>41</v>
      </c>
      <c r="L106" s="45" t="s">
        <v>425</v>
      </c>
      <c r="M106" s="45" t="s">
        <v>178</v>
      </c>
      <c r="N106" s="45" t="s">
        <v>133</v>
      </c>
      <c r="O106" s="45" t="s">
        <v>43</v>
      </c>
      <c r="P106" s="45" t="s">
        <v>122</v>
      </c>
      <c r="Q106" s="45"/>
      <c r="R106" s="425" t="s">
        <v>1067</v>
      </c>
      <c r="S106" s="6" t="s">
        <v>114</v>
      </c>
      <c r="T106" s="338" t="s">
        <v>501</v>
      </c>
      <c r="U106" s="30">
        <v>45974</v>
      </c>
      <c r="V106" s="30">
        <v>46004</v>
      </c>
      <c r="W106" s="6">
        <f ca="1">V106-TODAY()</f>
        <v>-81</v>
      </c>
      <c r="X106" s="308" t="str">
        <f ca="1">IF(W106&gt;=25,"Vigente",IF(AND(W106&gt;=1,W106&lt;=25),"Por Vencer","Vencido"))</f>
        <v>Vencido</v>
      </c>
      <c r="Y106" s="338"/>
      <c r="Z106" s="338" t="s">
        <v>292</v>
      </c>
      <c r="AA106" s="10" t="s">
        <v>1068</v>
      </c>
    </row>
    <row r="107" spans="1:40" ht="112.5" hidden="1" customHeight="1">
      <c r="A107" s="19">
        <v>104</v>
      </c>
      <c r="B107" s="149" t="s">
        <v>35</v>
      </c>
      <c r="C107" s="232" t="s">
        <v>1069</v>
      </c>
      <c r="D107" s="140">
        <v>9781961</v>
      </c>
      <c r="E107" s="140">
        <v>0</v>
      </c>
      <c r="F107" s="6">
        <v>58</v>
      </c>
      <c r="G107" s="6" t="s">
        <v>71</v>
      </c>
      <c r="H107" s="6" t="s">
        <v>1070</v>
      </c>
      <c r="I107" s="6">
        <v>2024</v>
      </c>
      <c r="J107" s="30">
        <v>45420</v>
      </c>
      <c r="K107" s="6" t="s">
        <v>41</v>
      </c>
      <c r="L107" s="6" t="s">
        <v>59</v>
      </c>
      <c r="M107" s="6" t="s">
        <v>178</v>
      </c>
      <c r="N107" s="6" t="s">
        <v>133</v>
      </c>
      <c r="O107" s="6" t="s">
        <v>43</v>
      </c>
      <c r="P107" s="6" t="s">
        <v>122</v>
      </c>
      <c r="Q107" s="6"/>
      <c r="R107" s="338" t="s">
        <v>1071</v>
      </c>
      <c r="S107" s="338" t="s">
        <v>630</v>
      </c>
      <c r="T107" s="338" t="s">
        <v>501</v>
      </c>
      <c r="U107" s="33">
        <v>46007</v>
      </c>
      <c r="V107" s="33">
        <v>46097</v>
      </c>
      <c r="W107" s="6">
        <f ca="1">V107-TODAY()</f>
        <v>12</v>
      </c>
      <c r="X107" s="222" t="str">
        <f ca="1">IF(W107&gt;=25,"Vigente",IF(AND(W107&gt;=1,W107&lt;=25),"Por Vencer","Vencido"))</f>
        <v>Por Vencer</v>
      </c>
      <c r="Y107" s="338"/>
      <c r="Z107" s="338" t="s">
        <v>292</v>
      </c>
      <c r="AA107" s="336" t="s">
        <v>667</v>
      </c>
    </row>
    <row r="108" spans="1:40" ht="117.75" customHeight="1">
      <c r="A108" s="19">
        <v>105</v>
      </c>
      <c r="B108" s="254" t="s">
        <v>35</v>
      </c>
      <c r="C108" s="227" t="s">
        <v>1072</v>
      </c>
      <c r="D108" s="265">
        <v>4308312</v>
      </c>
      <c r="E108" s="265">
        <v>0</v>
      </c>
      <c r="F108" s="265">
        <v>88</v>
      </c>
      <c r="G108" s="265" t="s">
        <v>71</v>
      </c>
      <c r="H108" s="227" t="s">
        <v>1073</v>
      </c>
      <c r="I108" s="2"/>
      <c r="J108" s="264"/>
      <c r="K108" s="264"/>
      <c r="L108" s="264"/>
      <c r="M108" s="264"/>
      <c r="N108" s="264"/>
      <c r="O108" s="264" t="s">
        <v>43</v>
      </c>
      <c r="P108" s="264" t="s">
        <v>106</v>
      </c>
      <c r="Q108" s="264"/>
      <c r="R108" s="10" t="s">
        <v>1074</v>
      </c>
      <c r="S108" s="10" t="s">
        <v>630</v>
      </c>
      <c r="T108" s="2" t="s">
        <v>478</v>
      </c>
      <c r="U108" s="107">
        <v>46086</v>
      </c>
      <c r="V108" s="107"/>
      <c r="W108" s="6">
        <f ca="1">V108-TODAY()</f>
        <v>-46085</v>
      </c>
      <c r="X108" s="222" t="str">
        <f ca="1">IF(W108&gt;=25,"Vigente",IF(AND(W108&gt;=1,W108&lt;=25),"Por Vencer","Vencido"))</f>
        <v>Vencido</v>
      </c>
      <c r="Y108" s="341"/>
      <c r="Z108" s="338" t="s">
        <v>728</v>
      </c>
      <c r="AA108" s="336" t="s">
        <v>959</v>
      </c>
    </row>
    <row r="109" spans="1:40" ht="129.75" hidden="1" customHeight="1">
      <c r="A109" s="19">
        <v>106</v>
      </c>
      <c r="B109" s="149" t="s">
        <v>35</v>
      </c>
      <c r="C109" s="235" t="s">
        <v>1075</v>
      </c>
      <c r="D109" s="137">
        <v>9141908</v>
      </c>
      <c r="E109" s="137">
        <v>4</v>
      </c>
      <c r="F109" s="2">
        <v>62</v>
      </c>
      <c r="G109" s="341" t="s">
        <v>71</v>
      </c>
      <c r="H109" s="10" t="s">
        <v>1076</v>
      </c>
      <c r="I109" s="2"/>
      <c r="J109" s="2"/>
      <c r="K109" s="2"/>
      <c r="L109" s="2"/>
      <c r="M109" s="2"/>
      <c r="N109" s="2"/>
      <c r="O109" s="341" t="s">
        <v>43</v>
      </c>
      <c r="P109" s="341" t="s">
        <v>122</v>
      </c>
      <c r="Q109" s="2"/>
      <c r="R109" s="336" t="s">
        <v>1077</v>
      </c>
      <c r="S109" s="336" t="s">
        <v>114</v>
      </c>
      <c r="T109" s="338" t="s">
        <v>501</v>
      </c>
      <c r="U109" s="107">
        <v>46034</v>
      </c>
      <c r="V109" s="107">
        <v>46065</v>
      </c>
      <c r="W109" s="6">
        <f ca="1">V109-TODAY()</f>
        <v>-20</v>
      </c>
      <c r="X109" s="308" t="str">
        <f ca="1">IF(W109&gt;=25,"Vigente",IF(AND(W109&gt;=1,W109&lt;=25),"Por Vencer","Vencido"))</f>
        <v>Vencido</v>
      </c>
      <c r="Y109" s="336"/>
      <c r="Z109" s="338" t="s">
        <v>292</v>
      </c>
      <c r="AA109" s="336" t="s">
        <v>1078</v>
      </c>
    </row>
    <row r="110" spans="1:40" ht="140.25" hidden="1" customHeight="1">
      <c r="A110" s="19">
        <v>107</v>
      </c>
      <c r="B110" s="149" t="s">
        <v>35</v>
      </c>
      <c r="C110" s="232" t="s">
        <v>1079</v>
      </c>
      <c r="D110" s="140">
        <v>5560619</v>
      </c>
      <c r="E110" s="140">
        <v>6</v>
      </c>
      <c r="F110" s="6">
        <v>78</v>
      </c>
      <c r="G110" s="6" t="s">
        <v>46</v>
      </c>
      <c r="H110" s="6" t="s">
        <v>1080</v>
      </c>
      <c r="I110" s="6">
        <v>2023</v>
      </c>
      <c r="J110" s="30">
        <v>44974</v>
      </c>
      <c r="K110" s="30" t="s">
        <v>54</v>
      </c>
      <c r="L110" s="6" t="s">
        <v>121</v>
      </c>
      <c r="M110" s="30">
        <v>44790</v>
      </c>
      <c r="N110" s="6" t="s">
        <v>1081</v>
      </c>
      <c r="O110" s="6" t="s">
        <v>534</v>
      </c>
      <c r="P110" s="6" t="s">
        <v>122</v>
      </c>
      <c r="Q110" s="6"/>
      <c r="R110" s="338" t="s">
        <v>1082</v>
      </c>
      <c r="S110" s="6" t="s">
        <v>114</v>
      </c>
      <c r="T110" s="6" t="s">
        <v>1083</v>
      </c>
      <c r="U110" s="33">
        <v>45639</v>
      </c>
      <c r="V110" s="33">
        <v>45670</v>
      </c>
      <c r="W110" s="6">
        <f ca="1">V110-TODAY()</f>
        <v>-415</v>
      </c>
      <c r="X110" s="307" t="str">
        <f ca="1">IF(W110&gt;=25,"Vigente",IF(AND(W110&gt;=1,W110&lt;=25),"Por Vencer","Vencido"))</f>
        <v>Vencido</v>
      </c>
      <c r="Y110" s="6"/>
      <c r="Z110" s="338" t="s">
        <v>238</v>
      </c>
      <c r="AA110" s="336" t="s">
        <v>1084</v>
      </c>
    </row>
    <row r="111" spans="1:40" ht="120" hidden="1" customHeight="1">
      <c r="A111" s="19">
        <v>108</v>
      </c>
      <c r="B111" s="21" t="s">
        <v>35</v>
      </c>
      <c r="C111" s="49" t="s">
        <v>1085</v>
      </c>
      <c r="D111" s="135">
        <v>10937383</v>
      </c>
      <c r="E111" s="135">
        <v>4</v>
      </c>
      <c r="F111" s="6">
        <v>61</v>
      </c>
      <c r="G111" s="6" t="s">
        <v>175</v>
      </c>
      <c r="H111" s="338" t="s">
        <v>1086</v>
      </c>
      <c r="I111" s="6">
        <v>2024</v>
      </c>
      <c r="J111" s="30">
        <v>45561</v>
      </c>
      <c r="K111" s="6" t="s">
        <v>41</v>
      </c>
      <c r="L111" s="6" t="s">
        <v>59</v>
      </c>
      <c r="M111" s="6" t="s">
        <v>105</v>
      </c>
      <c r="N111" s="6" t="s">
        <v>133</v>
      </c>
      <c r="O111" s="6" t="s">
        <v>43</v>
      </c>
      <c r="P111" s="6" t="s">
        <v>122</v>
      </c>
      <c r="Q111" s="6"/>
      <c r="R111" s="338" t="s">
        <v>1087</v>
      </c>
      <c r="S111" s="6" t="s">
        <v>114</v>
      </c>
      <c r="T111" s="338" t="s">
        <v>501</v>
      </c>
      <c r="U111" s="30">
        <v>45763</v>
      </c>
      <c r="V111" s="30">
        <v>45854</v>
      </c>
      <c r="W111" s="6">
        <f ca="1">V111-TODAY()</f>
        <v>-231</v>
      </c>
      <c r="X111" s="308" t="str">
        <f ca="1">IF(W111&gt;=25,"Vigente",IF(AND(W111&gt;=1,W111&lt;=25),"Por Vencer","Vencido"))</f>
        <v>Vencido</v>
      </c>
      <c r="Y111" s="338"/>
      <c r="Z111" s="338" t="s">
        <v>292</v>
      </c>
      <c r="AA111" s="336" t="s">
        <v>1088</v>
      </c>
    </row>
    <row r="112" spans="1:40" ht="108" hidden="1" customHeight="1">
      <c r="A112" s="19">
        <v>109</v>
      </c>
      <c r="B112" s="23" t="s">
        <v>35</v>
      </c>
      <c r="C112" s="232" t="s">
        <v>1089</v>
      </c>
      <c r="D112" s="135">
        <v>7185731</v>
      </c>
      <c r="E112" s="135" t="s">
        <v>281</v>
      </c>
      <c r="F112" s="6">
        <v>73</v>
      </c>
      <c r="G112" s="6" t="s">
        <v>71</v>
      </c>
      <c r="H112" s="6" t="s">
        <v>1090</v>
      </c>
      <c r="I112" s="6">
        <v>2023</v>
      </c>
      <c r="J112" s="30">
        <v>45239</v>
      </c>
      <c r="K112" s="6" t="s">
        <v>41</v>
      </c>
      <c r="L112" s="6" t="s">
        <v>59</v>
      </c>
      <c r="M112" s="6" t="s">
        <v>105</v>
      </c>
      <c r="N112" s="6" t="s">
        <v>208</v>
      </c>
      <c r="O112" s="6" t="s">
        <v>43</v>
      </c>
      <c r="P112" s="6" t="s">
        <v>122</v>
      </c>
      <c r="Q112" s="6"/>
      <c r="R112" s="338" t="s">
        <v>1091</v>
      </c>
      <c r="S112" s="6" t="s">
        <v>114</v>
      </c>
      <c r="T112" s="338" t="s">
        <v>543</v>
      </c>
      <c r="U112" s="30">
        <v>45694</v>
      </c>
      <c r="V112" s="30">
        <v>46059</v>
      </c>
      <c r="W112" s="6">
        <f ca="1">V112-TODAY()</f>
        <v>-26</v>
      </c>
      <c r="X112" s="289" t="str">
        <f ca="1">IF(W112&gt;=25,"Vigente",IF(AND(W112&gt;=1,W112&lt;=25),"Por Vencer","Vencido"))</f>
        <v>Vencido</v>
      </c>
      <c r="Y112" s="6" t="s">
        <v>1092</v>
      </c>
      <c r="Z112" s="338" t="s">
        <v>292</v>
      </c>
      <c r="AA112" s="6" t="s">
        <v>1092</v>
      </c>
    </row>
    <row r="113" spans="1:79" ht="102" hidden="1" customHeight="1">
      <c r="A113" s="19">
        <v>110</v>
      </c>
      <c r="B113" s="267" t="s">
        <v>35</v>
      </c>
      <c r="C113" s="253" t="s">
        <v>1093</v>
      </c>
      <c r="D113" s="261">
        <v>7176092</v>
      </c>
      <c r="E113" s="261">
        <v>8</v>
      </c>
      <c r="F113" s="261">
        <v>70</v>
      </c>
      <c r="G113" s="261" t="s">
        <v>39</v>
      </c>
      <c r="H113" s="253" t="s">
        <v>1094</v>
      </c>
      <c r="I113" s="24">
        <v>2022</v>
      </c>
      <c r="J113" s="260">
        <v>44882</v>
      </c>
      <c r="K113" s="260" t="s">
        <v>54</v>
      </c>
      <c r="L113" s="253" t="s">
        <v>42</v>
      </c>
      <c r="M113" s="253" t="s">
        <v>1095</v>
      </c>
      <c r="N113" s="253" t="s">
        <v>96</v>
      </c>
      <c r="O113" s="253" t="s">
        <v>164</v>
      </c>
      <c r="P113" s="45" t="s">
        <v>122</v>
      </c>
      <c r="Q113" s="45"/>
      <c r="R113" s="343" t="s">
        <v>1096</v>
      </c>
      <c r="S113" s="6" t="s">
        <v>496</v>
      </c>
      <c r="T113" s="338" t="s">
        <v>543</v>
      </c>
      <c r="U113" s="33">
        <v>45644</v>
      </c>
      <c r="V113" s="33">
        <v>46009</v>
      </c>
      <c r="W113" s="24">
        <f ca="1">V113-TODAY()</f>
        <v>-76</v>
      </c>
      <c r="X113" s="308" t="str">
        <f ca="1">IF(W113&gt;=25,"Vigente",IF(AND(W113&gt;=1,W113&lt;=25),"Por Vencer","Vencido"))</f>
        <v>Vencido</v>
      </c>
      <c r="Y113" s="32" t="s">
        <v>1097</v>
      </c>
      <c r="Z113" s="338" t="s">
        <v>292</v>
      </c>
      <c r="AA113" s="32" t="s">
        <v>1097</v>
      </c>
    </row>
    <row r="114" spans="1:79" ht="102.75" hidden="1" customHeight="1">
      <c r="A114" s="19">
        <v>111</v>
      </c>
      <c r="B114" s="257" t="s">
        <v>35</v>
      </c>
      <c r="C114" s="270" t="s">
        <v>1098</v>
      </c>
      <c r="D114" s="261">
        <v>11014943</v>
      </c>
      <c r="E114" s="261">
        <v>3</v>
      </c>
      <c r="F114" s="261">
        <v>59</v>
      </c>
      <c r="G114" s="261" t="s">
        <v>46</v>
      </c>
      <c r="H114" s="253" t="s">
        <v>1099</v>
      </c>
      <c r="I114" s="24">
        <v>2023</v>
      </c>
      <c r="J114" s="260">
        <v>44971</v>
      </c>
      <c r="K114" s="260" t="s">
        <v>54</v>
      </c>
      <c r="L114" s="253" t="s">
        <v>42</v>
      </c>
      <c r="M114" s="260">
        <v>45030</v>
      </c>
      <c r="N114" s="253" t="s">
        <v>1100</v>
      </c>
      <c r="O114" s="253" t="s">
        <v>164</v>
      </c>
      <c r="P114" s="45" t="s">
        <v>122</v>
      </c>
      <c r="Q114" s="45"/>
      <c r="R114" s="427" t="s">
        <v>1101</v>
      </c>
      <c r="S114" s="6" t="s">
        <v>114</v>
      </c>
      <c r="T114" s="338" t="s">
        <v>543</v>
      </c>
      <c r="U114" s="33">
        <v>46057</v>
      </c>
      <c r="V114" s="33">
        <v>46238</v>
      </c>
      <c r="W114" s="24">
        <f ca="1">V114-TODAY()</f>
        <v>153</v>
      </c>
      <c r="X114" s="308" t="str">
        <f ca="1">IF(W114&gt;=25,"Vigente",IF(AND(W114&gt;=1,W114&lt;=25),"Por Vencer","Vencido"))</f>
        <v>Vigente</v>
      </c>
      <c r="Y114" s="348" t="s">
        <v>1102</v>
      </c>
      <c r="Z114" s="338" t="s">
        <v>292</v>
      </c>
      <c r="AA114" s="426" t="s">
        <v>1103</v>
      </c>
    </row>
    <row r="115" spans="1:79" ht="105.75" customHeight="1">
      <c r="A115" s="19">
        <v>112</v>
      </c>
      <c r="B115" s="149" t="s">
        <v>35</v>
      </c>
      <c r="C115" s="235" t="s">
        <v>1104</v>
      </c>
      <c r="D115" s="137">
        <v>7532161</v>
      </c>
      <c r="E115" s="137">
        <v>9</v>
      </c>
      <c r="F115" s="2"/>
      <c r="G115" s="2"/>
      <c r="H115" s="10" t="s">
        <v>1105</v>
      </c>
      <c r="I115" s="2"/>
      <c r="J115" s="2"/>
      <c r="K115" s="2"/>
      <c r="L115" s="2"/>
      <c r="M115" s="2"/>
      <c r="N115" s="2"/>
      <c r="O115" s="2"/>
      <c r="P115" s="2"/>
      <c r="Q115" s="2"/>
      <c r="R115" s="415" t="s">
        <v>1106</v>
      </c>
      <c r="S115" s="6" t="s">
        <v>114</v>
      </c>
      <c r="T115" s="338" t="s">
        <v>478</v>
      </c>
      <c r="U115" s="107">
        <v>45944</v>
      </c>
      <c r="V115" s="107">
        <v>46126</v>
      </c>
      <c r="W115" s="2">
        <f ca="1">V115-TODAY()</f>
        <v>41</v>
      </c>
      <c r="X115" s="284" t="str">
        <f ca="1">IF(W115&gt;=25,"Vigente",IF(AND(W115&gt;=1,W115&lt;=25),"Por Vencer","Vencido"))</f>
        <v>Vigente</v>
      </c>
      <c r="Y115" s="341"/>
      <c r="Z115" s="338" t="s">
        <v>238</v>
      </c>
      <c r="AA115" s="336" t="s">
        <v>1107</v>
      </c>
    </row>
    <row r="116" spans="1:79" ht="105.75" customHeight="1">
      <c r="A116" s="19">
        <v>113</v>
      </c>
      <c r="B116" s="6" t="s">
        <v>35</v>
      </c>
      <c r="C116" s="232" t="s">
        <v>1108</v>
      </c>
      <c r="D116" s="140">
        <v>10644909</v>
      </c>
      <c r="E116" s="140">
        <v>0</v>
      </c>
      <c r="F116" s="6">
        <v>60</v>
      </c>
      <c r="G116" s="6" t="s">
        <v>71</v>
      </c>
      <c r="H116" s="6" t="s">
        <v>655</v>
      </c>
      <c r="I116" s="6">
        <v>2024</v>
      </c>
      <c r="J116" s="30">
        <v>45404</v>
      </c>
      <c r="K116" s="6" t="s">
        <v>41</v>
      </c>
      <c r="L116" s="6" t="s">
        <v>42</v>
      </c>
      <c r="M116" s="6" t="s">
        <v>105</v>
      </c>
      <c r="N116" s="6" t="s">
        <v>96</v>
      </c>
      <c r="O116" s="6" t="s">
        <v>43</v>
      </c>
      <c r="P116" s="6" t="s">
        <v>122</v>
      </c>
      <c r="Q116" s="6"/>
      <c r="R116" s="40" t="s">
        <v>1109</v>
      </c>
      <c r="S116" s="6" t="s">
        <v>186</v>
      </c>
      <c r="T116" s="338" t="s">
        <v>478</v>
      </c>
      <c r="U116" s="30">
        <v>45713</v>
      </c>
      <c r="V116" s="30">
        <v>46078</v>
      </c>
      <c r="W116" s="6">
        <f ca="1">V116-TODAY()</f>
        <v>-7</v>
      </c>
      <c r="X116" s="221" t="str">
        <f ca="1">IF(W116&gt;=25,"Vigente",IF(AND(W116&gt;=1,W116&lt;=25),"Por Vencer","Vencido"))</f>
        <v>Vencido</v>
      </c>
      <c r="Y116" s="338"/>
      <c r="Z116" s="338" t="s">
        <v>238</v>
      </c>
      <c r="AA116" s="338" t="s">
        <v>1110</v>
      </c>
    </row>
    <row r="117" spans="1:79" s="6" customFormat="1" ht="97.5" hidden="1" customHeight="1">
      <c r="A117" s="19">
        <v>114</v>
      </c>
      <c r="B117" s="149" t="s">
        <v>35</v>
      </c>
      <c r="C117" s="232" t="s">
        <v>1111</v>
      </c>
      <c r="D117" s="140">
        <v>9067031</v>
      </c>
      <c r="E117" s="140" t="s">
        <v>50</v>
      </c>
      <c r="F117" s="6">
        <v>63</v>
      </c>
      <c r="G117" s="6" t="s">
        <v>647</v>
      </c>
      <c r="H117" s="6" t="s">
        <v>1112</v>
      </c>
      <c r="I117" s="6">
        <v>2024</v>
      </c>
      <c r="J117" s="30">
        <v>45393</v>
      </c>
      <c r="K117" s="6" t="s">
        <v>41</v>
      </c>
      <c r="L117" s="6" t="s">
        <v>59</v>
      </c>
      <c r="M117" s="6" t="s">
        <v>105</v>
      </c>
      <c r="N117" s="6" t="s">
        <v>96</v>
      </c>
      <c r="O117" s="6" t="s">
        <v>43</v>
      </c>
      <c r="P117" s="6" t="s">
        <v>122</v>
      </c>
      <c r="R117" s="338" t="s">
        <v>1113</v>
      </c>
      <c r="S117" s="6" t="s">
        <v>109</v>
      </c>
      <c r="T117" s="338" t="s">
        <v>543</v>
      </c>
      <c r="U117" s="33">
        <v>45821</v>
      </c>
      <c r="V117" s="352">
        <v>45861</v>
      </c>
      <c r="W117" s="24">
        <f ca="1">V117-TODAY()</f>
        <v>-224</v>
      </c>
      <c r="X117" s="308" t="str">
        <f ca="1">IF(W117&gt;=25,"Vigente",IF(AND(W117&gt;=1,W117&lt;=25),"Por Vencer","Vencido"))</f>
        <v>Vencido</v>
      </c>
      <c r="Y117" s="374"/>
      <c r="Z117" s="338" t="s">
        <v>238</v>
      </c>
      <c r="AA117" s="375" t="s">
        <v>1114</v>
      </c>
      <c r="AB117"/>
      <c r="AC117"/>
      <c r="AD117"/>
      <c r="AE117"/>
      <c r="AF117"/>
      <c r="AG117"/>
      <c r="AH117"/>
      <c r="AI117"/>
      <c r="AJ117"/>
      <c r="AK117"/>
      <c r="AL117"/>
      <c r="AM117"/>
      <c r="AN117"/>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0"/>
      <c r="BX117" s="60"/>
      <c r="BY117" s="60"/>
      <c r="BZ117" s="60"/>
      <c r="CA117" s="60"/>
    </row>
    <row r="118" spans="1:79" s="6" customFormat="1" ht="120.75" hidden="1" customHeight="1">
      <c r="A118" s="19">
        <v>115</v>
      </c>
      <c r="B118" s="149" t="s">
        <v>35</v>
      </c>
      <c r="C118" s="232" t="s">
        <v>1115</v>
      </c>
      <c r="D118" s="140">
        <v>6937645</v>
      </c>
      <c r="E118" s="140">
        <v>2</v>
      </c>
      <c r="F118" s="6">
        <v>71</v>
      </c>
      <c r="G118" s="6" t="s">
        <v>71</v>
      </c>
      <c r="H118" s="338" t="s">
        <v>1116</v>
      </c>
      <c r="I118" s="6">
        <v>2024</v>
      </c>
      <c r="J118" s="30">
        <v>45629</v>
      </c>
      <c r="K118" s="6" t="s">
        <v>41</v>
      </c>
      <c r="L118" s="6" t="s">
        <v>121</v>
      </c>
      <c r="M118" s="30">
        <v>45688</v>
      </c>
      <c r="N118" s="6" t="s">
        <v>1117</v>
      </c>
      <c r="O118" s="6" t="s">
        <v>43</v>
      </c>
      <c r="P118" s="6" t="s">
        <v>122</v>
      </c>
      <c r="R118" s="338" t="s">
        <v>1118</v>
      </c>
      <c r="S118" s="6" t="s">
        <v>114</v>
      </c>
      <c r="T118" s="338" t="s">
        <v>501</v>
      </c>
      <c r="U118" s="30">
        <v>45719</v>
      </c>
      <c r="V118" s="30">
        <v>45733</v>
      </c>
      <c r="W118" s="24">
        <f ca="1">V118-TODAY()</f>
        <v>-352</v>
      </c>
      <c r="X118" s="308" t="str">
        <f ca="1">IF(W118&gt;=25,"Vigente",IF(AND(W118&gt;=1,W118&lt;=25),"Por Vencer","Vencido"))</f>
        <v>Vencido</v>
      </c>
      <c r="Y118" s="338"/>
      <c r="Z118" s="338" t="s">
        <v>292</v>
      </c>
      <c r="AA118" s="376" t="s">
        <v>1119</v>
      </c>
      <c r="AB118"/>
      <c r="AC118"/>
      <c r="AD118"/>
      <c r="AE118"/>
      <c r="AF118"/>
      <c r="AG118"/>
      <c r="AH118"/>
      <c r="AI118"/>
      <c r="AJ118"/>
      <c r="AK118"/>
      <c r="AL118"/>
      <c r="AM118"/>
      <c r="AN118"/>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0"/>
      <c r="BX118" s="60"/>
      <c r="BY118" s="60"/>
      <c r="BZ118" s="60"/>
      <c r="CA118" s="60"/>
    </row>
    <row r="119" spans="1:79" s="6" customFormat="1" ht="129.75" customHeight="1">
      <c r="A119" s="19">
        <v>116</v>
      </c>
      <c r="B119" s="149" t="s">
        <v>35</v>
      </c>
      <c r="C119" s="232" t="s">
        <v>1120</v>
      </c>
      <c r="D119" s="140">
        <v>12150698</v>
      </c>
      <c r="E119" s="140" t="s">
        <v>50</v>
      </c>
      <c r="F119" s="6">
        <v>69</v>
      </c>
      <c r="G119" s="6" t="s">
        <v>71</v>
      </c>
      <c r="H119" s="6" t="s">
        <v>1121</v>
      </c>
      <c r="I119" s="6">
        <v>2024</v>
      </c>
      <c r="J119" s="30">
        <v>45503</v>
      </c>
      <c r="K119" s="6" t="s">
        <v>41</v>
      </c>
      <c r="L119" s="6" t="s">
        <v>177</v>
      </c>
      <c r="M119" s="6" t="s">
        <v>178</v>
      </c>
      <c r="N119" s="6" t="s">
        <v>133</v>
      </c>
      <c r="O119" s="6" t="s">
        <v>43</v>
      </c>
      <c r="P119" s="6" t="s">
        <v>122</v>
      </c>
      <c r="R119" s="338" t="s">
        <v>1122</v>
      </c>
      <c r="S119" s="338" t="s">
        <v>496</v>
      </c>
      <c r="T119" s="338" t="s">
        <v>478</v>
      </c>
      <c r="U119" s="30">
        <v>45863</v>
      </c>
      <c r="V119" s="30">
        <v>46228</v>
      </c>
      <c r="W119" s="6">
        <f ca="1">V119-TODAY()</f>
        <v>143</v>
      </c>
      <c r="X119" s="221" t="str">
        <f ca="1">IF(W119&gt;=25,"Vigente",IF(AND(W119&gt;=1,W119&lt;=25),"Por Vencer","Vencido"))</f>
        <v>Vigente</v>
      </c>
      <c r="Y119" s="338" t="s">
        <v>1123</v>
      </c>
      <c r="Z119" s="338" t="s">
        <v>238</v>
      </c>
      <c r="AA119" s="377" t="s">
        <v>1123</v>
      </c>
      <c r="AB119"/>
      <c r="AC119"/>
      <c r="AD119"/>
      <c r="AE119"/>
      <c r="AF119"/>
      <c r="AG119"/>
      <c r="AH119"/>
      <c r="AI119"/>
      <c r="AJ119"/>
      <c r="AK119"/>
      <c r="AL119"/>
      <c r="AM119"/>
      <c r="AN119"/>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0"/>
      <c r="BZ119" s="60"/>
      <c r="CA119" s="60"/>
    </row>
    <row r="120" spans="1:79" s="6" customFormat="1" ht="104.25" customHeight="1">
      <c r="A120" s="19">
        <v>117</v>
      </c>
      <c r="B120" s="149" t="s">
        <v>35</v>
      </c>
      <c r="C120" s="235" t="s">
        <v>1124</v>
      </c>
      <c r="D120" s="137">
        <v>5235812</v>
      </c>
      <c r="E120" s="137">
        <v>4</v>
      </c>
      <c r="F120" s="2">
        <v>86</v>
      </c>
      <c r="G120" s="6" t="s">
        <v>71</v>
      </c>
      <c r="H120" s="10" t="s">
        <v>423</v>
      </c>
      <c r="I120" s="2"/>
      <c r="J120" s="2"/>
      <c r="K120" s="2"/>
      <c r="L120" s="2"/>
      <c r="M120" s="2"/>
      <c r="N120" s="2"/>
      <c r="O120" s="2"/>
      <c r="P120" s="2"/>
      <c r="Q120" s="2"/>
      <c r="R120" s="336" t="s">
        <v>1125</v>
      </c>
      <c r="S120" s="336" t="s">
        <v>114</v>
      </c>
      <c r="T120" s="338" t="s">
        <v>478</v>
      </c>
      <c r="U120" s="107">
        <v>45986</v>
      </c>
      <c r="V120" s="107">
        <v>45986</v>
      </c>
      <c r="W120" s="6">
        <f ca="1">V120-TODAY()</f>
        <v>-99</v>
      </c>
      <c r="X120" s="307" t="str">
        <f ca="1">IF(W120&gt;=25,"Vigente",IF(AND(W120&gt;=1,W120&lt;=25),"Por Vencer","Vencido"))</f>
        <v>Vencido</v>
      </c>
      <c r="Y120" s="336" t="s">
        <v>1126</v>
      </c>
      <c r="Z120" s="338" t="s">
        <v>238</v>
      </c>
      <c r="AA120" s="376" t="s">
        <v>1127</v>
      </c>
      <c r="AB120"/>
      <c r="AC120"/>
      <c r="AD120"/>
      <c r="AE120"/>
      <c r="AF120"/>
      <c r="AG120"/>
      <c r="AH120"/>
      <c r="AI120"/>
      <c r="AJ120"/>
      <c r="AK120"/>
      <c r="AL120"/>
      <c r="AM120"/>
      <c r="AN12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0"/>
      <c r="BX120" s="60"/>
      <c r="BY120" s="60"/>
      <c r="BZ120" s="60"/>
      <c r="CA120" s="60"/>
    </row>
    <row r="121" spans="1:79" s="6" customFormat="1" ht="117.75" hidden="1" customHeight="1">
      <c r="A121" s="19">
        <v>118</v>
      </c>
      <c r="B121" s="149" t="s">
        <v>35</v>
      </c>
      <c r="C121" s="232" t="s">
        <v>1128</v>
      </c>
      <c r="D121" s="140">
        <v>9540225</v>
      </c>
      <c r="E121" s="140">
        <v>9</v>
      </c>
      <c r="F121" s="6">
        <v>64</v>
      </c>
      <c r="G121" s="6" t="s">
        <v>71</v>
      </c>
      <c r="H121" s="6" t="s">
        <v>1129</v>
      </c>
      <c r="I121" s="6">
        <v>2023</v>
      </c>
      <c r="J121" s="30">
        <v>45096</v>
      </c>
      <c r="K121" s="6" t="s">
        <v>41</v>
      </c>
      <c r="L121" s="6" t="s">
        <v>121</v>
      </c>
      <c r="M121" s="6" t="s">
        <v>1130</v>
      </c>
      <c r="N121" s="6" t="s">
        <v>133</v>
      </c>
      <c r="O121" s="6" t="s">
        <v>43</v>
      </c>
      <c r="P121" s="6" t="s">
        <v>122</v>
      </c>
      <c r="R121" s="338" t="s">
        <v>1131</v>
      </c>
      <c r="S121" s="6" t="s">
        <v>114</v>
      </c>
      <c r="T121" s="338" t="s">
        <v>1132</v>
      </c>
      <c r="U121" s="33">
        <v>46078</v>
      </c>
      <c r="V121" s="33">
        <v>46106</v>
      </c>
      <c r="W121" s="24">
        <f ca="1">V121-TODAY()</f>
        <v>21</v>
      </c>
      <c r="X121" s="308" t="str">
        <f ca="1">IF(W121&gt;=25,"Vigente",IF(AND(W121&gt;=1,W121&lt;=25),"Por Vencer","Vencido"))</f>
        <v>Por Vencer</v>
      </c>
      <c r="Y121" s="338"/>
      <c r="Z121" s="338" t="s">
        <v>728</v>
      </c>
      <c r="AA121" s="376" t="s">
        <v>1133</v>
      </c>
      <c r="AB121" t="s">
        <v>1134</v>
      </c>
      <c r="AC121"/>
      <c r="AD121"/>
      <c r="AE121"/>
      <c r="AF121"/>
      <c r="AG121"/>
      <c r="AH121"/>
      <c r="AI121"/>
      <c r="AJ121"/>
      <c r="AK121"/>
      <c r="AL121"/>
      <c r="AM121"/>
      <c r="AN121"/>
      <c r="AO121" s="60"/>
      <c r="AP121" s="60"/>
      <c r="AQ121" s="60"/>
      <c r="AR121" s="60"/>
      <c r="AS121" s="60"/>
      <c r="AT121" s="60"/>
      <c r="AU121" s="60"/>
      <c r="AV121" s="60"/>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0"/>
      <c r="BX121" s="60"/>
      <c r="BY121" s="60"/>
      <c r="BZ121" s="60"/>
      <c r="CA121" s="60"/>
    </row>
    <row r="122" spans="1:79" s="6" customFormat="1" ht="96.75" hidden="1" customHeight="1">
      <c r="A122" s="19">
        <v>119</v>
      </c>
      <c r="B122" s="149" t="s">
        <v>35</v>
      </c>
      <c r="C122" s="232" t="s">
        <v>1135</v>
      </c>
      <c r="D122" s="171">
        <v>8106595</v>
      </c>
      <c r="E122" s="140">
        <v>0</v>
      </c>
      <c r="F122" s="6">
        <v>67</v>
      </c>
      <c r="G122" s="48" t="s">
        <v>1136</v>
      </c>
      <c r="H122" s="6" t="s">
        <v>1137</v>
      </c>
      <c r="I122" s="6">
        <v>2024</v>
      </c>
      <c r="J122" s="30">
        <v>45362</v>
      </c>
      <c r="K122" s="6" t="s">
        <v>54</v>
      </c>
      <c r="L122" s="6" t="s">
        <v>59</v>
      </c>
      <c r="M122" s="6" t="s">
        <v>178</v>
      </c>
      <c r="N122" s="6" t="s">
        <v>133</v>
      </c>
      <c r="O122" s="6" t="s">
        <v>1138</v>
      </c>
      <c r="P122" s="6" t="s">
        <v>122</v>
      </c>
      <c r="R122" s="338" t="s">
        <v>1139</v>
      </c>
      <c r="S122" s="6" t="s">
        <v>114</v>
      </c>
      <c r="T122" s="338" t="s">
        <v>501</v>
      </c>
      <c r="U122" s="33">
        <v>45979</v>
      </c>
      <c r="V122" s="33">
        <v>46040</v>
      </c>
      <c r="W122" s="24">
        <f ca="1">V122-TODAY()</f>
        <v>-45</v>
      </c>
      <c r="X122" s="308" t="str">
        <f ca="1">IF(W122&gt;=25,"Vigente",IF(AND(W122&gt;=1,W122&lt;=25),"Por Vencer","Vencido"))</f>
        <v>Vencido</v>
      </c>
      <c r="Y122" s="338"/>
      <c r="Z122" s="338" t="s">
        <v>238</v>
      </c>
      <c r="AA122" s="376" t="s">
        <v>1140</v>
      </c>
      <c r="AB122"/>
      <c r="AC122"/>
      <c r="AD122"/>
      <c r="AE122"/>
      <c r="AF122"/>
      <c r="AG122"/>
      <c r="AH122"/>
      <c r="AI122"/>
      <c r="AJ122"/>
      <c r="AK122"/>
      <c r="AL122"/>
      <c r="AM122"/>
      <c r="AN122"/>
      <c r="AO122" s="60"/>
      <c r="AP122" s="60"/>
      <c r="AQ122" s="60"/>
      <c r="AR122" s="60"/>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0"/>
      <c r="BZ122" s="60"/>
      <c r="CA122" s="60"/>
    </row>
    <row r="123" spans="1:79" s="6" customFormat="1" ht="102" customHeight="1">
      <c r="A123" s="19">
        <v>120</v>
      </c>
      <c r="B123" s="149" t="s">
        <v>35</v>
      </c>
      <c r="C123" s="235" t="s">
        <v>1141</v>
      </c>
      <c r="D123" s="132">
        <v>4801158</v>
      </c>
      <c r="E123" s="137">
        <v>6</v>
      </c>
      <c r="F123" s="2">
        <v>87</v>
      </c>
      <c r="G123" s="341" t="s">
        <v>71</v>
      </c>
      <c r="H123" s="336" t="s">
        <v>1142</v>
      </c>
      <c r="I123" s="2"/>
      <c r="J123" s="2"/>
      <c r="K123" s="341" t="s">
        <v>41</v>
      </c>
      <c r="L123" s="341" t="s">
        <v>576</v>
      </c>
      <c r="M123" s="341" t="s">
        <v>513</v>
      </c>
      <c r="N123" s="341" t="s">
        <v>513</v>
      </c>
      <c r="O123" s="24" t="s">
        <v>43</v>
      </c>
      <c r="P123" s="6" t="s">
        <v>122</v>
      </c>
      <c r="Q123" s="2"/>
      <c r="R123" s="336" t="s">
        <v>1143</v>
      </c>
      <c r="S123" s="336" t="s">
        <v>186</v>
      </c>
      <c r="T123" s="341" t="s">
        <v>478</v>
      </c>
      <c r="U123" s="107">
        <v>45926</v>
      </c>
      <c r="V123" s="107">
        <v>46017</v>
      </c>
      <c r="W123" s="24">
        <f ca="1">V123-TODAY()</f>
        <v>-68</v>
      </c>
      <c r="X123" s="222" t="str">
        <f ca="1">IF(W123&gt;=25,"Vigente",IF(AND(W123&gt;=1,W123&lt;=25),"Por Vencer","Vencido"))</f>
        <v>Vencido</v>
      </c>
      <c r="Y123" s="2"/>
      <c r="Z123" s="336" t="s">
        <v>238</v>
      </c>
      <c r="AA123" s="376" t="s">
        <v>1144</v>
      </c>
      <c r="AB123"/>
      <c r="AC123"/>
      <c r="AD123"/>
      <c r="AE123"/>
      <c r="AF123"/>
      <c r="AG123"/>
      <c r="AH123"/>
      <c r="AI123"/>
      <c r="AJ123"/>
      <c r="AK123"/>
      <c r="AL123"/>
      <c r="AM123"/>
      <c r="AN123"/>
      <c r="AO123" s="60"/>
      <c r="AP123" s="60"/>
      <c r="AQ123" s="60"/>
      <c r="AR123" s="60"/>
      <c r="AS123" s="60"/>
      <c r="AT123" s="60"/>
      <c r="AU123" s="60"/>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0"/>
      <c r="BX123" s="60"/>
      <c r="BY123" s="60"/>
      <c r="BZ123" s="60"/>
      <c r="CA123" s="60"/>
    </row>
    <row r="124" spans="1:79" s="6" customFormat="1" ht="116.25" hidden="1" customHeight="1">
      <c r="A124" s="19">
        <v>121</v>
      </c>
      <c r="B124" s="257" t="s">
        <v>35</v>
      </c>
      <c r="C124" s="271" t="s">
        <v>1145</v>
      </c>
      <c r="D124" s="282">
        <v>11020756</v>
      </c>
      <c r="E124" s="282">
        <v>5</v>
      </c>
      <c r="F124" s="282">
        <v>59</v>
      </c>
      <c r="G124" s="282" t="s">
        <v>46</v>
      </c>
      <c r="H124" s="271" t="s">
        <v>1146</v>
      </c>
      <c r="I124" s="54">
        <v>2020</v>
      </c>
      <c r="J124" s="272">
        <v>43872</v>
      </c>
      <c r="K124" s="271" t="s">
        <v>41</v>
      </c>
      <c r="L124" s="271" t="s">
        <v>42</v>
      </c>
      <c r="M124" s="271" t="s">
        <v>105</v>
      </c>
      <c r="N124" s="271" t="s">
        <v>1147</v>
      </c>
      <c r="O124" s="271" t="s">
        <v>43</v>
      </c>
      <c r="P124" s="45" t="s">
        <v>122</v>
      </c>
      <c r="Q124" s="45"/>
      <c r="R124" s="378" t="s">
        <v>1148</v>
      </c>
      <c r="S124" s="6" t="s">
        <v>1149</v>
      </c>
      <c r="T124" s="338" t="s">
        <v>1132</v>
      </c>
      <c r="U124" s="33">
        <v>46042</v>
      </c>
      <c r="V124" s="33">
        <v>46223</v>
      </c>
      <c r="W124" s="24">
        <f ca="1">V124-TODAY()</f>
        <v>138</v>
      </c>
      <c r="X124" s="308" t="str">
        <f ca="1">IF(W124&gt;=25,"Vigente",IF(AND(W124&gt;=1,W124&lt;=25),"Por Vencer","Vencido"))</f>
        <v>Vigente</v>
      </c>
      <c r="Y124" s="348"/>
      <c r="Z124" s="338" t="s">
        <v>238</v>
      </c>
      <c r="AA124" s="424">
        <v>46204</v>
      </c>
      <c r="AB124"/>
      <c r="AC124"/>
      <c r="AD124"/>
      <c r="AE124"/>
      <c r="AF124"/>
      <c r="AG124"/>
      <c r="AH124"/>
      <c r="AI124"/>
      <c r="AJ124"/>
      <c r="AK124"/>
      <c r="AL124"/>
      <c r="AM124"/>
      <c r="AN124"/>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c r="CA124" s="60"/>
    </row>
    <row r="125" spans="1:79" s="6" customFormat="1" ht="97.5" customHeight="1">
      <c r="A125" s="19">
        <v>122</v>
      </c>
      <c r="B125" s="21" t="s">
        <v>35</v>
      </c>
      <c r="C125" s="236" t="s">
        <v>1150</v>
      </c>
      <c r="D125" s="155">
        <v>5135271</v>
      </c>
      <c r="E125" s="155">
        <v>8</v>
      </c>
      <c r="F125" s="24">
        <v>85</v>
      </c>
      <c r="G125" s="24" t="s">
        <v>39</v>
      </c>
      <c r="H125" s="24" t="s">
        <v>1151</v>
      </c>
      <c r="I125" s="24">
        <v>2022</v>
      </c>
      <c r="J125" s="33">
        <v>44813</v>
      </c>
      <c r="K125" s="33" t="s">
        <v>41</v>
      </c>
      <c r="L125" s="24" t="s">
        <v>42</v>
      </c>
      <c r="M125" s="24" t="s">
        <v>105</v>
      </c>
      <c r="N125" s="24" t="s">
        <v>96</v>
      </c>
      <c r="O125" s="24" t="s">
        <v>164</v>
      </c>
      <c r="P125" s="6" t="s">
        <v>122</v>
      </c>
      <c r="R125" s="338" t="s">
        <v>1152</v>
      </c>
      <c r="S125" s="6" t="s">
        <v>368</v>
      </c>
      <c r="T125" s="338" t="s">
        <v>478</v>
      </c>
      <c r="U125" s="33">
        <v>45611</v>
      </c>
      <c r="V125" s="33">
        <v>45976</v>
      </c>
      <c r="W125" s="24">
        <f ca="1">V125-TODAY()</f>
        <v>-109</v>
      </c>
      <c r="X125" s="307" t="str">
        <f ca="1">IF(W125&gt;=25,"Vigente",IF(AND(W125&gt;=1,W125&lt;=25),"Por Vencer","Vencido"))</f>
        <v>Vencido</v>
      </c>
      <c r="Z125" s="338" t="s">
        <v>238</v>
      </c>
      <c r="AA125" s="376" t="s">
        <v>1153</v>
      </c>
      <c r="AB125"/>
      <c r="AC125"/>
      <c r="AD125"/>
      <c r="AE125"/>
      <c r="AF125"/>
      <c r="AG125"/>
      <c r="AH125"/>
      <c r="AI125"/>
      <c r="AJ125"/>
      <c r="AK125"/>
      <c r="AL125"/>
      <c r="AM125"/>
      <c r="AN125"/>
      <c r="AO125" s="60"/>
      <c r="AP125" s="60"/>
      <c r="AQ125" s="60"/>
      <c r="AR125" s="60"/>
      <c r="AS125" s="60"/>
      <c r="AT125" s="60"/>
      <c r="AU125" s="60"/>
      <c r="AV125" s="60"/>
      <c r="AW125" s="60"/>
      <c r="AX125" s="60"/>
      <c r="AY125" s="60"/>
      <c r="AZ125" s="60"/>
      <c r="BA125" s="60"/>
      <c r="BB125" s="60"/>
      <c r="BC125" s="60"/>
      <c r="BD125" s="60"/>
      <c r="BE125" s="60"/>
      <c r="BF125" s="60"/>
      <c r="BG125" s="60"/>
      <c r="BH125" s="60"/>
      <c r="BI125" s="60"/>
      <c r="BJ125" s="60"/>
      <c r="BK125" s="60"/>
      <c r="BL125" s="60"/>
      <c r="BM125" s="60"/>
      <c r="BN125" s="60"/>
      <c r="BO125" s="60"/>
      <c r="BP125" s="60"/>
      <c r="BQ125" s="60"/>
      <c r="BR125" s="60"/>
      <c r="BS125" s="60"/>
      <c r="BT125" s="60"/>
      <c r="BU125" s="60"/>
      <c r="BV125" s="60"/>
      <c r="BW125" s="60"/>
      <c r="BX125" s="60"/>
      <c r="BY125" s="60"/>
      <c r="BZ125" s="60"/>
      <c r="CA125" s="60"/>
    </row>
    <row r="126" spans="1:79" ht="103.5" customHeight="1">
      <c r="A126" s="19">
        <v>123</v>
      </c>
      <c r="B126" s="254" t="s">
        <v>35</v>
      </c>
      <c r="C126" s="227" t="s">
        <v>1154</v>
      </c>
      <c r="D126" s="255">
        <v>10508151</v>
      </c>
      <c r="E126" s="255">
        <v>0</v>
      </c>
      <c r="F126" s="255">
        <v>87</v>
      </c>
      <c r="G126" s="255" t="s">
        <v>71</v>
      </c>
      <c r="H126" s="227" t="s">
        <v>1155</v>
      </c>
      <c r="I126" s="2"/>
      <c r="J126" s="264"/>
      <c r="K126" s="264"/>
      <c r="L126" s="264"/>
      <c r="M126" s="264"/>
      <c r="N126" s="264"/>
      <c r="O126" s="227" t="s">
        <v>43</v>
      </c>
      <c r="P126" s="227" t="s">
        <v>106</v>
      </c>
      <c r="Q126" s="264"/>
      <c r="R126" s="336" t="s">
        <v>1156</v>
      </c>
      <c r="S126" s="336" t="s">
        <v>114</v>
      </c>
      <c r="T126" s="336" t="s">
        <v>478</v>
      </c>
      <c r="U126" s="106">
        <v>45911</v>
      </c>
      <c r="V126" s="33">
        <v>46002</v>
      </c>
      <c r="W126" s="24">
        <f ca="1">V126-TODAY()</f>
        <v>-83</v>
      </c>
      <c r="X126" s="222" t="str">
        <f ca="1">IF(W126&gt;=25,"Vigente",IF(AND(W126&gt;=1,W126&lt;=25),"Por Vencer","Vencido"))</f>
        <v>Vencido</v>
      </c>
      <c r="Y126" s="10"/>
      <c r="Z126" s="338" t="s">
        <v>238</v>
      </c>
      <c r="AA126" s="376" t="s">
        <v>1157</v>
      </c>
    </row>
    <row r="127" spans="1:79" ht="130.5" customHeight="1">
      <c r="A127" s="19">
        <v>124</v>
      </c>
      <c r="B127" s="149" t="s">
        <v>35</v>
      </c>
      <c r="C127" s="232" t="s">
        <v>1158</v>
      </c>
      <c r="D127" s="140">
        <v>5747013</v>
      </c>
      <c r="E127" s="140">
        <v>5</v>
      </c>
      <c r="F127" s="6">
        <v>73</v>
      </c>
      <c r="G127" s="6" t="s">
        <v>71</v>
      </c>
      <c r="H127" s="6" t="s">
        <v>1159</v>
      </c>
      <c r="I127" s="6">
        <v>2024</v>
      </c>
      <c r="J127" s="30">
        <v>45344</v>
      </c>
      <c r="K127" s="6" t="s">
        <v>132</v>
      </c>
      <c r="L127" s="6" t="s">
        <v>177</v>
      </c>
      <c r="M127" s="6" t="s">
        <v>105</v>
      </c>
      <c r="N127" s="6" t="s">
        <v>96</v>
      </c>
      <c r="O127" s="6" t="s">
        <v>43</v>
      </c>
      <c r="P127" s="6" t="s">
        <v>122</v>
      </c>
      <c r="Q127" s="6"/>
      <c r="R127" s="343" t="s">
        <v>1160</v>
      </c>
      <c r="S127" s="6" t="s">
        <v>114</v>
      </c>
      <c r="T127" s="338" t="s">
        <v>478</v>
      </c>
      <c r="U127" s="33">
        <v>45629</v>
      </c>
      <c r="V127" s="33">
        <v>45660</v>
      </c>
      <c r="W127" s="24">
        <f ca="1">V127-TODAY()</f>
        <v>-425</v>
      </c>
      <c r="X127" s="307" t="str">
        <f ca="1">IF(W127&gt;=25,"Vigente",IF(AND(W127&gt;=1,W127&lt;=25),"Por Vencer","Vencido"))</f>
        <v>Vencido</v>
      </c>
      <c r="Y127" s="338"/>
      <c r="Z127" s="338" t="s">
        <v>238</v>
      </c>
      <c r="AA127" s="376" t="s">
        <v>1161</v>
      </c>
    </row>
    <row r="128" spans="1:79" ht="115.5" hidden="1" customHeight="1">
      <c r="A128" s="19">
        <v>125</v>
      </c>
      <c r="B128" s="6" t="s">
        <v>35</v>
      </c>
      <c r="C128" s="232" t="s">
        <v>1162</v>
      </c>
      <c r="D128" s="140">
        <v>8182923</v>
      </c>
      <c r="E128" s="140">
        <v>3</v>
      </c>
      <c r="F128" s="6">
        <v>67</v>
      </c>
      <c r="G128" s="6" t="s">
        <v>71</v>
      </c>
      <c r="H128" s="6" t="s">
        <v>1163</v>
      </c>
      <c r="I128" s="6"/>
      <c r="J128" s="6"/>
      <c r="K128" s="6"/>
      <c r="L128" s="6"/>
      <c r="M128" s="6"/>
      <c r="N128" s="6"/>
      <c r="O128" s="6" t="s">
        <v>43</v>
      </c>
      <c r="P128" s="6" t="s">
        <v>122</v>
      </c>
      <c r="Q128" s="6"/>
      <c r="R128" s="338" t="s">
        <v>1164</v>
      </c>
      <c r="S128" s="6" t="s">
        <v>114</v>
      </c>
      <c r="T128" s="338" t="s">
        <v>1132</v>
      </c>
      <c r="U128" s="30">
        <v>45694</v>
      </c>
      <c r="V128" s="30">
        <v>45899</v>
      </c>
      <c r="W128" s="6">
        <f ca="1">V128-TODAY()</f>
        <v>-186</v>
      </c>
      <c r="X128" s="308" t="str">
        <f ca="1">IF(W128&gt;=25,"Vigente",IF(AND(W128&gt;=1,W128&lt;=25),"Por Vencer","Vencido"))</f>
        <v>Vencido</v>
      </c>
      <c r="Y128" s="338"/>
      <c r="Z128" s="338" t="s">
        <v>238</v>
      </c>
      <c r="AA128" s="334" t="s">
        <v>1165</v>
      </c>
    </row>
    <row r="129" spans="1:79" ht="99.75" customHeight="1">
      <c r="A129" s="19">
        <v>126</v>
      </c>
      <c r="B129" s="254" t="s">
        <v>35</v>
      </c>
      <c r="C129" s="227" t="s">
        <v>1166</v>
      </c>
      <c r="D129" s="265">
        <v>7524544</v>
      </c>
      <c r="E129" s="265">
        <v>0</v>
      </c>
      <c r="F129" s="265">
        <v>66</v>
      </c>
      <c r="G129" s="265"/>
      <c r="H129" s="227" t="s">
        <v>1167</v>
      </c>
      <c r="I129" s="2"/>
      <c r="J129" s="264"/>
      <c r="K129" s="264"/>
      <c r="L129" s="264"/>
      <c r="M129" s="264"/>
      <c r="N129" s="264"/>
      <c r="O129" s="45" t="s">
        <v>43</v>
      </c>
      <c r="P129" s="45" t="s">
        <v>122</v>
      </c>
      <c r="Q129" s="264"/>
      <c r="R129" s="336" t="s">
        <v>1168</v>
      </c>
      <c r="S129" s="336" t="s">
        <v>630</v>
      </c>
      <c r="T129" s="341" t="s">
        <v>478</v>
      </c>
      <c r="U129" s="107">
        <v>45967</v>
      </c>
      <c r="V129" s="379">
        <v>45997</v>
      </c>
      <c r="W129" s="24">
        <f ca="1">V129-TODAY()</f>
        <v>-88</v>
      </c>
      <c r="X129" s="222" t="str">
        <f ca="1">IF(W129&gt;=25,"Vigente",IF(AND(W129&gt;=1,W129&lt;=25),"Por Vencer","Vencido"))</f>
        <v>Vencido</v>
      </c>
      <c r="Y129" s="341"/>
      <c r="Z129" s="338" t="s">
        <v>238</v>
      </c>
      <c r="AA129" s="376" t="s">
        <v>1169</v>
      </c>
    </row>
    <row r="130" spans="1:79" ht="90" hidden="1" customHeight="1">
      <c r="A130" s="19">
        <v>127</v>
      </c>
      <c r="B130" s="149" t="s">
        <v>35</v>
      </c>
      <c r="C130" s="49" t="s">
        <v>1170</v>
      </c>
      <c r="D130" s="140">
        <v>5855558</v>
      </c>
      <c r="E130" s="140">
        <v>4</v>
      </c>
      <c r="F130" s="6">
        <v>83</v>
      </c>
      <c r="G130" s="6" t="s">
        <v>175</v>
      </c>
      <c r="H130" s="6" t="s">
        <v>1171</v>
      </c>
      <c r="I130" s="6">
        <v>2024</v>
      </c>
      <c r="J130" s="30">
        <v>45624</v>
      </c>
      <c r="K130" s="6" t="s">
        <v>41</v>
      </c>
      <c r="L130" s="6" t="s">
        <v>235</v>
      </c>
      <c r="M130" s="6" t="s">
        <v>105</v>
      </c>
      <c r="N130" s="6" t="s">
        <v>133</v>
      </c>
      <c r="O130" s="6" t="s">
        <v>43</v>
      </c>
      <c r="P130" s="6" t="s">
        <v>122</v>
      </c>
      <c r="Q130" s="6"/>
      <c r="R130" s="425" t="s">
        <v>1172</v>
      </c>
      <c r="S130" s="6" t="s">
        <v>630</v>
      </c>
      <c r="T130" s="338" t="s">
        <v>1132</v>
      </c>
      <c r="U130" s="30">
        <v>45982</v>
      </c>
      <c r="V130" s="30">
        <v>46074</v>
      </c>
      <c r="W130" s="6">
        <f ca="1">V130-TODAY()</f>
        <v>-11</v>
      </c>
      <c r="X130" s="308" t="str">
        <f ca="1">IF(W130&gt;=25,"Vigente",IF(AND(W130&gt;=1,W130&lt;=25),"Por Vencer","Vencido"))</f>
        <v>Vencido</v>
      </c>
      <c r="Y130" s="338"/>
      <c r="Z130" s="338" t="s">
        <v>292</v>
      </c>
      <c r="AA130" s="376" t="s">
        <v>1173</v>
      </c>
    </row>
    <row r="131" spans="1:79" ht="102.75" hidden="1" customHeight="1">
      <c r="A131" s="19">
        <v>128</v>
      </c>
      <c r="B131" s="149" t="s">
        <v>35</v>
      </c>
      <c r="C131" s="242" t="s">
        <v>1174</v>
      </c>
      <c r="D131" s="172">
        <v>12572102</v>
      </c>
      <c r="E131" s="148">
        <v>8</v>
      </c>
      <c r="F131" s="24">
        <v>50</v>
      </c>
      <c r="G131" s="24" t="s">
        <v>46</v>
      </c>
      <c r="H131" s="343" t="s">
        <v>1175</v>
      </c>
      <c r="I131" s="24">
        <v>2023</v>
      </c>
      <c r="J131" s="33">
        <v>45271</v>
      </c>
      <c r="K131" s="24" t="s">
        <v>54</v>
      </c>
      <c r="L131" s="24" t="s">
        <v>42</v>
      </c>
      <c r="M131" s="33">
        <v>45678</v>
      </c>
      <c r="N131" s="24" t="s">
        <v>1176</v>
      </c>
      <c r="O131" s="24" t="s">
        <v>164</v>
      </c>
      <c r="P131" s="6" t="s">
        <v>122</v>
      </c>
      <c r="Q131" s="6"/>
      <c r="R131" s="475" t="s">
        <v>1177</v>
      </c>
      <c r="S131" s="6" t="s">
        <v>114</v>
      </c>
      <c r="T131" s="338" t="s">
        <v>501</v>
      </c>
      <c r="U131" s="33">
        <v>45987</v>
      </c>
      <c r="V131" s="33">
        <v>46048</v>
      </c>
      <c r="W131" s="24">
        <f ca="1">V131-TODAY()</f>
        <v>-37</v>
      </c>
      <c r="X131" s="288" t="str">
        <f ca="1">IF(W131&gt;=25,"Vigente",IF(AND(W131&gt;=1,W131&lt;=25),"Por Vencer","Vencido"))</f>
        <v>Vencido</v>
      </c>
      <c r="Y131" s="344"/>
      <c r="Z131" s="338" t="s">
        <v>261</v>
      </c>
      <c r="AA131" s="376" t="s">
        <v>1178</v>
      </c>
    </row>
    <row r="132" spans="1:79" ht="100.5" hidden="1" customHeight="1">
      <c r="A132" s="19">
        <v>129</v>
      </c>
      <c r="B132" s="149" t="s">
        <v>35</v>
      </c>
      <c r="C132" s="235" t="s">
        <v>1179</v>
      </c>
      <c r="D132" s="137">
        <v>16581376</v>
      </c>
      <c r="E132" s="137">
        <v>6</v>
      </c>
      <c r="F132" s="2">
        <v>37</v>
      </c>
      <c r="G132" s="2" t="s">
        <v>71</v>
      </c>
      <c r="H132" s="10" t="s">
        <v>1180</v>
      </c>
      <c r="I132" s="2"/>
      <c r="J132" s="2"/>
      <c r="K132" s="2"/>
      <c r="L132" s="2"/>
      <c r="M132" s="2"/>
      <c r="N132" s="2"/>
      <c r="O132" s="2" t="s">
        <v>41</v>
      </c>
      <c r="P132" s="2" t="s">
        <v>1181</v>
      </c>
      <c r="Q132" s="2"/>
      <c r="R132" s="336" t="s">
        <v>1182</v>
      </c>
      <c r="S132" s="10" t="s">
        <v>630</v>
      </c>
      <c r="T132" s="338" t="s">
        <v>501</v>
      </c>
      <c r="U132" s="107">
        <v>46036</v>
      </c>
      <c r="V132" s="379">
        <v>46401</v>
      </c>
      <c r="W132" s="24">
        <f ca="1">V132-TODAY()</f>
        <v>316</v>
      </c>
      <c r="X132" s="289" t="str">
        <f ca="1">IF(W132&gt;=25,"Vigente",IF(AND(W132&gt;=1,W132&lt;=25),"Por Vencer","Vencido"))</f>
        <v>Vigente</v>
      </c>
      <c r="Y132" s="336"/>
      <c r="Z132" s="338" t="s">
        <v>292</v>
      </c>
      <c r="AA132" s="376" t="s">
        <v>1183</v>
      </c>
    </row>
    <row r="133" spans="1:79" ht="87.75" hidden="1" customHeight="1">
      <c r="A133" s="19">
        <v>130</v>
      </c>
      <c r="B133" s="149" t="s">
        <v>35</v>
      </c>
      <c r="C133" s="232" t="s">
        <v>1184</v>
      </c>
      <c r="D133" s="140">
        <v>10959869</v>
      </c>
      <c r="E133" s="140">
        <v>0</v>
      </c>
      <c r="F133" s="6">
        <v>58</v>
      </c>
      <c r="G133" s="6" t="s">
        <v>71</v>
      </c>
      <c r="H133" s="6" t="s">
        <v>439</v>
      </c>
      <c r="I133" s="6">
        <v>2024</v>
      </c>
      <c r="J133" s="30">
        <v>45631</v>
      </c>
      <c r="K133" s="6" t="s">
        <v>41</v>
      </c>
      <c r="L133" s="6" t="s">
        <v>121</v>
      </c>
      <c r="M133" s="30">
        <v>45646</v>
      </c>
      <c r="N133" s="6" t="s">
        <v>1185</v>
      </c>
      <c r="O133" s="6" t="s">
        <v>43</v>
      </c>
      <c r="P133" s="6" t="s">
        <v>122</v>
      </c>
      <c r="Q133" s="6"/>
      <c r="R133" s="425" t="s">
        <v>1186</v>
      </c>
      <c r="S133" s="6" t="s">
        <v>114</v>
      </c>
      <c r="T133" s="338" t="s">
        <v>501</v>
      </c>
      <c r="U133" s="30">
        <v>45888</v>
      </c>
      <c r="V133" s="30">
        <v>46072</v>
      </c>
      <c r="W133" s="24">
        <f ca="1">V133-TODAY()</f>
        <v>-13</v>
      </c>
      <c r="X133" s="289" t="str">
        <f ca="1">IF(W133&gt;=25,"Vigente",IF(AND(W133&gt;=1,W133&lt;=25),"Por Vencer","Vencido"))</f>
        <v>Vencido</v>
      </c>
      <c r="Y133" s="380"/>
      <c r="Z133" s="338" t="s">
        <v>238</v>
      </c>
      <c r="AA133" s="376" t="s">
        <v>1187</v>
      </c>
    </row>
    <row r="134" spans="1:79" ht="111.75" hidden="1" customHeight="1">
      <c r="A134" s="19">
        <v>131</v>
      </c>
      <c r="B134" s="149" t="s">
        <v>35</v>
      </c>
      <c r="C134" s="236" t="s">
        <v>1188</v>
      </c>
      <c r="D134" s="148">
        <v>6826434</v>
      </c>
      <c r="E134" s="148">
        <v>0</v>
      </c>
      <c r="F134" s="24">
        <v>66</v>
      </c>
      <c r="G134" s="24" t="s">
        <v>46</v>
      </c>
      <c r="H134" s="24" t="s">
        <v>1014</v>
      </c>
      <c r="I134" s="24">
        <v>2023</v>
      </c>
      <c r="J134" s="33">
        <v>45141</v>
      </c>
      <c r="K134" s="24" t="s">
        <v>41</v>
      </c>
      <c r="L134" s="24" t="s">
        <v>42</v>
      </c>
      <c r="M134" s="33">
        <v>45324</v>
      </c>
      <c r="N134" s="24" t="s">
        <v>81</v>
      </c>
      <c r="O134" s="24" t="s">
        <v>43</v>
      </c>
      <c r="P134" s="6" t="s">
        <v>122</v>
      </c>
      <c r="Q134" s="6"/>
      <c r="R134" s="343" t="s">
        <v>1189</v>
      </c>
      <c r="S134" s="6" t="s">
        <v>932</v>
      </c>
      <c r="T134" s="338" t="s">
        <v>1132</v>
      </c>
      <c r="U134" s="33">
        <v>45562</v>
      </c>
      <c r="V134" s="33">
        <v>45743</v>
      </c>
      <c r="W134" s="24">
        <f ca="1">V134-TODAY()</f>
        <v>-342</v>
      </c>
      <c r="X134" s="308" t="str">
        <f ca="1">IF(W134&gt;=25,"Vigente",IF(AND(W134&gt;=1,W134&lt;=25),"Por Vencer","Vencido"))</f>
        <v>Vencido</v>
      </c>
      <c r="Y134" s="348"/>
      <c r="Z134" s="338" t="s">
        <v>238</v>
      </c>
      <c r="AA134" s="225" t="s">
        <v>1190</v>
      </c>
    </row>
    <row r="135" spans="1:79" s="147" customFormat="1" ht="111.75" customHeight="1">
      <c r="A135" s="19">
        <v>132</v>
      </c>
      <c r="B135" s="149" t="s">
        <v>35</v>
      </c>
      <c r="C135" s="235" t="s">
        <v>1191</v>
      </c>
      <c r="D135" s="173">
        <v>14314112</v>
      </c>
      <c r="E135" s="137">
        <v>8</v>
      </c>
      <c r="F135" s="2">
        <v>48</v>
      </c>
      <c r="G135" s="341" t="s">
        <v>71</v>
      </c>
      <c r="H135" s="336" t="s">
        <v>303</v>
      </c>
      <c r="I135" s="2"/>
      <c r="J135" s="2"/>
      <c r="K135" s="341" t="s">
        <v>41</v>
      </c>
      <c r="L135" s="341" t="s">
        <v>576</v>
      </c>
      <c r="M135" s="341" t="s">
        <v>513</v>
      </c>
      <c r="N135" s="341" t="s">
        <v>513</v>
      </c>
      <c r="O135" s="24" t="s">
        <v>43</v>
      </c>
      <c r="P135" s="6" t="s">
        <v>122</v>
      </c>
      <c r="Q135" s="2"/>
      <c r="R135" s="336" t="s">
        <v>1192</v>
      </c>
      <c r="S135" s="336" t="s">
        <v>630</v>
      </c>
      <c r="T135" s="341" t="s">
        <v>490</v>
      </c>
      <c r="U135" s="107">
        <v>45930</v>
      </c>
      <c r="V135" s="107">
        <v>46021</v>
      </c>
      <c r="W135" s="24">
        <f ca="1">V135-TODAY()</f>
        <v>-64</v>
      </c>
      <c r="X135" s="221" t="str">
        <f ca="1">IF(W135&gt;=25,"Vigente",IF(AND(W135&gt;=1,W135&lt;=25),"Por Vencer","Vencido"))</f>
        <v>Vencido</v>
      </c>
      <c r="Y135" s="341" t="s">
        <v>1193</v>
      </c>
      <c r="Z135" s="336" t="s">
        <v>238</v>
      </c>
      <c r="AA135" s="376" t="s">
        <v>959</v>
      </c>
      <c r="AB135"/>
      <c r="AC135"/>
      <c r="AD135"/>
      <c r="AE135"/>
      <c r="AF135"/>
      <c r="AG135"/>
      <c r="AH135"/>
      <c r="AI135"/>
      <c r="AJ135"/>
      <c r="AK135"/>
      <c r="AL135"/>
      <c r="AM135"/>
      <c r="AN135"/>
    </row>
    <row r="136" spans="1:79" s="14" customFormat="1" ht="111" customHeight="1">
      <c r="A136" s="19">
        <v>133</v>
      </c>
      <c r="B136" s="149" t="s">
        <v>35</v>
      </c>
      <c r="C136" s="234" t="s">
        <v>1194</v>
      </c>
      <c r="D136" s="229">
        <v>9303227</v>
      </c>
      <c r="E136" s="229"/>
      <c r="F136" s="2">
        <v>63</v>
      </c>
      <c r="G136" s="6" t="s">
        <v>71</v>
      </c>
      <c r="H136" s="10" t="s">
        <v>1195</v>
      </c>
      <c r="I136" s="2"/>
      <c r="J136" s="229">
        <v>93032276</v>
      </c>
      <c r="K136" s="229"/>
      <c r="L136" s="2"/>
      <c r="M136" s="2"/>
      <c r="N136" s="2"/>
      <c r="O136" s="6" t="s">
        <v>43</v>
      </c>
      <c r="P136" s="6" t="s">
        <v>122</v>
      </c>
      <c r="Q136" s="2"/>
      <c r="R136" s="10" t="s">
        <v>1196</v>
      </c>
      <c r="S136" s="6" t="s">
        <v>114</v>
      </c>
      <c r="T136" s="341" t="s">
        <v>490</v>
      </c>
      <c r="U136" s="107">
        <v>45909</v>
      </c>
      <c r="V136" s="107">
        <v>45970</v>
      </c>
      <c r="W136" s="6">
        <f ca="1">V136-TODAY()</f>
        <v>-115</v>
      </c>
      <c r="X136" s="307" t="str">
        <f ca="1">IF(W136&gt;=25,"Vigente",IF(AND(W136&gt;=1,W136&lt;=25),"Por Vencer","Vencido"))</f>
        <v>Vencido</v>
      </c>
      <c r="Y136" s="10"/>
      <c r="Z136" s="336" t="s">
        <v>238</v>
      </c>
      <c r="AA136" s="376" t="s">
        <v>1197</v>
      </c>
      <c r="AB136"/>
      <c r="AC136"/>
      <c r="AD136"/>
      <c r="AE136"/>
      <c r="AF136"/>
      <c r="AG136"/>
      <c r="AH136"/>
      <c r="AI136"/>
      <c r="AJ136"/>
      <c r="AK136"/>
      <c r="AL136"/>
      <c r="AM136"/>
      <c r="AN136"/>
    </row>
    <row r="137" spans="1:79" s="2" customFormat="1" ht="99">
      <c r="A137" s="19">
        <v>134</v>
      </c>
      <c r="B137" s="281" t="s">
        <v>35</v>
      </c>
      <c r="C137" s="258" t="s">
        <v>1194</v>
      </c>
      <c r="D137" s="45">
        <v>9303227</v>
      </c>
      <c r="E137" s="45">
        <v>6</v>
      </c>
      <c r="F137" s="255">
        <v>64</v>
      </c>
      <c r="G137" s="255" t="s">
        <v>71</v>
      </c>
      <c r="H137" s="45"/>
      <c r="I137" s="6" t="s">
        <v>1198</v>
      </c>
      <c r="J137" s="45">
        <v>2024</v>
      </c>
      <c r="K137" s="259">
        <v>45627</v>
      </c>
      <c r="L137" s="45" t="s">
        <v>41</v>
      </c>
      <c r="M137" s="45" t="s">
        <v>512</v>
      </c>
      <c r="N137" s="45"/>
      <c r="O137" s="45" t="s">
        <v>43</v>
      </c>
      <c r="P137" s="45" t="s">
        <v>122</v>
      </c>
      <c r="Q137" s="45" t="s">
        <v>122</v>
      </c>
      <c r="R137" s="6" t="s">
        <v>1199</v>
      </c>
      <c r="S137" s="6" t="s">
        <v>114</v>
      </c>
      <c r="T137" s="338" t="s">
        <v>478</v>
      </c>
      <c r="U137" s="30">
        <v>45909</v>
      </c>
      <c r="V137" s="107">
        <v>46000</v>
      </c>
      <c r="W137" s="24">
        <f ca="1">V137-TODAY()</f>
        <v>-85</v>
      </c>
      <c r="X137" s="222" t="str">
        <f ca="1">IF(W137&gt;=25,"Vigente",IF(AND(W137&gt;=1,W137&lt;=25),"Por Vencer","Vencido"))</f>
        <v>Vencido</v>
      </c>
      <c r="Z137" s="338" t="s">
        <v>238</v>
      </c>
      <c r="AA137" s="377" t="s">
        <v>1200</v>
      </c>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row>
    <row r="138" spans="1:79" s="2" customFormat="1" ht="125.25" hidden="1" customHeight="1">
      <c r="A138" s="19">
        <v>135</v>
      </c>
      <c r="B138" s="149" t="s">
        <v>35</v>
      </c>
      <c r="C138" s="243" t="s">
        <v>1201</v>
      </c>
      <c r="D138" s="140">
        <v>6723775</v>
      </c>
      <c r="E138" s="140">
        <v>7</v>
      </c>
      <c r="F138" s="6">
        <v>77</v>
      </c>
      <c r="G138" s="6" t="s">
        <v>71</v>
      </c>
      <c r="H138" s="6" t="s">
        <v>1202</v>
      </c>
      <c r="I138" s="6">
        <v>2024</v>
      </c>
      <c r="J138" s="30">
        <v>45712</v>
      </c>
      <c r="K138" s="6" t="s">
        <v>41</v>
      </c>
      <c r="L138" s="6" t="s">
        <v>177</v>
      </c>
      <c r="M138" s="30">
        <v>45723</v>
      </c>
      <c r="N138" s="6" t="s">
        <v>208</v>
      </c>
      <c r="O138" s="6" t="s">
        <v>43</v>
      </c>
      <c r="P138" s="6" t="s">
        <v>122</v>
      </c>
      <c r="Q138" s="6"/>
      <c r="R138" s="338" t="s">
        <v>1203</v>
      </c>
      <c r="S138" s="6" t="s">
        <v>114</v>
      </c>
      <c r="T138" s="338" t="s">
        <v>501</v>
      </c>
      <c r="U138" s="30">
        <v>45992</v>
      </c>
      <c r="V138" s="344">
        <v>46023</v>
      </c>
      <c r="W138" s="24">
        <f ca="1">V138-TODAY()</f>
        <v>-62</v>
      </c>
      <c r="X138" s="288" t="str">
        <f ca="1">IF(W138&gt;=25,"Vigente",IF(AND(W138&gt;=1,W138&lt;=25),"Por Vencer","Vencido"))</f>
        <v>Vencido</v>
      </c>
      <c r="Y138" s="6"/>
      <c r="Z138" s="336" t="s">
        <v>261</v>
      </c>
      <c r="AA138" s="228" t="s">
        <v>1204</v>
      </c>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row>
    <row r="139" spans="1:79" s="2" customFormat="1" ht="151.5" hidden="1" customHeight="1">
      <c r="A139" s="19">
        <v>136</v>
      </c>
      <c r="B139" s="254"/>
      <c r="C139" s="258" t="s">
        <v>1205</v>
      </c>
      <c r="D139" s="255">
        <v>10002763</v>
      </c>
      <c r="E139" s="255">
        <v>1</v>
      </c>
      <c r="F139" s="255">
        <v>59</v>
      </c>
      <c r="G139" s="283">
        <v>24110</v>
      </c>
      <c r="H139" s="45" t="s">
        <v>1206</v>
      </c>
      <c r="I139" s="6">
        <v>2025</v>
      </c>
      <c r="J139" s="45">
        <v>2025</v>
      </c>
      <c r="K139" s="45" t="s">
        <v>54</v>
      </c>
      <c r="L139" s="45" t="s">
        <v>704</v>
      </c>
      <c r="M139" s="256">
        <v>45737</v>
      </c>
      <c r="N139" s="45" t="s">
        <v>1207</v>
      </c>
      <c r="O139" s="45" t="s">
        <v>43</v>
      </c>
      <c r="P139" s="45" t="s">
        <v>122</v>
      </c>
      <c r="Q139" s="45"/>
      <c r="R139" s="5" t="s">
        <v>1208</v>
      </c>
      <c r="S139" s="6" t="s">
        <v>114</v>
      </c>
      <c r="T139" s="338" t="s">
        <v>501</v>
      </c>
      <c r="U139" s="30">
        <v>45979</v>
      </c>
      <c r="V139" s="30">
        <v>46009</v>
      </c>
      <c r="W139" s="24">
        <f ca="1">V139-TODAY()</f>
        <v>-76</v>
      </c>
      <c r="X139" s="222" t="str">
        <f ca="1">IF(W139&gt;=25,"Vigente",IF(AND(W139&gt;=1,W139&lt;=25),"Por Vencer","Vencido"))</f>
        <v>Vencido</v>
      </c>
      <c r="Y139" s="6"/>
      <c r="Z139" s="336" t="s">
        <v>238</v>
      </c>
      <c r="AA139" s="381" t="s">
        <v>1209</v>
      </c>
      <c r="AB139" s="214"/>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row>
    <row r="140" spans="1:79" s="2" customFormat="1" ht="66.75" customHeight="1">
      <c r="A140" s="19">
        <v>137</v>
      </c>
      <c r="B140" s="149" t="s">
        <v>35</v>
      </c>
      <c r="C140" s="234" t="s">
        <v>1210</v>
      </c>
      <c r="D140" s="137">
        <v>6707324</v>
      </c>
      <c r="E140" s="345" t="s">
        <v>50</v>
      </c>
      <c r="F140" s="2">
        <v>74</v>
      </c>
      <c r="H140" s="336" t="s">
        <v>1211</v>
      </c>
      <c r="I140" s="46"/>
      <c r="J140" s="328"/>
      <c r="K140" s="341" t="s">
        <v>41</v>
      </c>
      <c r="L140" s="341" t="s">
        <v>121</v>
      </c>
      <c r="M140" s="341" t="s">
        <v>513</v>
      </c>
      <c r="N140" s="341" t="s">
        <v>513</v>
      </c>
      <c r="O140" s="341" t="s">
        <v>43</v>
      </c>
      <c r="P140" s="341" t="s">
        <v>122</v>
      </c>
      <c r="R140" s="336" t="s">
        <v>1212</v>
      </c>
      <c r="S140" s="336" t="s">
        <v>630</v>
      </c>
      <c r="T140" s="336" t="s">
        <v>478</v>
      </c>
      <c r="U140" s="107">
        <v>45972</v>
      </c>
      <c r="V140" s="107">
        <v>46064</v>
      </c>
      <c r="W140" s="24">
        <f ca="1">V140-TODAY()</f>
        <v>-21</v>
      </c>
      <c r="X140" s="221" t="str">
        <f ca="1">IF(W140&gt;=25,"Vigente",IF(AND(W140&gt;=1,W140&lt;=25),"Por Vencer","Vencido"))</f>
        <v>Vencido</v>
      </c>
      <c r="Z140" s="338" t="s">
        <v>238</v>
      </c>
      <c r="AA140" s="336" t="s">
        <v>1213</v>
      </c>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row>
    <row r="141" spans="1:79" s="2" customFormat="1" ht="132" customHeight="1">
      <c r="A141" s="19">
        <v>138</v>
      </c>
      <c r="B141" s="200" t="s">
        <v>35</v>
      </c>
      <c r="C141" s="321" t="s">
        <v>1214</v>
      </c>
      <c r="D141" s="201">
        <v>3793779</v>
      </c>
      <c r="E141" s="201">
        <v>7</v>
      </c>
      <c r="F141" s="202"/>
      <c r="G141" s="202"/>
      <c r="H141" s="204" t="s">
        <v>1215</v>
      </c>
      <c r="J141" s="2">
        <v>2025</v>
      </c>
      <c r="K141" s="382" t="s">
        <v>41</v>
      </c>
      <c r="L141" s="203" t="s">
        <v>704</v>
      </c>
      <c r="M141" s="382" t="s">
        <v>513</v>
      </c>
      <c r="N141" s="382" t="s">
        <v>513</v>
      </c>
      <c r="O141" s="203" t="s">
        <v>43</v>
      </c>
      <c r="P141" s="203" t="s">
        <v>122</v>
      </c>
      <c r="Q141" s="202"/>
      <c r="R141" s="204"/>
      <c r="S141" s="367" t="s">
        <v>630</v>
      </c>
      <c r="T141" s="341" t="s">
        <v>490</v>
      </c>
      <c r="U141" s="205">
        <v>46014</v>
      </c>
      <c r="V141" s="205">
        <v>46196</v>
      </c>
      <c r="W141" s="203">
        <f ca="1">V141-TODAY()</f>
        <v>111</v>
      </c>
      <c r="X141" s="307" t="str">
        <f ca="1">IF(W141&gt;=25,"Vigente",IF(AND(W141&gt;=1,W141&lt;=25),"Por Vencer","Vencido"))</f>
        <v>Vigente</v>
      </c>
      <c r="Y141" s="202"/>
      <c r="Z141" s="336" t="s">
        <v>374</v>
      </c>
      <c r="AA141" s="383" t="s">
        <v>1216</v>
      </c>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row>
    <row r="142" spans="1:79" ht="141" hidden="1" customHeight="1">
      <c r="A142" s="19">
        <v>139</v>
      </c>
      <c r="B142" s="149" t="s">
        <v>35</v>
      </c>
      <c r="C142" s="232" t="s">
        <v>1217</v>
      </c>
      <c r="D142" s="324">
        <v>8204088</v>
      </c>
      <c r="E142" s="140">
        <v>9</v>
      </c>
      <c r="F142" s="6">
        <v>62</v>
      </c>
      <c r="G142" s="6" t="s">
        <v>57</v>
      </c>
      <c r="H142" s="6" t="s">
        <v>1218</v>
      </c>
      <c r="I142" s="6">
        <v>2022</v>
      </c>
      <c r="J142" s="30">
        <v>44690</v>
      </c>
      <c r="K142" s="30" t="s">
        <v>54</v>
      </c>
      <c r="L142" s="6" t="s">
        <v>42</v>
      </c>
      <c r="M142" s="30">
        <v>44797</v>
      </c>
      <c r="N142" s="6" t="s">
        <v>1219</v>
      </c>
      <c r="O142" s="6" t="s">
        <v>164</v>
      </c>
      <c r="P142" s="6" t="s">
        <v>122</v>
      </c>
      <c r="Q142" s="6"/>
      <c r="R142" s="338" t="s">
        <v>1220</v>
      </c>
      <c r="S142" s="6" t="s">
        <v>114</v>
      </c>
      <c r="T142" s="338" t="s">
        <v>1221</v>
      </c>
      <c r="U142" s="33">
        <v>45865</v>
      </c>
      <c r="V142" s="33">
        <v>46018</v>
      </c>
      <c r="W142" s="24">
        <f ca="1">V142-TODAY()</f>
        <v>-67</v>
      </c>
      <c r="X142" s="222" t="str">
        <f ca="1">IF(W142&gt;=25,"Vigente",IF(AND(W142&gt;=1,W142&lt;=25),"Por Vencer","Vencido"))</f>
        <v>Vencido</v>
      </c>
      <c r="Y142" s="57"/>
      <c r="Z142" s="336" t="s">
        <v>238</v>
      </c>
      <c r="AA142" s="376" t="s">
        <v>42</v>
      </c>
    </row>
    <row r="143" spans="1:79" ht="170.25" hidden="1" customHeight="1">
      <c r="A143" s="19">
        <v>140</v>
      </c>
      <c r="B143" s="254" t="s">
        <v>35</v>
      </c>
      <c r="C143" s="227" t="s">
        <v>1222</v>
      </c>
      <c r="D143" s="265">
        <v>5901659</v>
      </c>
      <c r="E143" s="265">
        <v>8</v>
      </c>
      <c r="F143" s="265">
        <v>76</v>
      </c>
      <c r="G143" s="265"/>
      <c r="H143" s="227" t="s">
        <v>1223</v>
      </c>
      <c r="I143" s="2"/>
      <c r="J143" s="264">
        <v>2023</v>
      </c>
      <c r="K143" s="264" t="s">
        <v>54</v>
      </c>
      <c r="L143" s="264" t="s">
        <v>42</v>
      </c>
      <c r="M143" s="264">
        <v>2023</v>
      </c>
      <c r="N143" s="264" t="s">
        <v>1224</v>
      </c>
      <c r="O143" s="264" t="s">
        <v>43</v>
      </c>
      <c r="P143" s="45" t="s">
        <v>122</v>
      </c>
      <c r="Q143" s="264"/>
      <c r="R143" s="10" t="s">
        <v>1225</v>
      </c>
      <c r="S143" s="10" t="s">
        <v>630</v>
      </c>
      <c r="T143" s="2" t="s">
        <v>1226</v>
      </c>
      <c r="U143" s="107">
        <v>45909</v>
      </c>
      <c r="V143" s="107">
        <v>46000</v>
      </c>
      <c r="W143" s="24">
        <f ca="1">V143-TODAY()</f>
        <v>-85</v>
      </c>
      <c r="X143" s="222" t="str">
        <f ca="1">IF(W143&gt;=25,"Vigente",IF(AND(W143&gt;=1,W143&lt;=25),"Por Vencer","Vencido"))</f>
        <v>Vencido</v>
      </c>
      <c r="Y143" s="2"/>
      <c r="Z143" s="336" t="s">
        <v>238</v>
      </c>
      <c r="AA143" s="336" t="s">
        <v>42</v>
      </c>
    </row>
    <row r="144" spans="1:79" ht="105.75" hidden="1" customHeight="1">
      <c r="A144" s="19">
        <v>141</v>
      </c>
      <c r="B144" s="149" t="s">
        <v>35</v>
      </c>
      <c r="C144" s="232" t="s">
        <v>1227</v>
      </c>
      <c r="D144" s="140">
        <v>10619081</v>
      </c>
      <c r="E144" s="140" t="s">
        <v>50</v>
      </c>
      <c r="F144" s="6">
        <v>58</v>
      </c>
      <c r="G144" s="6" t="s">
        <v>604</v>
      </c>
      <c r="H144" s="6" t="s">
        <v>1228</v>
      </c>
      <c r="I144" s="6">
        <v>2024</v>
      </c>
      <c r="J144" s="30">
        <v>45308</v>
      </c>
      <c r="K144" s="6" t="s">
        <v>41</v>
      </c>
      <c r="L144" s="6" t="s">
        <v>1229</v>
      </c>
      <c r="M144" s="30">
        <v>45492</v>
      </c>
      <c r="N144" s="6" t="s">
        <v>1230</v>
      </c>
      <c r="O144" s="6" t="s">
        <v>43</v>
      </c>
      <c r="P144" s="6" t="s">
        <v>122</v>
      </c>
      <c r="Q144" s="6"/>
      <c r="R144" s="338" t="s">
        <v>1231</v>
      </c>
      <c r="S144" s="6" t="s">
        <v>114</v>
      </c>
      <c r="T144" s="338" t="s">
        <v>1232</v>
      </c>
      <c r="U144" s="33">
        <v>45678</v>
      </c>
      <c r="V144" s="33">
        <v>45709</v>
      </c>
      <c r="W144" s="24">
        <f ca="1">V144-TODAY()</f>
        <v>-376</v>
      </c>
      <c r="X144" s="308" t="str">
        <f ca="1">IF(W144&gt;=25,"Vigente",IF(AND(W144&gt;=1,W144&lt;=25),"Por Vencer","Vencido"))</f>
        <v>Vencido</v>
      </c>
      <c r="Y144" s="6"/>
      <c r="Z144" s="336" t="s">
        <v>238</v>
      </c>
      <c r="AA144" s="335" t="s">
        <v>1233</v>
      </c>
    </row>
    <row r="145" spans="1:79" ht="140.25" customHeight="1">
      <c r="A145" s="19">
        <v>142</v>
      </c>
      <c r="B145" s="149"/>
      <c r="C145" s="232" t="s">
        <v>1234</v>
      </c>
      <c r="D145" s="140">
        <v>2461436</v>
      </c>
      <c r="E145" s="140">
        <v>0</v>
      </c>
      <c r="F145" s="6">
        <v>99</v>
      </c>
      <c r="G145" s="6"/>
      <c r="H145" s="338" t="s">
        <v>1195</v>
      </c>
      <c r="I145" s="6"/>
      <c r="J145" s="6">
        <v>2025</v>
      </c>
      <c r="K145" s="338" t="s">
        <v>41</v>
      </c>
      <c r="L145" s="338" t="s">
        <v>42</v>
      </c>
      <c r="M145" s="338" t="s">
        <v>513</v>
      </c>
      <c r="N145" s="338" t="s">
        <v>513</v>
      </c>
      <c r="O145" s="338" t="s">
        <v>43</v>
      </c>
      <c r="P145" s="338" t="s">
        <v>122</v>
      </c>
      <c r="Q145" s="6"/>
      <c r="R145" s="338" t="s">
        <v>1235</v>
      </c>
      <c r="S145" s="338" t="s">
        <v>186</v>
      </c>
      <c r="T145" s="338" t="s">
        <v>478</v>
      </c>
      <c r="U145" s="30">
        <v>45833</v>
      </c>
      <c r="V145" s="30">
        <v>46016</v>
      </c>
      <c r="W145" s="24">
        <f ca="1">V145-TODAY()</f>
        <v>-69</v>
      </c>
      <c r="X145" s="222" t="str">
        <f ca="1">IF(W145&gt;=25,"Vigente",IF(AND(W145&gt;=1,W145&lt;=25),"Por Vencer","Vencido"))</f>
        <v>Vencido</v>
      </c>
      <c r="Y145" s="6"/>
      <c r="Z145" s="336" t="s">
        <v>238</v>
      </c>
      <c r="AA145" s="336" t="s">
        <v>959</v>
      </c>
      <c r="AC145" s="60"/>
      <c r="AD145" s="60"/>
      <c r="AE145" s="60"/>
      <c r="AF145" s="60"/>
      <c r="AG145" s="60"/>
      <c r="AH145" s="60"/>
      <c r="AI145" s="60"/>
      <c r="AJ145" s="60"/>
      <c r="AK145" s="60"/>
      <c r="AL145" s="60"/>
      <c r="AM145" s="60"/>
      <c r="AN145" s="60"/>
    </row>
    <row r="146" spans="1:79" ht="161.25" hidden="1" customHeight="1">
      <c r="A146" s="19">
        <v>143</v>
      </c>
      <c r="B146" s="149" t="s">
        <v>35</v>
      </c>
      <c r="C146" s="238" t="s">
        <v>1236</v>
      </c>
      <c r="D146" s="174">
        <v>8929096</v>
      </c>
      <c r="E146" s="174">
        <v>1</v>
      </c>
      <c r="F146" s="27">
        <v>67</v>
      </c>
      <c r="G146" s="27" t="s">
        <v>46</v>
      </c>
      <c r="H146" s="27" t="s">
        <v>1237</v>
      </c>
      <c r="I146" s="27">
        <v>2022</v>
      </c>
      <c r="J146" s="34">
        <v>44790</v>
      </c>
      <c r="K146" s="34" t="s">
        <v>54</v>
      </c>
      <c r="L146" s="27" t="s">
        <v>42</v>
      </c>
      <c r="M146" s="34">
        <v>44524</v>
      </c>
      <c r="N146" s="27" t="s">
        <v>1238</v>
      </c>
      <c r="O146" s="27" t="s">
        <v>164</v>
      </c>
      <c r="P146" s="6" t="s">
        <v>122</v>
      </c>
      <c r="Q146" s="6"/>
      <c r="R146" s="361" t="s">
        <v>1239</v>
      </c>
      <c r="S146" s="6" t="s">
        <v>114</v>
      </c>
      <c r="T146" s="6" t="s">
        <v>1240</v>
      </c>
      <c r="U146" s="33">
        <v>45488</v>
      </c>
      <c r="V146" s="33">
        <v>45629</v>
      </c>
      <c r="W146" s="24">
        <f ca="1">V146-TODAY()</f>
        <v>-456</v>
      </c>
      <c r="X146" s="308" t="str">
        <f ca="1">IF(W146&gt;=25,"Vigente",IF(AND(W146&gt;=1,W146&lt;=25),"Por Vencer","Vencido"))</f>
        <v>Vencido</v>
      </c>
      <c r="Y146" s="6" t="s">
        <v>1241</v>
      </c>
      <c r="Z146" s="336" t="s">
        <v>238</v>
      </c>
      <c r="AA146" s="336" t="s">
        <v>42</v>
      </c>
      <c r="AC146" s="60"/>
      <c r="AD146" s="60"/>
      <c r="AE146" s="60"/>
      <c r="AF146" s="60"/>
      <c r="AG146" s="60"/>
      <c r="AH146" s="60"/>
      <c r="AI146" s="60"/>
      <c r="AJ146" s="60"/>
      <c r="AK146" s="60"/>
      <c r="AL146" s="60"/>
      <c r="AM146" s="60"/>
      <c r="AN146" s="60"/>
    </row>
    <row r="147" spans="1:79" ht="124.5" customHeight="1">
      <c r="A147" s="19">
        <v>144</v>
      </c>
      <c r="B147" s="21" t="s">
        <v>35</v>
      </c>
      <c r="C147" s="232" t="s">
        <v>1242</v>
      </c>
      <c r="D147" s="135">
        <v>9270679</v>
      </c>
      <c r="E147" s="135">
        <v>6</v>
      </c>
      <c r="F147" s="6">
        <v>62</v>
      </c>
      <c r="G147" s="6" t="s">
        <v>309</v>
      </c>
      <c r="H147" s="6" t="s">
        <v>655</v>
      </c>
      <c r="I147" s="6">
        <v>2024</v>
      </c>
      <c r="J147" s="30">
        <v>45366</v>
      </c>
      <c r="K147" s="6" t="s">
        <v>41</v>
      </c>
      <c r="L147" s="6" t="s">
        <v>42</v>
      </c>
      <c r="M147" s="6" t="s">
        <v>178</v>
      </c>
      <c r="N147" s="6" t="s">
        <v>96</v>
      </c>
      <c r="O147" s="6" t="s">
        <v>43</v>
      </c>
      <c r="P147" s="6" t="s">
        <v>122</v>
      </c>
      <c r="Q147" s="6"/>
      <c r="R147" s="338" t="s">
        <v>1243</v>
      </c>
      <c r="S147" s="6" t="s">
        <v>496</v>
      </c>
      <c r="T147" s="338" t="s">
        <v>478</v>
      </c>
      <c r="U147" s="33">
        <v>45671</v>
      </c>
      <c r="V147" s="33">
        <v>46036</v>
      </c>
      <c r="W147" s="24">
        <f ca="1">V147-TODAY()</f>
        <v>-49</v>
      </c>
      <c r="X147" s="221" t="str">
        <f ca="1">IF(W147&gt;=25,"Vigente",IF(AND(W147&gt;=1,W147&lt;=25),"Por Vencer","Vencido"))</f>
        <v>Vencido</v>
      </c>
      <c r="Y147" s="30" t="s">
        <v>1244</v>
      </c>
      <c r="Z147" s="336" t="s">
        <v>238</v>
      </c>
      <c r="AA147" s="336" t="s">
        <v>977</v>
      </c>
      <c r="AB147" s="1"/>
      <c r="AC147" s="60"/>
      <c r="AD147" s="60"/>
      <c r="AE147" s="60"/>
      <c r="AF147" s="60"/>
      <c r="AG147" s="60"/>
      <c r="AH147" s="60"/>
      <c r="AI147" s="60"/>
      <c r="AJ147" s="60"/>
      <c r="AK147" s="60"/>
      <c r="AL147" s="60"/>
      <c r="AM147" s="60"/>
      <c r="AN147" s="60"/>
    </row>
    <row r="148" spans="1:79" ht="137.25" hidden="1" customHeight="1">
      <c r="A148" s="19">
        <v>145</v>
      </c>
      <c r="B148" s="149" t="s">
        <v>35</v>
      </c>
      <c r="C148" s="232" t="s">
        <v>1245</v>
      </c>
      <c r="D148" s="140">
        <v>9337120</v>
      </c>
      <c r="E148" s="140">
        <v>8</v>
      </c>
      <c r="F148" s="6">
        <v>62</v>
      </c>
      <c r="G148" s="6" t="s">
        <v>71</v>
      </c>
      <c r="H148" s="6" t="s">
        <v>1246</v>
      </c>
      <c r="I148" s="6">
        <v>2024</v>
      </c>
      <c r="J148" s="30">
        <v>45504</v>
      </c>
      <c r="K148" s="6" t="s">
        <v>41</v>
      </c>
      <c r="L148" s="6" t="s">
        <v>177</v>
      </c>
      <c r="M148" s="6" t="s">
        <v>178</v>
      </c>
      <c r="N148" s="6" t="s">
        <v>133</v>
      </c>
      <c r="O148" s="6" t="s">
        <v>164</v>
      </c>
      <c r="P148" s="6" t="s">
        <v>122</v>
      </c>
      <c r="Q148" s="6"/>
      <c r="R148" s="338" t="s">
        <v>1247</v>
      </c>
      <c r="S148" s="6" t="s">
        <v>114</v>
      </c>
      <c r="T148" s="6" t="s">
        <v>1248</v>
      </c>
      <c r="U148" s="30">
        <v>45587</v>
      </c>
      <c r="V148" s="30">
        <v>45679</v>
      </c>
      <c r="W148" s="6">
        <f ca="1">V148-TODAY()</f>
        <v>-406</v>
      </c>
      <c r="X148" s="307" t="str">
        <f ca="1">IF(W148&gt;=25,"Vigente",IF(AND(W148&gt;=1,W148&lt;=25),"Por Vencer","Vencido"))</f>
        <v>Vencido</v>
      </c>
      <c r="Y148" s="6" t="s">
        <v>1249</v>
      </c>
      <c r="Z148" s="6" t="s">
        <v>261</v>
      </c>
      <c r="AA148" s="10"/>
      <c r="AB148" s="215" t="s">
        <v>1250</v>
      </c>
      <c r="AC148" s="60"/>
      <c r="AD148" s="60"/>
      <c r="AE148" s="60"/>
      <c r="AF148" s="60"/>
      <c r="AG148" s="60"/>
      <c r="AH148" s="60"/>
      <c r="AI148" s="60"/>
      <c r="AJ148" s="60"/>
      <c r="AK148" s="60"/>
      <c r="AL148" s="60"/>
      <c r="AM148" s="60"/>
      <c r="AN148" s="60"/>
    </row>
    <row r="149" spans="1:79" ht="54" hidden="1" customHeight="1">
      <c r="A149" s="19">
        <v>146</v>
      </c>
      <c r="B149" s="254" t="s">
        <v>35</v>
      </c>
      <c r="C149" s="45" t="s">
        <v>1251</v>
      </c>
      <c r="D149" s="255">
        <v>5536672</v>
      </c>
      <c r="E149" s="255">
        <v>1</v>
      </c>
      <c r="F149" s="255">
        <v>77</v>
      </c>
      <c r="G149" s="255" t="s">
        <v>71</v>
      </c>
      <c r="H149" s="45" t="s">
        <v>1252</v>
      </c>
      <c r="I149" s="6">
        <v>2024</v>
      </c>
      <c r="J149" s="256">
        <v>45632</v>
      </c>
      <c r="K149" s="45" t="s">
        <v>41</v>
      </c>
      <c r="L149" s="45" t="s">
        <v>59</v>
      </c>
      <c r="M149" s="45" t="s">
        <v>105</v>
      </c>
      <c r="N149" s="45" t="s">
        <v>96</v>
      </c>
      <c r="O149" s="45" t="s">
        <v>43</v>
      </c>
      <c r="P149" s="45" t="s">
        <v>122</v>
      </c>
      <c r="Q149" s="45"/>
      <c r="R149" s="231" t="s">
        <v>1253</v>
      </c>
      <c r="S149" s="338" t="s">
        <v>186</v>
      </c>
      <c r="T149" s="338" t="s">
        <v>501</v>
      </c>
      <c r="U149" s="30">
        <v>45792</v>
      </c>
      <c r="V149" s="30">
        <v>46006</v>
      </c>
      <c r="W149" s="6">
        <f ca="1">V149-TODAY()</f>
        <v>-79</v>
      </c>
      <c r="X149" s="222" t="str">
        <f ca="1">IF(W149&gt;=25,"Vigente",IF(AND(W149&gt;=1,W149&lt;=25),"Por Vencer","Vencido"))</f>
        <v>Vencido</v>
      </c>
      <c r="Y149" s="6"/>
      <c r="Z149" s="336" t="s">
        <v>238</v>
      </c>
      <c r="AA149" s="336" t="s">
        <v>959</v>
      </c>
      <c r="AC149" s="60"/>
      <c r="AD149" s="60"/>
      <c r="AE149" s="60"/>
      <c r="AF149" s="60"/>
      <c r="AG149" s="60"/>
      <c r="AH149" s="60"/>
      <c r="AI149" s="60"/>
      <c r="AJ149" s="60"/>
      <c r="AK149" s="60"/>
      <c r="AL149" s="60"/>
      <c r="AM149" s="60"/>
      <c r="AN149" s="60"/>
    </row>
    <row r="150" spans="1:79" ht="41.25" hidden="1" customHeight="1">
      <c r="A150" s="19">
        <v>147</v>
      </c>
      <c r="B150" s="149" t="s">
        <v>35</v>
      </c>
      <c r="C150" s="232" t="s">
        <v>1254</v>
      </c>
      <c r="D150" s="140">
        <v>5133654</v>
      </c>
      <c r="E150" s="140">
        <v>2</v>
      </c>
      <c r="F150" s="6">
        <v>77</v>
      </c>
      <c r="G150" s="6" t="s">
        <v>71</v>
      </c>
      <c r="H150" s="6" t="s">
        <v>1255</v>
      </c>
      <c r="I150" s="6">
        <v>2024</v>
      </c>
      <c r="J150" s="30">
        <v>45292</v>
      </c>
      <c r="K150" s="6" t="s">
        <v>54</v>
      </c>
      <c r="L150" s="6" t="s">
        <v>121</v>
      </c>
      <c r="M150" s="30">
        <v>45632</v>
      </c>
      <c r="N150" s="6" t="s">
        <v>1256</v>
      </c>
      <c r="O150" s="6" t="s">
        <v>43</v>
      </c>
      <c r="P150" s="6" t="s">
        <v>122</v>
      </c>
      <c r="Q150" s="6"/>
      <c r="R150" s="338" t="s">
        <v>1257</v>
      </c>
      <c r="S150" s="6" t="s">
        <v>114</v>
      </c>
      <c r="T150" s="338" t="s">
        <v>1258</v>
      </c>
      <c r="U150" s="30">
        <v>45978</v>
      </c>
      <c r="V150" s="30">
        <v>46039</v>
      </c>
      <c r="W150" s="24">
        <f ca="1">V150-TODAY()</f>
        <v>-46</v>
      </c>
      <c r="X150" s="221" t="str">
        <f ca="1">IF(W150&gt;=25,"Vigente",IF(AND(W150&gt;=1,W150&lt;=25),"Por Vencer","Vencido"))</f>
        <v>Vencido</v>
      </c>
      <c r="Y150" s="60"/>
      <c r="Z150" s="336" t="s">
        <v>238</v>
      </c>
      <c r="AA150" s="336" t="s">
        <v>1259</v>
      </c>
      <c r="AB150" s="43"/>
      <c r="AC150" s="60"/>
      <c r="AD150" s="60"/>
      <c r="AE150" s="60"/>
      <c r="AF150" s="60"/>
      <c r="AG150" s="60"/>
      <c r="AH150" s="60"/>
      <c r="AI150" s="60"/>
      <c r="AJ150" s="60"/>
      <c r="AK150" s="60"/>
      <c r="AL150" s="60"/>
      <c r="AM150" s="60"/>
      <c r="AN150" s="60"/>
    </row>
    <row r="151" spans="1:79" ht="111" customHeight="1">
      <c r="A151" s="19">
        <v>148</v>
      </c>
      <c r="B151" s="267" t="s">
        <v>35</v>
      </c>
      <c r="C151" s="45" t="s">
        <v>1260</v>
      </c>
      <c r="D151" s="255">
        <v>6230094</v>
      </c>
      <c r="E151" s="255">
        <v>9</v>
      </c>
      <c r="F151" s="255">
        <v>74</v>
      </c>
      <c r="G151" s="255" t="s">
        <v>175</v>
      </c>
      <c r="H151" s="45" t="s">
        <v>1261</v>
      </c>
      <c r="I151" s="6">
        <v>2024</v>
      </c>
      <c r="J151" s="256">
        <v>45456</v>
      </c>
      <c r="K151" s="45" t="s">
        <v>41</v>
      </c>
      <c r="L151" s="45" t="s">
        <v>42</v>
      </c>
      <c r="M151" s="45" t="s">
        <v>178</v>
      </c>
      <c r="N151" s="45" t="s">
        <v>133</v>
      </c>
      <c r="O151" s="45" t="s">
        <v>43</v>
      </c>
      <c r="P151" s="45" t="s">
        <v>122</v>
      </c>
      <c r="Q151" s="45"/>
      <c r="R151" s="6" t="s">
        <v>1262</v>
      </c>
      <c r="S151" s="338" t="s">
        <v>496</v>
      </c>
      <c r="T151" s="338" t="s">
        <v>478</v>
      </c>
      <c r="U151" s="30">
        <v>45639</v>
      </c>
      <c r="V151" s="30">
        <v>46004</v>
      </c>
      <c r="W151" s="24">
        <f ca="1">V151-TODAY()</f>
        <v>-81</v>
      </c>
      <c r="X151" s="222" t="str">
        <f ca="1">IF(W151&gt;=25,"Vigente",IF(AND(W151&gt;=1,W151&lt;=25),"Por Vencer","Vencido"))</f>
        <v>Vencido</v>
      </c>
      <c r="Y151" s="6"/>
      <c r="Z151" s="336" t="s">
        <v>238</v>
      </c>
      <c r="AA151" s="336" t="s">
        <v>959</v>
      </c>
      <c r="AC151" s="60"/>
      <c r="AD151" s="60"/>
      <c r="AE151" s="60"/>
      <c r="AF151" s="60"/>
      <c r="AG151" s="60"/>
      <c r="AH151" s="60"/>
      <c r="AI151" s="60"/>
      <c r="AJ151" s="60"/>
      <c r="AK151" s="60"/>
      <c r="AL151" s="60"/>
      <c r="AM151" s="60"/>
      <c r="AN151" s="60"/>
    </row>
    <row r="152" spans="1:79" ht="111" hidden="1" customHeight="1">
      <c r="A152" s="19">
        <v>149</v>
      </c>
      <c r="B152" s="149" t="s">
        <v>745</v>
      </c>
      <c r="C152" s="232" t="s">
        <v>1263</v>
      </c>
      <c r="D152" s="140">
        <v>4197432</v>
      </c>
      <c r="E152" s="140" t="s">
        <v>50</v>
      </c>
      <c r="F152" s="6">
        <v>85</v>
      </c>
      <c r="G152" s="6" t="s">
        <v>1264</v>
      </c>
      <c r="H152" s="6" t="s">
        <v>1265</v>
      </c>
      <c r="I152" s="6">
        <v>2023</v>
      </c>
      <c r="J152" s="30">
        <v>45174</v>
      </c>
      <c r="K152" s="6" t="s">
        <v>54</v>
      </c>
      <c r="L152" s="6" t="s">
        <v>425</v>
      </c>
      <c r="M152" s="30">
        <v>44923</v>
      </c>
      <c r="N152" s="6" t="s">
        <v>1266</v>
      </c>
      <c r="O152" s="6" t="s">
        <v>534</v>
      </c>
      <c r="P152" s="6" t="s">
        <v>122</v>
      </c>
      <c r="Q152" s="6"/>
      <c r="R152" s="338" t="s">
        <v>1267</v>
      </c>
      <c r="S152" s="6" t="s">
        <v>114</v>
      </c>
      <c r="T152" s="338" t="s">
        <v>543</v>
      </c>
      <c r="U152" s="30">
        <v>45698</v>
      </c>
      <c r="V152" s="30">
        <v>45746</v>
      </c>
      <c r="W152" s="24">
        <f ca="1">V152-TODAY()</f>
        <v>-339</v>
      </c>
      <c r="X152" s="308" t="str">
        <f ca="1">IF(W152&gt;=25,"Vigente",IF(AND(W152&gt;=1,W152&lt;=25),"Por Vencer","Vencido"))</f>
        <v>Vencido</v>
      </c>
      <c r="Y152" s="30" t="s">
        <v>1268</v>
      </c>
      <c r="Z152" s="336" t="s">
        <v>238</v>
      </c>
      <c r="AA152" s="333" t="s">
        <v>1269</v>
      </c>
      <c r="AB152" s="43"/>
      <c r="AC152" s="60"/>
      <c r="AD152" s="60"/>
      <c r="AE152" s="60"/>
      <c r="AF152" s="60"/>
      <c r="AG152" s="60"/>
      <c r="AH152" s="60"/>
      <c r="AI152" s="60"/>
      <c r="AJ152" s="60"/>
      <c r="AK152" s="60"/>
      <c r="AL152" s="60"/>
      <c r="AM152" s="60"/>
      <c r="AN152" s="60"/>
    </row>
    <row r="153" spans="1:79" ht="105" hidden="1" customHeight="1">
      <c r="A153" s="19">
        <v>150</v>
      </c>
      <c r="B153" s="149" t="s">
        <v>35</v>
      </c>
      <c r="C153" s="234" t="s">
        <v>1270</v>
      </c>
      <c r="D153" s="2">
        <v>26317417</v>
      </c>
      <c r="E153" s="2">
        <v>8</v>
      </c>
      <c r="F153" s="2"/>
      <c r="G153" s="2" t="s">
        <v>71</v>
      </c>
      <c r="H153" s="10" t="s">
        <v>407</v>
      </c>
      <c r="I153" s="2"/>
      <c r="J153" s="2"/>
      <c r="K153" s="2" t="s">
        <v>132</v>
      </c>
      <c r="L153" s="2" t="s">
        <v>121</v>
      </c>
      <c r="M153" s="2" t="s">
        <v>513</v>
      </c>
      <c r="N153" s="2" t="s">
        <v>513</v>
      </c>
      <c r="O153" s="6" t="s">
        <v>43</v>
      </c>
      <c r="P153" s="6" t="s">
        <v>122</v>
      </c>
      <c r="Q153" s="2"/>
      <c r="R153" s="336" t="s">
        <v>1271</v>
      </c>
      <c r="S153" s="6" t="s">
        <v>114</v>
      </c>
      <c r="T153" s="338" t="s">
        <v>501</v>
      </c>
      <c r="U153" s="107">
        <v>46014</v>
      </c>
      <c r="V153" s="107">
        <v>46076</v>
      </c>
      <c r="W153" s="24">
        <f ca="1">V153-TODAY()</f>
        <v>-9</v>
      </c>
      <c r="X153" s="222" t="str">
        <f ca="1">IF(W153&gt;=25,"Vigente",IF(AND(W153&gt;=1,W153&lt;=25),"Por Vencer","Vencido"))</f>
        <v>Vencido</v>
      </c>
      <c r="Y153" s="341"/>
      <c r="Z153" s="336" t="s">
        <v>261</v>
      </c>
      <c r="AA153" s="336" t="s">
        <v>1272</v>
      </c>
    </row>
    <row r="154" spans="1:79" ht="127.5" hidden="1" customHeight="1">
      <c r="A154" s="19">
        <v>151</v>
      </c>
      <c r="B154" s="149" t="s">
        <v>35</v>
      </c>
      <c r="C154" s="236" t="s">
        <v>1273</v>
      </c>
      <c r="D154" s="148">
        <v>27553987</v>
      </c>
      <c r="E154" s="148">
        <v>2</v>
      </c>
      <c r="F154" s="24">
        <v>82</v>
      </c>
      <c r="G154" s="24" t="s">
        <v>46</v>
      </c>
      <c r="H154" s="24" t="s">
        <v>1274</v>
      </c>
      <c r="I154" s="24">
        <v>2023</v>
      </c>
      <c r="J154" s="33">
        <v>45145</v>
      </c>
      <c r="K154" s="24" t="s">
        <v>54</v>
      </c>
      <c r="L154" s="24" t="s">
        <v>121</v>
      </c>
      <c r="M154" s="33">
        <v>45296</v>
      </c>
      <c r="N154" s="24" t="s">
        <v>1275</v>
      </c>
      <c r="O154" s="24" t="s">
        <v>43</v>
      </c>
      <c r="P154" s="6" t="s">
        <v>122</v>
      </c>
      <c r="Q154" s="6"/>
      <c r="R154" s="343" t="s">
        <v>1276</v>
      </c>
      <c r="S154" s="32" t="s">
        <v>114</v>
      </c>
      <c r="T154" s="338" t="s">
        <v>543</v>
      </c>
      <c r="U154" s="33">
        <v>45782</v>
      </c>
      <c r="V154" s="33">
        <v>45966</v>
      </c>
      <c r="W154" s="24">
        <f ca="1">V154-TODAY()</f>
        <v>-119</v>
      </c>
      <c r="X154" s="308" t="str">
        <f ca="1">IF(W154&gt;=25,"Vigente",IF(AND(W154&gt;=1,W154&lt;=25),"Por Vencer","Vencido"))</f>
        <v>Vencido</v>
      </c>
      <c r="Y154" s="30"/>
      <c r="Z154" s="336" t="s">
        <v>238</v>
      </c>
      <c r="AA154" s="336" t="s">
        <v>1277</v>
      </c>
      <c r="AC154" s="60"/>
      <c r="AD154" s="60"/>
      <c r="AE154" s="60"/>
      <c r="AF154" s="60"/>
      <c r="AG154" s="60"/>
      <c r="AH154" s="60"/>
      <c r="AI154" s="60"/>
      <c r="AJ154" s="60"/>
      <c r="AK154" s="60"/>
      <c r="AL154" s="60"/>
      <c r="AM154" s="60"/>
      <c r="AN154" s="60"/>
    </row>
    <row r="155" spans="1:79" ht="73.5" hidden="1" customHeight="1">
      <c r="A155" s="19">
        <v>152</v>
      </c>
      <c r="B155" s="23" t="s">
        <v>35</v>
      </c>
      <c r="C155" s="232" t="s">
        <v>1278</v>
      </c>
      <c r="D155" s="135">
        <v>7725815</v>
      </c>
      <c r="E155" s="135">
        <v>9</v>
      </c>
      <c r="F155" s="6">
        <v>68</v>
      </c>
      <c r="G155" s="6" t="s">
        <v>46</v>
      </c>
      <c r="H155" s="6" t="s">
        <v>1279</v>
      </c>
      <c r="I155" s="6">
        <v>2023</v>
      </c>
      <c r="J155" s="30">
        <v>45203</v>
      </c>
      <c r="K155" s="6" t="s">
        <v>54</v>
      </c>
      <c r="L155" s="6" t="s">
        <v>121</v>
      </c>
      <c r="M155" s="30">
        <v>45233</v>
      </c>
      <c r="N155" s="6" t="s">
        <v>1280</v>
      </c>
      <c r="O155" s="6" t="s">
        <v>43</v>
      </c>
      <c r="P155" s="6" t="s">
        <v>122</v>
      </c>
      <c r="Q155" s="6"/>
      <c r="R155" s="338" t="s">
        <v>1281</v>
      </c>
      <c r="S155" s="6" t="s">
        <v>186</v>
      </c>
      <c r="T155" s="338" t="s">
        <v>1282</v>
      </c>
      <c r="U155" s="33">
        <v>45834</v>
      </c>
      <c r="V155" s="33">
        <v>46017</v>
      </c>
      <c r="W155" s="24">
        <f ca="1">V155-TODAY()</f>
        <v>-68</v>
      </c>
      <c r="X155" s="222" t="str">
        <f ca="1">IF(W155&gt;=25,"Vigente",IF(AND(W155&gt;=1,W155&lt;=25),"Por Vencer","Vencido"))</f>
        <v>Vencido</v>
      </c>
      <c r="Y155" s="57"/>
      <c r="Z155" s="336" t="s">
        <v>238</v>
      </c>
      <c r="AA155" s="10"/>
      <c r="AC155" s="60"/>
      <c r="AD155" s="60"/>
      <c r="AE155" s="60"/>
      <c r="AF155" s="60"/>
      <c r="AG155" s="60"/>
      <c r="AH155" s="60"/>
      <c r="AI155" s="60"/>
      <c r="AJ155" s="60"/>
      <c r="AK155" s="60"/>
      <c r="AL155" s="60"/>
      <c r="AM155" s="60"/>
      <c r="AN155" s="60"/>
    </row>
    <row r="156" spans="1:79" ht="153.75" hidden="1" customHeight="1">
      <c r="A156" s="19">
        <v>153</v>
      </c>
      <c r="B156" s="254" t="s">
        <v>35</v>
      </c>
      <c r="C156" s="45" t="s">
        <v>1283</v>
      </c>
      <c r="D156" s="255">
        <v>13178238</v>
      </c>
      <c r="E156" s="255">
        <v>1</v>
      </c>
      <c r="F156" s="255">
        <v>48</v>
      </c>
      <c r="G156" s="255" t="s">
        <v>71</v>
      </c>
      <c r="H156" s="45" t="s">
        <v>1284</v>
      </c>
      <c r="I156" s="6"/>
      <c r="J156" s="45">
        <v>2025</v>
      </c>
      <c r="K156" s="45" t="s">
        <v>41</v>
      </c>
      <c r="L156" s="45" t="s">
        <v>121</v>
      </c>
      <c r="M156" s="45" t="s">
        <v>513</v>
      </c>
      <c r="N156" s="45" t="s">
        <v>513</v>
      </c>
      <c r="O156" s="45" t="s">
        <v>43</v>
      </c>
      <c r="P156" s="45" t="s">
        <v>106</v>
      </c>
      <c r="Q156" s="45" t="s">
        <v>1285</v>
      </c>
      <c r="R156" s="338" t="s">
        <v>1286</v>
      </c>
      <c r="S156" s="338" t="s">
        <v>1287</v>
      </c>
      <c r="T156" s="338" t="s">
        <v>1288</v>
      </c>
      <c r="U156" s="30">
        <v>45877</v>
      </c>
      <c r="V156" s="30">
        <v>45999</v>
      </c>
      <c r="W156" s="24">
        <f ca="1">V156-TODAY()</f>
        <v>-86</v>
      </c>
      <c r="X156" s="222" t="str">
        <f ca="1">IF(W156&gt;=25,"Vigente",IF(AND(W156&gt;=1,W156&lt;=25),"Por Vencer","Vencido"))</f>
        <v>Vencido</v>
      </c>
      <c r="Y156" s="6"/>
      <c r="Z156" s="336" t="s">
        <v>238</v>
      </c>
      <c r="AA156" s="336" t="s">
        <v>1289</v>
      </c>
      <c r="AC156" s="60"/>
      <c r="AD156" s="60"/>
      <c r="AE156" s="60"/>
      <c r="AF156" s="60"/>
      <c r="AG156" s="60"/>
      <c r="AH156" s="60"/>
      <c r="AI156" s="60"/>
      <c r="AJ156" s="60"/>
      <c r="AK156" s="60"/>
      <c r="AL156" s="60"/>
      <c r="AM156" s="60"/>
      <c r="AN156" s="60"/>
    </row>
    <row r="157" spans="1:79" ht="197.25" hidden="1" customHeight="1">
      <c r="A157" s="19">
        <v>154</v>
      </c>
      <c r="B157" s="206" t="s">
        <v>35</v>
      </c>
      <c r="C157" s="49" t="s">
        <v>1290</v>
      </c>
      <c r="D157" s="6">
        <v>5099919</v>
      </c>
      <c r="E157" s="6" t="s">
        <v>281</v>
      </c>
      <c r="F157" s="6">
        <v>85</v>
      </c>
      <c r="G157" s="338" t="s">
        <v>282</v>
      </c>
      <c r="H157" s="338" t="s">
        <v>1291</v>
      </c>
      <c r="I157" s="6"/>
      <c r="J157" s="30">
        <v>46052</v>
      </c>
      <c r="K157" s="32" t="s">
        <v>54</v>
      </c>
      <c r="L157" s="6" t="s">
        <v>121</v>
      </c>
      <c r="M157" s="30">
        <v>46080</v>
      </c>
      <c r="N157" s="6" t="s">
        <v>1292</v>
      </c>
      <c r="O157" s="6" t="s">
        <v>43</v>
      </c>
      <c r="P157" s="6" t="s">
        <v>122</v>
      </c>
      <c r="Q157" s="6"/>
      <c r="R157" s="338" t="s">
        <v>1293</v>
      </c>
      <c r="S157" s="6" t="s">
        <v>114</v>
      </c>
      <c r="T157" s="336" t="s">
        <v>501</v>
      </c>
      <c r="U157" s="30">
        <v>46078</v>
      </c>
      <c r="V157" s="107">
        <v>46106</v>
      </c>
      <c r="W157" s="24">
        <f ca="1">V157-TODAY()</f>
        <v>21</v>
      </c>
      <c r="X157" s="289" t="str">
        <f ca="1">IF(W157&gt;=25,"Vigente",IF(AND(W157&gt;=1,W157&lt;=25),"Por Vencer","Vencido"))</f>
        <v>Por Vencer</v>
      </c>
      <c r="Y157" s="2"/>
      <c r="Z157" s="338" t="s">
        <v>728</v>
      </c>
      <c r="AA157" s="338" t="s">
        <v>1294</v>
      </c>
      <c r="AB157" t="s">
        <v>54</v>
      </c>
    </row>
    <row r="158" spans="1:79" s="2" customFormat="1" ht="113.25" customHeight="1">
      <c r="A158" s="19">
        <v>155</v>
      </c>
      <c r="B158" s="21" t="s">
        <v>35</v>
      </c>
      <c r="C158" s="232" t="s">
        <v>1295</v>
      </c>
      <c r="D158" s="140">
        <v>9083687</v>
      </c>
      <c r="E158" s="140">
        <v>0</v>
      </c>
      <c r="F158" s="6">
        <v>64</v>
      </c>
      <c r="G158" s="6" t="s">
        <v>175</v>
      </c>
      <c r="H158" s="6" t="s">
        <v>1296</v>
      </c>
      <c r="I158" s="6">
        <v>2024</v>
      </c>
      <c r="J158" s="30">
        <v>45531</v>
      </c>
      <c r="K158" s="6" t="s">
        <v>41</v>
      </c>
      <c r="L158" s="6" t="s">
        <v>42</v>
      </c>
      <c r="M158" s="6" t="s">
        <v>105</v>
      </c>
      <c r="N158" s="6" t="s">
        <v>133</v>
      </c>
      <c r="O158" s="6" t="s">
        <v>43</v>
      </c>
      <c r="P158" s="6" t="s">
        <v>122</v>
      </c>
      <c r="Q158" s="6"/>
      <c r="R158" s="338" t="s">
        <v>1297</v>
      </c>
      <c r="S158" s="6" t="s">
        <v>114</v>
      </c>
      <c r="T158" s="338" t="s">
        <v>478</v>
      </c>
      <c r="U158" s="30">
        <v>45741</v>
      </c>
      <c r="V158" s="30">
        <v>46106</v>
      </c>
      <c r="W158" s="24">
        <f ca="1">V158-TODAY()</f>
        <v>21</v>
      </c>
      <c r="X158" s="221" t="str">
        <f ca="1">IF(W158&gt;=25,"Vigente",IF(AND(W158&gt;=1,W158&lt;=25),"Por Vencer","Vencido"))</f>
        <v>Por Vencer</v>
      </c>
      <c r="Y158" s="6"/>
      <c r="Z158" s="336" t="s">
        <v>238</v>
      </c>
      <c r="AA158" s="336" t="s">
        <v>1000</v>
      </c>
      <c r="AB158" s="216" t="s">
        <v>1298</v>
      </c>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row>
    <row r="159" spans="1:79" ht="156" hidden="1" customHeight="1">
      <c r="A159" s="19">
        <v>156</v>
      </c>
      <c r="B159" s="23" t="s">
        <v>35</v>
      </c>
      <c r="C159" s="232" t="s">
        <v>1299</v>
      </c>
      <c r="D159" s="135">
        <v>8709826</v>
      </c>
      <c r="E159" s="135">
        <v>5</v>
      </c>
      <c r="F159" s="6">
        <v>64</v>
      </c>
      <c r="G159" s="6" t="s">
        <v>71</v>
      </c>
      <c r="H159" s="6" t="s">
        <v>303</v>
      </c>
      <c r="I159" s="6">
        <v>2024</v>
      </c>
      <c r="J159" s="30">
        <v>45330</v>
      </c>
      <c r="K159" s="6" t="s">
        <v>54</v>
      </c>
      <c r="L159" s="6" t="s">
        <v>42</v>
      </c>
      <c r="M159" s="30">
        <v>45471</v>
      </c>
      <c r="N159" s="6" t="s">
        <v>1300</v>
      </c>
      <c r="O159" s="6" t="s">
        <v>43</v>
      </c>
      <c r="P159" s="6" t="s">
        <v>122</v>
      </c>
      <c r="Q159" s="6"/>
      <c r="R159" s="338" t="s">
        <v>1301</v>
      </c>
      <c r="S159" s="6" t="s">
        <v>368</v>
      </c>
      <c r="T159" s="338" t="s">
        <v>1282</v>
      </c>
      <c r="U159" s="33">
        <v>45840</v>
      </c>
      <c r="V159" s="33">
        <v>46205</v>
      </c>
      <c r="W159" s="24">
        <f ca="1">V159-TODAY()</f>
        <v>120</v>
      </c>
      <c r="X159" s="289" t="str">
        <f ca="1">IF(W159&gt;=25,"Vigente",IF(AND(W159&gt;=1,W159&lt;=25),"Por Vencer","Vencido"))</f>
        <v>Vigente</v>
      </c>
      <c r="Y159" s="338"/>
      <c r="Z159" s="336" t="s">
        <v>238</v>
      </c>
      <c r="AA159" s="336" t="s">
        <v>1302</v>
      </c>
    </row>
    <row r="160" spans="1:79" ht="165.75" hidden="1" customHeight="1">
      <c r="A160" s="19">
        <v>157</v>
      </c>
      <c r="B160" s="281" t="s">
        <v>35</v>
      </c>
      <c r="C160" s="264" t="s">
        <v>1303</v>
      </c>
      <c r="D160" s="265">
        <v>6714728</v>
      </c>
      <c r="E160" s="265">
        <v>6</v>
      </c>
      <c r="F160" s="265">
        <v>72</v>
      </c>
      <c r="G160" s="255" t="s">
        <v>71</v>
      </c>
      <c r="H160" s="227" t="s">
        <v>1304</v>
      </c>
      <c r="I160" s="2"/>
      <c r="J160" s="266">
        <v>45859</v>
      </c>
      <c r="K160" s="264" t="s">
        <v>54</v>
      </c>
      <c r="L160" s="264" t="s">
        <v>42</v>
      </c>
      <c r="M160" s="266">
        <v>45975</v>
      </c>
      <c r="N160" s="264" t="s">
        <v>1305</v>
      </c>
      <c r="O160" s="45" t="s">
        <v>43</v>
      </c>
      <c r="P160" s="45" t="s">
        <v>122</v>
      </c>
      <c r="Q160" s="264"/>
      <c r="R160" s="336" t="s">
        <v>1306</v>
      </c>
      <c r="S160" s="10" t="s">
        <v>114</v>
      </c>
      <c r="T160" s="336" t="s">
        <v>501</v>
      </c>
      <c r="U160" s="107">
        <v>46042</v>
      </c>
      <c r="V160" s="107">
        <v>46056</v>
      </c>
      <c r="W160" s="24">
        <f ca="1">V160-TODAY()</f>
        <v>-29</v>
      </c>
      <c r="X160" s="290" t="str">
        <f ca="1">IF(W160&gt;=25,"Vigente",IF(AND(W160&gt;=1,W160&lt;=25),"Por Vencer","Vencido"))</f>
        <v>Vencido</v>
      </c>
      <c r="Y160" s="2"/>
      <c r="Z160" t="s">
        <v>292</v>
      </c>
      <c r="AA160" s="10" t="s">
        <v>1307</v>
      </c>
    </row>
    <row r="161" spans="1:28" ht="76.5" hidden="1" customHeight="1">
      <c r="A161" s="141">
        <v>158</v>
      </c>
      <c r="B161" s="277" t="s">
        <v>35</v>
      </c>
      <c r="C161" s="417" t="s">
        <v>1308</v>
      </c>
      <c r="D161" s="418">
        <v>12397501</v>
      </c>
      <c r="E161" s="419">
        <v>4</v>
      </c>
      <c r="F161" s="419">
        <v>50</v>
      </c>
      <c r="G161" s="419" t="s">
        <v>39</v>
      </c>
      <c r="H161" s="417" t="s">
        <v>1309</v>
      </c>
      <c r="I161" s="27">
        <v>2023</v>
      </c>
      <c r="J161" s="420">
        <v>45218</v>
      </c>
      <c r="K161" s="417" t="s">
        <v>54</v>
      </c>
      <c r="L161" s="417" t="s">
        <v>121</v>
      </c>
      <c r="M161" s="420">
        <v>45267</v>
      </c>
      <c r="N161" s="421" t="s">
        <v>1310</v>
      </c>
      <c r="O161" s="417" t="s">
        <v>43</v>
      </c>
      <c r="P161" s="278" t="s">
        <v>122</v>
      </c>
      <c r="Q161" s="278"/>
      <c r="R161" s="422" t="s">
        <v>1311</v>
      </c>
      <c r="S161" s="340" t="s">
        <v>630</v>
      </c>
      <c r="T161" s="340" t="s">
        <v>501</v>
      </c>
      <c r="U161" s="104">
        <v>45975</v>
      </c>
      <c r="V161" s="104">
        <v>45997</v>
      </c>
      <c r="W161" s="94">
        <f ca="1">V161-TODAY()</f>
        <v>-88</v>
      </c>
      <c r="X161" s="423" t="str">
        <f ca="1">IF(W161&gt;=25,"Vigente",IF(AND(W161&gt;=1,W161&lt;=25),"Por Vencer","Vencido"))</f>
        <v>Vencido</v>
      </c>
      <c r="Y161" s="340" t="s">
        <v>1312</v>
      </c>
      <c r="Z161" s="340" t="s">
        <v>238</v>
      </c>
      <c r="AA161" s="341" t="s">
        <v>1144</v>
      </c>
    </row>
    <row r="162" spans="1:28" ht="102.75" hidden="1" customHeight="1"/>
    <row r="163" spans="1:28" ht="114" hidden="1" customHeight="1">
      <c r="A163" s="19">
        <v>160</v>
      </c>
      <c r="B163" s="254" t="s">
        <v>35</v>
      </c>
      <c r="C163" s="45" t="s">
        <v>1313</v>
      </c>
      <c r="D163" s="255">
        <v>10713709</v>
      </c>
      <c r="E163" s="255">
        <v>2</v>
      </c>
      <c r="F163" s="255">
        <v>58</v>
      </c>
      <c r="G163" s="255" t="s">
        <v>125</v>
      </c>
      <c r="H163" s="45" t="s">
        <v>731</v>
      </c>
      <c r="I163" s="6">
        <v>2024</v>
      </c>
      <c r="J163" s="256">
        <v>45344</v>
      </c>
      <c r="K163" s="45" t="s">
        <v>622</v>
      </c>
      <c r="L163" s="45" t="s">
        <v>59</v>
      </c>
      <c r="M163" s="45" t="s">
        <v>105</v>
      </c>
      <c r="N163" s="45" t="s">
        <v>96</v>
      </c>
      <c r="O163" s="45" t="s">
        <v>43</v>
      </c>
      <c r="P163" s="45" t="s">
        <v>122</v>
      </c>
      <c r="Q163" s="45"/>
      <c r="R163" s="338" t="s">
        <v>1314</v>
      </c>
      <c r="S163" s="6" t="s">
        <v>114</v>
      </c>
      <c r="T163" s="338" t="s">
        <v>501</v>
      </c>
      <c r="U163" s="33">
        <v>45812</v>
      </c>
      <c r="V163" s="33">
        <v>45995</v>
      </c>
      <c r="W163" s="24">
        <f ca="1">V163-TODAY()</f>
        <v>-90</v>
      </c>
      <c r="X163" s="222" t="str">
        <f ca="1">IF(W163&gt;=25,"Vigente",IF(AND(W163&gt;=1,W163&lt;=25),"Por Vencer","Vencido"))</f>
        <v>Vencido</v>
      </c>
      <c r="Y163" s="6"/>
      <c r="Z163" s="338" t="s">
        <v>238</v>
      </c>
      <c r="AA163" s="10" t="s">
        <v>1289</v>
      </c>
      <c r="AB163" s="43"/>
    </row>
    <row r="164" spans="1:28" ht="103.5" hidden="1" customHeight="1">
      <c r="A164" s="19">
        <v>161</v>
      </c>
      <c r="B164" s="254" t="s">
        <v>35</v>
      </c>
      <c r="C164" s="45" t="s">
        <v>1315</v>
      </c>
      <c r="D164" s="255">
        <v>5488721</v>
      </c>
      <c r="E164" s="255">
        <v>3</v>
      </c>
      <c r="F164" s="255">
        <v>78</v>
      </c>
      <c r="G164" s="255" t="s">
        <v>71</v>
      </c>
      <c r="H164" s="45" t="s">
        <v>1316</v>
      </c>
      <c r="I164" s="6">
        <v>2024</v>
      </c>
      <c r="J164" s="256">
        <v>45607</v>
      </c>
      <c r="K164" s="45" t="s">
        <v>41</v>
      </c>
      <c r="L164" s="45" t="s">
        <v>177</v>
      </c>
      <c r="M164" s="45" t="s">
        <v>105</v>
      </c>
      <c r="N164" s="45" t="s">
        <v>96</v>
      </c>
      <c r="O164" s="45" t="s">
        <v>43</v>
      </c>
      <c r="P164" s="45" t="s">
        <v>122</v>
      </c>
      <c r="Q164" s="45"/>
      <c r="R164" s="338" t="s">
        <v>1317</v>
      </c>
      <c r="S164" s="338" t="s">
        <v>186</v>
      </c>
      <c r="T164" s="338" t="s">
        <v>501</v>
      </c>
      <c r="U164" s="30">
        <v>45821</v>
      </c>
      <c r="V164" s="30">
        <v>46004</v>
      </c>
      <c r="W164" s="24">
        <f ca="1">V164-TODAY()</f>
        <v>-81</v>
      </c>
      <c r="X164" s="222" t="str">
        <f ca="1">IF(W164&gt;=25,"Vigente",IF(AND(W164&gt;=1,W164&lt;=25),"Por Vencer","Vencido"))</f>
        <v>Vencido</v>
      </c>
      <c r="Y164" s="6"/>
      <c r="Z164" s="338" t="s">
        <v>238</v>
      </c>
      <c r="AA164" s="336" t="s">
        <v>959</v>
      </c>
    </row>
    <row r="165" spans="1:28" ht="105" hidden="1" customHeight="1">
      <c r="A165" s="19">
        <v>162</v>
      </c>
      <c r="B165" s="182" t="s">
        <v>35</v>
      </c>
      <c r="C165" s="234" t="s">
        <v>1318</v>
      </c>
      <c r="D165" s="137">
        <v>7918560</v>
      </c>
      <c r="E165" s="137">
        <v>4</v>
      </c>
      <c r="F165" s="2">
        <v>65</v>
      </c>
      <c r="G165" s="10" t="s">
        <v>510</v>
      </c>
      <c r="H165" s="10"/>
      <c r="I165" s="2" t="s">
        <v>1319</v>
      </c>
      <c r="J165" s="2">
        <v>2020</v>
      </c>
      <c r="K165" s="107">
        <v>43924</v>
      </c>
      <c r="L165" s="2" t="s">
        <v>54</v>
      </c>
      <c r="M165" s="2" t="s">
        <v>425</v>
      </c>
      <c r="N165" s="107">
        <v>45580</v>
      </c>
      <c r="O165" s="2" t="s">
        <v>43</v>
      </c>
      <c r="P165" s="6" t="s">
        <v>122</v>
      </c>
      <c r="Q165" s="2" t="s">
        <v>122</v>
      </c>
      <c r="R165" s="336" t="s">
        <v>1320</v>
      </c>
      <c r="S165" s="10" t="s">
        <v>114</v>
      </c>
      <c r="T165" s="336" t="s">
        <v>501</v>
      </c>
      <c r="U165" s="107">
        <v>46035</v>
      </c>
      <c r="V165" s="107">
        <v>46066</v>
      </c>
      <c r="W165" s="24">
        <f ca="1">V165-TODAY()</f>
        <v>-19</v>
      </c>
      <c r="X165" s="308" t="str">
        <f ca="1">IF(W165&gt;=25,"Vigente",IF(AND(W165&gt;=1,W165&lt;=25),"Por Vencer","Vencido"))</f>
        <v>Vencido</v>
      </c>
      <c r="Y165" s="2"/>
      <c r="Z165" s="2" t="s">
        <v>1321</v>
      </c>
      <c r="AA165" s="10"/>
    </row>
    <row r="166" spans="1:28" ht="198" hidden="1">
      <c r="A166" s="19">
        <v>163</v>
      </c>
      <c r="B166" s="149" t="s">
        <v>35</v>
      </c>
      <c r="C166" s="232"/>
      <c r="D166" s="140">
        <v>8155568</v>
      </c>
      <c r="E166" s="140">
        <v>0</v>
      </c>
      <c r="F166" s="6">
        <v>64</v>
      </c>
      <c r="G166" s="6" t="s">
        <v>125</v>
      </c>
      <c r="H166" s="6" t="s">
        <v>1322</v>
      </c>
      <c r="I166" s="6" t="s">
        <v>1323</v>
      </c>
      <c r="J166" s="6" t="s">
        <v>1323</v>
      </c>
      <c r="K166" s="6" t="s">
        <v>41</v>
      </c>
      <c r="L166" s="6" t="s">
        <v>783</v>
      </c>
      <c r="M166" s="6" t="s">
        <v>105</v>
      </c>
      <c r="N166" s="6" t="s">
        <v>133</v>
      </c>
      <c r="O166" s="6" t="s">
        <v>43</v>
      </c>
      <c r="P166" s="6" t="s">
        <v>122</v>
      </c>
      <c r="Q166" s="6"/>
      <c r="R166" s="338" t="s">
        <v>1324</v>
      </c>
      <c r="S166" s="338" t="s">
        <v>186</v>
      </c>
      <c r="T166" s="338" t="s">
        <v>543</v>
      </c>
      <c r="U166" s="33">
        <v>45918</v>
      </c>
      <c r="V166" s="33">
        <v>46099</v>
      </c>
      <c r="W166" s="24">
        <f ca="1">V166-TODAY()</f>
        <v>14</v>
      </c>
      <c r="X166" s="289" t="str">
        <f ca="1">IF(W166&gt;=25,"Vigente",IF(AND(W166&gt;=1,W166&lt;=25),"Por Vencer","Vencido"))</f>
        <v>Por Vencer</v>
      </c>
      <c r="Y166" s="6"/>
      <c r="Z166" s="338" t="s">
        <v>238</v>
      </c>
      <c r="AA166" s="336" t="s">
        <v>1325</v>
      </c>
    </row>
    <row r="167" spans="1:28" ht="140.25" hidden="1" customHeight="1">
      <c r="A167" s="19">
        <v>164</v>
      </c>
      <c r="B167" s="149" t="s">
        <v>35</v>
      </c>
      <c r="C167" s="236" t="s">
        <v>1326</v>
      </c>
      <c r="D167" s="148">
        <v>9184325</v>
      </c>
      <c r="E167" s="148">
        <v>0</v>
      </c>
      <c r="F167" s="24">
        <v>80</v>
      </c>
      <c r="G167" s="24" t="s">
        <v>46</v>
      </c>
      <c r="H167" s="24" t="s">
        <v>1327</v>
      </c>
      <c r="I167" s="24">
        <v>2023</v>
      </c>
      <c r="J167" s="33">
        <v>45149</v>
      </c>
      <c r="K167" s="24" t="s">
        <v>41</v>
      </c>
      <c r="L167" s="24" t="s">
        <v>42</v>
      </c>
      <c r="M167" s="24" t="s">
        <v>105</v>
      </c>
      <c r="N167" s="24" t="s">
        <v>96</v>
      </c>
      <c r="O167" s="24" t="s">
        <v>43</v>
      </c>
      <c r="P167" s="6" t="s">
        <v>106</v>
      </c>
      <c r="Q167" s="6"/>
      <c r="R167" s="343" t="s">
        <v>1328</v>
      </c>
      <c r="S167" s="6" t="s">
        <v>963</v>
      </c>
      <c r="T167" s="6" t="s">
        <v>1329</v>
      </c>
      <c r="U167" s="33">
        <v>45629</v>
      </c>
      <c r="V167" s="33">
        <v>45660</v>
      </c>
      <c r="W167" s="24">
        <f ca="1">V167-TODAY()</f>
        <v>-425</v>
      </c>
      <c r="X167" s="307" t="str">
        <f ca="1">IF(W167&gt;=25,"Vigente",IF(AND(W167&gt;=1,W167&lt;=25),"Por Vencer","Vencido"))</f>
        <v>Vencido</v>
      </c>
      <c r="Y167" s="32"/>
      <c r="Z167" s="338" t="s">
        <v>238</v>
      </c>
      <c r="AA167" s="336" t="s">
        <v>1330</v>
      </c>
    </row>
    <row r="168" spans="1:28" ht="140.25" hidden="1" customHeight="1">
      <c r="A168" s="19">
        <v>165</v>
      </c>
      <c r="B168" s="149" t="s">
        <v>35</v>
      </c>
      <c r="C168" s="236" t="s">
        <v>1331</v>
      </c>
      <c r="D168" s="148">
        <v>5356965</v>
      </c>
      <c r="E168" s="148" t="s">
        <v>50</v>
      </c>
      <c r="F168" s="24">
        <v>84</v>
      </c>
      <c r="G168" s="24" t="s">
        <v>540</v>
      </c>
      <c r="H168" s="24" t="s">
        <v>1332</v>
      </c>
      <c r="I168" s="24">
        <v>2023</v>
      </c>
      <c r="J168" s="33">
        <v>45139</v>
      </c>
      <c r="K168" s="24" t="s">
        <v>54</v>
      </c>
      <c r="L168" s="24" t="s">
        <v>42</v>
      </c>
      <c r="M168" s="33">
        <v>45625</v>
      </c>
      <c r="N168" s="24" t="s">
        <v>1333</v>
      </c>
      <c r="O168" s="24" t="s">
        <v>43</v>
      </c>
      <c r="P168" s="6" t="s">
        <v>122</v>
      </c>
      <c r="Q168" s="6"/>
      <c r="R168" s="343" t="s">
        <v>1334</v>
      </c>
      <c r="S168" s="6" t="s">
        <v>114</v>
      </c>
      <c r="T168" s="338" t="s">
        <v>501</v>
      </c>
      <c r="U168" s="33">
        <v>45782</v>
      </c>
      <c r="V168" s="33">
        <v>45843</v>
      </c>
      <c r="W168" s="24">
        <f ca="1">V168-TODAY()</f>
        <v>-242</v>
      </c>
      <c r="X168" s="308" t="str">
        <f ca="1">IF(W168&gt;=25,"Vigente",IF(AND(W168&gt;=1,W168&lt;=25),"Por Vencer","Vencido"))</f>
        <v>Vencido</v>
      </c>
      <c r="Y168" s="247" t="s">
        <v>1335</v>
      </c>
      <c r="Z168" s="338" t="s">
        <v>238</v>
      </c>
      <c r="AA168" s="10" t="s">
        <v>1336</v>
      </c>
    </row>
    <row r="169" spans="1:28" ht="104.25" hidden="1" customHeight="1">
      <c r="A169" s="19">
        <v>166</v>
      </c>
      <c r="B169" s="254" t="s">
        <v>35</v>
      </c>
      <c r="C169" s="274" t="s">
        <v>1337</v>
      </c>
      <c r="D169" s="275">
        <v>13529206</v>
      </c>
      <c r="E169" s="275">
        <v>0</v>
      </c>
      <c r="F169" s="275">
        <v>45</v>
      </c>
      <c r="G169" s="275" t="s">
        <v>46</v>
      </c>
      <c r="H169" s="274" t="s">
        <v>1338</v>
      </c>
      <c r="I169" s="8">
        <v>2023</v>
      </c>
      <c r="J169" s="276">
        <v>45236</v>
      </c>
      <c r="K169" s="274" t="s">
        <v>54</v>
      </c>
      <c r="L169" s="274" t="s">
        <v>42</v>
      </c>
      <c r="M169" s="276">
        <v>45513</v>
      </c>
      <c r="N169" s="274" t="s">
        <v>100</v>
      </c>
      <c r="O169" s="274" t="s">
        <v>43</v>
      </c>
      <c r="P169" s="45" t="s">
        <v>122</v>
      </c>
      <c r="Q169" s="45"/>
      <c r="R169" s="476" t="s">
        <v>1339</v>
      </c>
      <c r="S169" s="6" t="s">
        <v>114</v>
      </c>
      <c r="T169" s="338" t="s">
        <v>501</v>
      </c>
      <c r="U169" s="33">
        <v>45994</v>
      </c>
      <c r="V169" s="33">
        <v>46056</v>
      </c>
      <c r="W169" s="24">
        <f ca="1">V169-TODAY()</f>
        <v>-29</v>
      </c>
      <c r="X169" s="308" t="str">
        <f ca="1">IF(W169&gt;=25,"Vigente",IF(AND(W169&gt;=1,W169&lt;=25),"Por Vencer","Vencido"))</f>
        <v>Vencido</v>
      </c>
      <c r="Y169" s="348" t="s">
        <v>1340</v>
      </c>
      <c r="Z169" t="s">
        <v>292</v>
      </c>
      <c r="AA169" s="336" t="s">
        <v>720</v>
      </c>
    </row>
    <row r="170" spans="1:28" ht="120.75" hidden="1" customHeight="1">
      <c r="A170" s="19">
        <v>167</v>
      </c>
      <c r="B170" s="149" t="s">
        <v>35</v>
      </c>
      <c r="C170" s="232" t="s">
        <v>1341</v>
      </c>
      <c r="D170" s="140">
        <v>11382609</v>
      </c>
      <c r="E170" s="140">
        <v>6</v>
      </c>
      <c r="F170" s="6">
        <v>55</v>
      </c>
      <c r="G170" s="6" t="s">
        <v>39</v>
      </c>
      <c r="H170" s="6" t="s">
        <v>1342</v>
      </c>
      <c r="I170" s="6">
        <v>2024</v>
      </c>
      <c r="J170" s="30">
        <v>45307</v>
      </c>
      <c r="K170" s="6" t="s">
        <v>54</v>
      </c>
      <c r="L170" s="6" t="s">
        <v>95</v>
      </c>
      <c r="M170" s="30">
        <v>45331</v>
      </c>
      <c r="N170" s="6" t="s">
        <v>1343</v>
      </c>
      <c r="O170" s="6" t="s">
        <v>43</v>
      </c>
      <c r="P170" s="6" t="s">
        <v>122</v>
      </c>
      <c r="Q170" s="6"/>
      <c r="R170" s="338" t="s">
        <v>1344</v>
      </c>
      <c r="S170" s="6" t="s">
        <v>114</v>
      </c>
      <c r="T170" s="338" t="s">
        <v>1345</v>
      </c>
      <c r="U170" s="33">
        <v>45945</v>
      </c>
      <c r="V170" s="33">
        <v>46127</v>
      </c>
      <c r="W170" s="24">
        <f ca="1">V170-TODAY()</f>
        <v>42</v>
      </c>
      <c r="X170" s="221" t="str">
        <f ca="1">IF(W170&gt;=25,"Vigente",IF(AND(W170&gt;=1,W170&lt;=25),"Por Vencer","Vencido"))</f>
        <v>Vigente</v>
      </c>
      <c r="Y170" s="6"/>
      <c r="Z170" s="338" t="s">
        <v>238</v>
      </c>
      <c r="AA170" s="336" t="s">
        <v>1346</v>
      </c>
    </row>
    <row r="171" spans="1:28" ht="138" hidden="1" customHeight="1">
      <c r="A171" s="19">
        <v>168</v>
      </c>
      <c r="B171" s="149" t="s">
        <v>35</v>
      </c>
      <c r="C171" s="232" t="s">
        <v>1347</v>
      </c>
      <c r="D171" s="140">
        <v>5735487</v>
      </c>
      <c r="E171" s="140">
        <v>9</v>
      </c>
      <c r="F171" s="6">
        <v>77</v>
      </c>
      <c r="G171" s="6" t="s">
        <v>71</v>
      </c>
      <c r="H171" s="6" t="s">
        <v>1348</v>
      </c>
      <c r="I171" s="6">
        <v>2024</v>
      </c>
      <c r="J171" s="30">
        <v>45593</v>
      </c>
      <c r="K171" s="338" t="s">
        <v>54</v>
      </c>
      <c r="L171" s="338" t="s">
        <v>121</v>
      </c>
      <c r="M171" s="30">
        <v>45625</v>
      </c>
      <c r="N171" s="338" t="s">
        <v>1349</v>
      </c>
      <c r="O171" s="338" t="s">
        <v>534</v>
      </c>
      <c r="P171" s="6" t="s">
        <v>122</v>
      </c>
      <c r="Q171" s="6"/>
      <c r="R171" s="338" t="s">
        <v>1350</v>
      </c>
      <c r="S171" s="338" t="s">
        <v>630</v>
      </c>
      <c r="T171" s="338" t="s">
        <v>534</v>
      </c>
      <c r="U171" s="30">
        <v>45967</v>
      </c>
      <c r="V171" s="30">
        <v>46059</v>
      </c>
      <c r="W171" s="6">
        <f ca="1">V171-TODAY()</f>
        <v>-26</v>
      </c>
      <c r="X171" s="221" t="str">
        <f ca="1">IF(W171&gt;=25,"Vigente",IF(AND(W171&gt;=1,W171&lt;=25),"Por Vencer","Vencido"))</f>
        <v>Vencido</v>
      </c>
      <c r="Y171" s="6"/>
      <c r="Z171" s="338" t="s">
        <v>238</v>
      </c>
      <c r="AA171" s="10" t="s">
        <v>1351</v>
      </c>
    </row>
    <row r="172" spans="1:28" ht="16.5">
      <c r="A172" s="19">
        <v>169</v>
      </c>
      <c r="B172" s="254" t="s">
        <v>35</v>
      </c>
      <c r="C172" s="264" t="s">
        <v>1352</v>
      </c>
      <c r="D172" s="265">
        <v>5227782</v>
      </c>
      <c r="E172" s="265">
        <v>5</v>
      </c>
      <c r="F172" s="265">
        <v>80</v>
      </c>
      <c r="G172" s="265"/>
      <c r="H172" s="227" t="s">
        <v>1353</v>
      </c>
      <c r="I172" s="2"/>
      <c r="J172" s="264"/>
      <c r="K172" s="264"/>
      <c r="L172" s="264"/>
      <c r="M172" s="264"/>
      <c r="N172" s="264"/>
      <c r="O172" s="45" t="s">
        <v>43</v>
      </c>
      <c r="P172" s="45" t="s">
        <v>122</v>
      </c>
      <c r="Q172" s="264"/>
      <c r="R172" s="10" t="s">
        <v>869</v>
      </c>
      <c r="S172" s="6" t="s">
        <v>114</v>
      </c>
      <c r="T172" s="338" t="s">
        <v>478</v>
      </c>
      <c r="U172" s="107">
        <v>45944</v>
      </c>
      <c r="V172" s="107">
        <v>46005</v>
      </c>
      <c r="W172" s="6">
        <f ca="1">V172-TODAY()</f>
        <v>-80</v>
      </c>
      <c r="X172" s="222" t="str">
        <f ca="1">IF(W172&gt;=25,"Vigente",IF(AND(W172&gt;=1,W172&lt;=25),"Por Vencer","Vencido"))</f>
        <v>Vencido</v>
      </c>
      <c r="Y172" s="2"/>
      <c r="Z172" s="338" t="s">
        <v>238</v>
      </c>
      <c r="AA172" s="10"/>
    </row>
    <row r="173" spans="1:28" ht="183.75" hidden="1" customHeight="1">
      <c r="A173" s="19">
        <v>170</v>
      </c>
      <c r="B173" s="269" t="s">
        <v>35</v>
      </c>
      <c r="C173" s="264" t="s">
        <v>1354</v>
      </c>
      <c r="D173" s="265">
        <v>7342982</v>
      </c>
      <c r="E173" s="265" t="s">
        <v>50</v>
      </c>
      <c r="F173" s="265">
        <v>71</v>
      </c>
      <c r="G173" s="265"/>
      <c r="H173" s="227" t="s">
        <v>1355</v>
      </c>
      <c r="I173" s="2"/>
      <c r="J173" s="264"/>
      <c r="K173" s="264"/>
      <c r="L173" s="264"/>
      <c r="M173" s="264"/>
      <c r="N173" s="264"/>
      <c r="O173" s="264" t="s">
        <v>43</v>
      </c>
      <c r="P173" s="45" t="s">
        <v>122</v>
      </c>
      <c r="Q173" s="264"/>
      <c r="R173" s="10" t="s">
        <v>1356</v>
      </c>
      <c r="S173" s="10" t="s">
        <v>114</v>
      </c>
      <c r="T173" s="336" t="s">
        <v>501</v>
      </c>
      <c r="U173" s="107">
        <v>45958</v>
      </c>
      <c r="V173" s="107">
        <v>45989</v>
      </c>
      <c r="W173" s="24">
        <f ca="1">V173-TODAY()</f>
        <v>-96</v>
      </c>
      <c r="X173" s="308" t="str">
        <f ca="1">IF(W173&gt;=25,"Vigente",IF(AND(W173&gt;=1,W173&lt;=25),"Por Vencer","Vencido"))</f>
        <v>Vencido</v>
      </c>
      <c r="Y173" s="2" t="s">
        <v>1357</v>
      </c>
      <c r="Z173" s="2" t="s">
        <v>238</v>
      </c>
      <c r="AA173" s="10"/>
    </row>
    <row r="174" spans="1:28" ht="141" customHeight="1">
      <c r="A174" s="19">
        <v>171</v>
      </c>
      <c r="B174" s="149" t="s">
        <v>35</v>
      </c>
      <c r="C174" s="236" t="s">
        <v>1358</v>
      </c>
      <c r="D174" s="155">
        <v>5422562</v>
      </c>
      <c r="E174" s="155">
        <v>8</v>
      </c>
      <c r="F174" s="24">
        <v>77</v>
      </c>
      <c r="G174" s="24" t="s">
        <v>46</v>
      </c>
      <c r="H174" s="24" t="s">
        <v>1359</v>
      </c>
      <c r="I174" s="24">
        <v>2023</v>
      </c>
      <c r="J174" s="33">
        <v>45166</v>
      </c>
      <c r="K174" s="24" t="s">
        <v>54</v>
      </c>
      <c r="L174" s="24" t="s">
        <v>42</v>
      </c>
      <c r="M174" s="33">
        <v>44992</v>
      </c>
      <c r="N174" s="24" t="s">
        <v>1360</v>
      </c>
      <c r="O174" s="24" t="s">
        <v>43</v>
      </c>
      <c r="P174" s="6" t="s">
        <v>122</v>
      </c>
      <c r="Q174" s="6"/>
      <c r="R174" s="343" t="s">
        <v>1361</v>
      </c>
      <c r="S174" s="6" t="s">
        <v>368</v>
      </c>
      <c r="T174" s="338" t="s">
        <v>478</v>
      </c>
      <c r="U174" s="33">
        <v>45667</v>
      </c>
      <c r="V174" s="33">
        <v>46032</v>
      </c>
      <c r="W174" s="24">
        <f ca="1">V174-TODAY()</f>
        <v>-53</v>
      </c>
      <c r="X174" s="221" t="str">
        <f ca="1">IF(W174&gt;=25,"Vigente",IF(AND(W174&gt;=1,W174&lt;=25),"Por Vencer","Vencido"))</f>
        <v>Vencido</v>
      </c>
      <c r="Y174" s="2"/>
      <c r="Z174" s="338" t="s">
        <v>238</v>
      </c>
      <c r="AA174" s="348" t="s">
        <v>1362</v>
      </c>
    </row>
    <row r="175" spans="1:28" ht="64.5" hidden="1">
      <c r="A175" s="19">
        <v>172</v>
      </c>
      <c r="B175" s="277" t="s">
        <v>564</v>
      </c>
      <c r="C175" s="278" t="s">
        <v>1363</v>
      </c>
      <c r="D175" s="265">
        <v>14551834</v>
      </c>
      <c r="E175" s="265">
        <v>2</v>
      </c>
      <c r="F175" s="265">
        <v>86</v>
      </c>
      <c r="G175" s="265" t="s">
        <v>647</v>
      </c>
      <c r="H175" s="45" t="s">
        <v>1364</v>
      </c>
      <c r="I175" s="7">
        <v>2021</v>
      </c>
      <c r="J175" s="279">
        <v>44481</v>
      </c>
      <c r="K175" s="278" t="s">
        <v>54</v>
      </c>
      <c r="L175" s="278" t="s">
        <v>121</v>
      </c>
      <c r="M175" s="279">
        <v>44874</v>
      </c>
      <c r="N175" s="278" t="s">
        <v>1365</v>
      </c>
      <c r="O175" s="278" t="s">
        <v>43</v>
      </c>
      <c r="P175" s="278" t="s">
        <v>122</v>
      </c>
      <c r="Q175" s="278"/>
      <c r="R175" s="477" t="s">
        <v>1366</v>
      </c>
      <c r="S175" s="6" t="s">
        <v>114</v>
      </c>
      <c r="T175" s="338" t="s">
        <v>501</v>
      </c>
      <c r="U175" s="104">
        <v>46050</v>
      </c>
      <c r="V175" s="104">
        <v>46081</v>
      </c>
      <c r="W175" s="94">
        <f ca="1">V175-TODAY()</f>
        <v>-4</v>
      </c>
      <c r="X175" s="308" t="str">
        <f ca="1">IF(W175&gt;=25,"Vigente",IF(AND(W175&gt;=1,W175&lt;=25),"Por Vencer","Vencido"))</f>
        <v>Vencido</v>
      </c>
      <c r="Y175" s="248"/>
      <c r="Z175" t="s">
        <v>292</v>
      </c>
      <c r="AA175" s="336" t="s">
        <v>1367</v>
      </c>
    </row>
    <row r="176" spans="1:28" ht="135" customHeight="1">
      <c r="A176" s="19">
        <v>173</v>
      </c>
      <c r="B176" s="149" t="s">
        <v>35</v>
      </c>
      <c r="C176" s="234" t="s">
        <v>1368</v>
      </c>
      <c r="D176" s="137">
        <v>3203421</v>
      </c>
      <c r="E176" s="137">
        <v>7</v>
      </c>
      <c r="F176" s="2">
        <v>94</v>
      </c>
      <c r="G176" s="2"/>
      <c r="H176" s="336" t="s">
        <v>1369</v>
      </c>
      <c r="I176" s="2"/>
      <c r="J176" s="2"/>
      <c r="K176" s="2"/>
      <c r="L176" s="2"/>
      <c r="M176" s="2"/>
      <c r="N176" s="2"/>
      <c r="O176" s="6" t="s">
        <v>43</v>
      </c>
      <c r="P176" s="341" t="s">
        <v>106</v>
      </c>
      <c r="Q176" s="2"/>
      <c r="R176" s="336" t="s">
        <v>1370</v>
      </c>
      <c r="S176" s="336" t="s">
        <v>186</v>
      </c>
      <c r="T176" s="341" t="s">
        <v>562</v>
      </c>
      <c r="U176" s="107">
        <v>45799</v>
      </c>
      <c r="V176" s="107">
        <v>46015</v>
      </c>
      <c r="W176" s="94">
        <f ca="1">V176-TODAY()</f>
        <v>-70</v>
      </c>
      <c r="X176" s="222" t="str">
        <f ca="1">IF(W176&gt;=25,"Vigente",IF(AND(W176&gt;=1,W176&lt;=25),"Por Vencer","Vencido"))</f>
        <v>Vencido</v>
      </c>
      <c r="Y176" s="336"/>
      <c r="Z176" s="338" t="s">
        <v>238</v>
      </c>
      <c r="AA176" s="336" t="s">
        <v>959</v>
      </c>
    </row>
    <row r="177" spans="1:28" ht="105.75" customHeight="1">
      <c r="A177" s="19">
        <v>174</v>
      </c>
      <c r="B177" s="149" t="s">
        <v>35</v>
      </c>
      <c r="C177" s="236" t="s">
        <v>1371</v>
      </c>
      <c r="D177" s="148">
        <v>9102872</v>
      </c>
      <c r="E177" s="148">
        <v>7</v>
      </c>
      <c r="F177" s="24">
        <v>63</v>
      </c>
      <c r="G177" s="24" t="s">
        <v>141</v>
      </c>
      <c r="H177" s="343" t="s">
        <v>1372</v>
      </c>
      <c r="I177" s="6">
        <v>2023</v>
      </c>
      <c r="J177" s="30">
        <v>45266</v>
      </c>
      <c r="K177" s="24" t="s">
        <v>41</v>
      </c>
      <c r="L177" s="6" t="s">
        <v>42</v>
      </c>
      <c r="M177" s="24" t="s">
        <v>105</v>
      </c>
      <c r="N177" s="6" t="s">
        <v>96</v>
      </c>
      <c r="O177" s="24" t="s">
        <v>43</v>
      </c>
      <c r="P177" s="6" t="s">
        <v>122</v>
      </c>
      <c r="Q177" s="6"/>
      <c r="R177" s="338" t="s">
        <v>1373</v>
      </c>
      <c r="S177" s="6" t="s">
        <v>114</v>
      </c>
      <c r="T177" s="341" t="s">
        <v>562</v>
      </c>
      <c r="U177" s="33">
        <v>45693</v>
      </c>
      <c r="V177" s="33">
        <v>45721</v>
      </c>
      <c r="W177" s="24">
        <f ca="1">V177-TODAY()</f>
        <v>-364</v>
      </c>
      <c r="X177" s="308" t="str">
        <f ca="1">IF(W177&gt;=25,"Vigente",IF(AND(W177&gt;=1,W177&lt;=25),"Por Vencer","Vencido"))</f>
        <v>Vencido</v>
      </c>
      <c r="Y177" s="6"/>
      <c r="Z177" s="338" t="s">
        <v>238</v>
      </c>
      <c r="AA177" s="336" t="s">
        <v>1374</v>
      </c>
    </row>
    <row r="178" spans="1:28" ht="78.75" customHeight="1">
      <c r="A178" s="19">
        <v>175</v>
      </c>
      <c r="B178" s="21" t="s">
        <v>35</v>
      </c>
      <c r="C178" s="232" t="s">
        <v>1375</v>
      </c>
      <c r="D178" s="135">
        <v>4351751</v>
      </c>
      <c r="E178" s="135">
        <v>1</v>
      </c>
      <c r="F178" s="6">
        <v>83</v>
      </c>
      <c r="G178" s="6" t="s">
        <v>309</v>
      </c>
      <c r="H178" s="6" t="s">
        <v>1376</v>
      </c>
      <c r="I178" s="6">
        <v>2024</v>
      </c>
      <c r="J178" s="30">
        <v>45406</v>
      </c>
      <c r="K178" s="6" t="s">
        <v>622</v>
      </c>
      <c r="L178" s="6" t="s">
        <v>177</v>
      </c>
      <c r="M178" s="6" t="s">
        <v>105</v>
      </c>
      <c r="N178" s="6" t="s">
        <v>96</v>
      </c>
      <c r="O178" s="6" t="s">
        <v>43</v>
      </c>
      <c r="P178" s="6" t="s">
        <v>122</v>
      </c>
      <c r="Q178" s="6"/>
      <c r="R178" s="338" t="s">
        <v>1377</v>
      </c>
      <c r="S178" s="6" t="s">
        <v>114</v>
      </c>
      <c r="T178" s="341" t="s">
        <v>562</v>
      </c>
      <c r="U178" s="33">
        <v>45688</v>
      </c>
      <c r="V178" s="33">
        <v>45869</v>
      </c>
      <c r="W178" s="24">
        <f ca="1">V178-TODAY()</f>
        <v>-216</v>
      </c>
      <c r="X178" s="307" t="str">
        <f ca="1">IF(W178&gt;=25,"Vigente",IF(AND(W178&gt;=1,W178&lt;=25),"Por Vencer","Vencido"))</f>
        <v>Vencido</v>
      </c>
      <c r="Y178" s="6"/>
      <c r="Z178" s="338" t="s">
        <v>238</v>
      </c>
      <c r="AA178" s="10" t="s">
        <v>1378</v>
      </c>
      <c r="AB178" s="43"/>
    </row>
    <row r="179" spans="1:28" ht="41.25" hidden="1" customHeight="1">
      <c r="A179" s="19">
        <v>176</v>
      </c>
      <c r="B179" s="149" t="s">
        <v>35</v>
      </c>
      <c r="C179" s="232" t="s">
        <v>1379</v>
      </c>
      <c r="D179" s="140">
        <v>9076296</v>
      </c>
      <c r="E179" s="140">
        <v>6</v>
      </c>
      <c r="F179" s="6">
        <v>64</v>
      </c>
      <c r="G179" s="6" t="s">
        <v>71</v>
      </c>
      <c r="H179" s="6" t="s">
        <v>1380</v>
      </c>
      <c r="I179" s="6">
        <v>2024</v>
      </c>
      <c r="J179" s="30">
        <v>45573</v>
      </c>
      <c r="K179" s="6" t="s">
        <v>41</v>
      </c>
      <c r="L179" s="6" t="s">
        <v>177</v>
      </c>
      <c r="M179" s="6" t="s">
        <v>105</v>
      </c>
      <c r="N179" s="6" t="s">
        <v>96</v>
      </c>
      <c r="O179" s="6" t="s">
        <v>43</v>
      </c>
      <c r="P179" s="6" t="s">
        <v>122</v>
      </c>
      <c r="Q179" s="6"/>
      <c r="R179" s="338" t="s">
        <v>1381</v>
      </c>
      <c r="S179" s="6" t="s">
        <v>114</v>
      </c>
      <c r="T179" s="338" t="s">
        <v>501</v>
      </c>
      <c r="U179" s="30">
        <v>45674</v>
      </c>
      <c r="V179" s="30">
        <v>45705</v>
      </c>
      <c r="W179" s="6">
        <f ca="1">V179-TODAY()</f>
        <v>-380</v>
      </c>
      <c r="X179" s="308" t="str">
        <f ca="1">IF(W179&gt;=25,"Vigente",IF(AND(W179&gt;=1,W179&lt;=25),"Por Vencer","Vencido"))</f>
        <v>Vencido</v>
      </c>
      <c r="Y179" s="6"/>
      <c r="Z179" s="338" t="s">
        <v>238</v>
      </c>
      <c r="AA179" s="336" t="s">
        <v>1382</v>
      </c>
    </row>
    <row r="180" spans="1:28" ht="60.75" hidden="1" customHeight="1">
      <c r="A180" s="19">
        <v>177</v>
      </c>
      <c r="B180" s="149" t="s">
        <v>35</v>
      </c>
      <c r="C180" s="49" t="s">
        <v>1383</v>
      </c>
      <c r="D180" s="140">
        <v>6475208</v>
      </c>
      <c r="E180" s="140">
        <v>1</v>
      </c>
      <c r="F180" s="6">
        <v>74</v>
      </c>
      <c r="G180" s="6" t="s">
        <v>141</v>
      </c>
      <c r="H180" s="6" t="s">
        <v>1384</v>
      </c>
      <c r="I180" s="6">
        <v>2023</v>
      </c>
      <c r="J180" s="30">
        <v>45036</v>
      </c>
      <c r="K180" s="6" t="s">
        <v>54</v>
      </c>
      <c r="L180" s="6" t="s">
        <v>121</v>
      </c>
      <c r="M180" s="30">
        <v>45345</v>
      </c>
      <c r="N180" s="6" t="s">
        <v>1385</v>
      </c>
      <c r="O180" s="6" t="s">
        <v>43</v>
      </c>
      <c r="P180" s="6" t="s">
        <v>122</v>
      </c>
      <c r="Q180" s="6"/>
      <c r="R180" s="338" t="s">
        <v>1386</v>
      </c>
      <c r="S180" s="6" t="s">
        <v>114</v>
      </c>
      <c r="T180" s="338" t="s">
        <v>501</v>
      </c>
      <c r="U180" s="33">
        <v>45874</v>
      </c>
      <c r="V180" s="33">
        <v>45966</v>
      </c>
      <c r="W180" s="24">
        <f ca="1">V180-TODAY()</f>
        <v>-119</v>
      </c>
      <c r="X180" s="308" t="str">
        <f ca="1">IF(W180&gt;=25,"Vigente",IF(AND(W180&gt;=1,W180&lt;=25),"Por Vencer","Vencido"))</f>
        <v>Vencido</v>
      </c>
      <c r="Y180" s="338"/>
      <c r="Z180" s="338" t="s">
        <v>238</v>
      </c>
      <c r="AA180" s="249" t="s">
        <v>938</v>
      </c>
    </row>
    <row r="181" spans="1:28" ht="63" hidden="1" customHeight="1">
      <c r="A181" s="19">
        <v>178</v>
      </c>
      <c r="B181" s="149" t="s">
        <v>35</v>
      </c>
      <c r="C181" s="232" t="s">
        <v>1387</v>
      </c>
      <c r="D181" s="140">
        <v>12350266</v>
      </c>
      <c r="E181" s="140">
        <v>3</v>
      </c>
      <c r="F181" s="6">
        <v>50</v>
      </c>
      <c r="G181" s="6" t="s">
        <v>71</v>
      </c>
      <c r="H181" s="6" t="s">
        <v>1388</v>
      </c>
      <c r="I181" s="6">
        <v>2021</v>
      </c>
      <c r="J181" s="30">
        <v>44522</v>
      </c>
      <c r="K181" s="6" t="s">
        <v>41</v>
      </c>
      <c r="L181" s="6" t="s">
        <v>177</v>
      </c>
      <c r="M181" s="6" t="s">
        <v>178</v>
      </c>
      <c r="N181" s="6" t="s">
        <v>133</v>
      </c>
      <c r="O181" s="6" t="s">
        <v>43</v>
      </c>
      <c r="P181" s="6" t="s">
        <v>122</v>
      </c>
      <c r="Q181" s="6"/>
      <c r="R181" s="338" t="s">
        <v>1389</v>
      </c>
      <c r="S181" s="6" t="s">
        <v>114</v>
      </c>
      <c r="T181" s="338" t="s">
        <v>543</v>
      </c>
      <c r="U181" s="30">
        <v>45895</v>
      </c>
      <c r="V181" s="30">
        <v>46079</v>
      </c>
      <c r="W181" s="24">
        <f ca="1">V181-TODAY()</f>
        <v>-6</v>
      </c>
      <c r="X181" s="289" t="str">
        <f ca="1">IF(W181&gt;=25,"Vigente",IF(AND(W181&gt;=1,W181&lt;=25),"Por Vencer","Vencido"))</f>
        <v>Vencido</v>
      </c>
      <c r="Y181" s="6"/>
      <c r="Z181" s="338" t="s">
        <v>238</v>
      </c>
      <c r="AA181" s="336" t="s">
        <v>1187</v>
      </c>
      <c r="AB181" s="43"/>
    </row>
    <row r="182" spans="1:28" ht="153" hidden="1" customHeight="1">
      <c r="A182" s="19">
        <v>179</v>
      </c>
      <c r="B182" s="149" t="s">
        <v>35</v>
      </c>
      <c r="C182" s="232" t="s">
        <v>1390</v>
      </c>
      <c r="D182" s="140">
        <v>4216234</v>
      </c>
      <c r="E182" s="140">
        <v>5</v>
      </c>
      <c r="F182" s="6">
        <v>86</v>
      </c>
      <c r="G182" s="6" t="s">
        <v>175</v>
      </c>
      <c r="H182" s="6" t="s">
        <v>1391</v>
      </c>
      <c r="I182" s="6">
        <v>2024</v>
      </c>
      <c r="J182" s="30">
        <v>45356</v>
      </c>
      <c r="K182" s="6" t="s">
        <v>41</v>
      </c>
      <c r="L182" s="6" t="s">
        <v>59</v>
      </c>
      <c r="M182" s="57">
        <v>45432</v>
      </c>
      <c r="N182" s="6" t="s">
        <v>1392</v>
      </c>
      <c r="O182" s="6" t="s">
        <v>43</v>
      </c>
      <c r="P182" s="6" t="s">
        <v>122</v>
      </c>
      <c r="Q182" s="6"/>
      <c r="R182" s="338" t="s">
        <v>1393</v>
      </c>
      <c r="S182" s="338" t="s">
        <v>129</v>
      </c>
      <c r="T182" s="338" t="s">
        <v>543</v>
      </c>
      <c r="U182" s="33">
        <v>45859</v>
      </c>
      <c r="V182" s="33">
        <v>45951</v>
      </c>
      <c r="W182" s="24">
        <f ca="1">V182-TODAY()</f>
        <v>-134</v>
      </c>
      <c r="X182" s="308" t="str">
        <f ca="1">IF(W182&gt;=25,"Vigente",IF(AND(W182&gt;=1,W182&lt;=25),"Por Vencer","Vencido"))</f>
        <v>Vencido</v>
      </c>
      <c r="Y182" s="374"/>
      <c r="Z182" s="338" t="s">
        <v>238</v>
      </c>
      <c r="AA182" s="336" t="s">
        <v>1394</v>
      </c>
      <c r="AB182" s="60"/>
    </row>
    <row r="183" spans="1:28" ht="63.75" hidden="1" customHeight="1">
      <c r="A183" s="19">
        <v>180</v>
      </c>
      <c r="B183" s="149" t="s">
        <v>35</v>
      </c>
      <c r="C183" s="232" t="s">
        <v>1395</v>
      </c>
      <c r="D183" s="140">
        <v>4784461</v>
      </c>
      <c r="E183" s="140">
        <v>4</v>
      </c>
      <c r="F183" s="6">
        <v>82</v>
      </c>
      <c r="G183" s="6" t="s">
        <v>175</v>
      </c>
      <c r="H183" s="6" t="s">
        <v>1396</v>
      </c>
      <c r="I183" s="6">
        <v>2024</v>
      </c>
      <c r="J183" s="30">
        <v>45309</v>
      </c>
      <c r="K183" s="6" t="s">
        <v>41</v>
      </c>
      <c r="L183" s="6" t="s">
        <v>121</v>
      </c>
      <c r="M183" s="30">
        <v>45674</v>
      </c>
      <c r="N183" s="6" t="s">
        <v>1397</v>
      </c>
      <c r="O183" s="6" t="s">
        <v>43</v>
      </c>
      <c r="P183" s="6" t="s">
        <v>122</v>
      </c>
      <c r="Q183" s="6"/>
      <c r="R183" s="6" t="s">
        <v>1398</v>
      </c>
      <c r="S183" s="6" t="s">
        <v>114</v>
      </c>
      <c r="T183" s="338" t="s">
        <v>543</v>
      </c>
      <c r="U183" s="30">
        <v>45981</v>
      </c>
      <c r="V183" s="344">
        <v>46042</v>
      </c>
      <c r="W183" s="24">
        <f ca="1">V183-TODAY()</f>
        <v>-43</v>
      </c>
      <c r="X183" s="289" t="str">
        <f ca="1">IF(W183&gt;=25,"Vigente",IF(AND(W183&gt;=1,W183&lt;=25),"Por Vencer","Vencido"))</f>
        <v>Vencido</v>
      </c>
      <c r="Y183" s="6"/>
      <c r="Z183" s="338" t="s">
        <v>238</v>
      </c>
      <c r="AA183" s="336" t="s">
        <v>1399</v>
      </c>
      <c r="AB183" s="60"/>
    </row>
    <row r="184" spans="1:28" ht="52.5" hidden="1" customHeight="1">
      <c r="A184" s="19">
        <v>181</v>
      </c>
      <c r="B184" s="149" t="s">
        <v>35</v>
      </c>
      <c r="C184" s="232" t="s">
        <v>1400</v>
      </c>
      <c r="D184" s="175">
        <v>5976481</v>
      </c>
      <c r="E184" s="175">
        <v>0</v>
      </c>
      <c r="F184" s="24">
        <v>77</v>
      </c>
      <c r="G184" s="24" t="s">
        <v>39</v>
      </c>
      <c r="H184" s="24" t="s">
        <v>1401</v>
      </c>
      <c r="I184" s="24">
        <v>2023</v>
      </c>
      <c r="J184" s="33">
        <v>45278</v>
      </c>
      <c r="K184" s="24" t="s">
        <v>54</v>
      </c>
      <c r="L184" s="24" t="s">
        <v>59</v>
      </c>
      <c r="M184" s="24" t="s">
        <v>105</v>
      </c>
      <c r="N184" s="24" t="s">
        <v>96</v>
      </c>
      <c r="O184" s="24" t="s">
        <v>43</v>
      </c>
      <c r="P184" s="6" t="s">
        <v>122</v>
      </c>
      <c r="Q184" s="6"/>
      <c r="R184" s="343" t="s">
        <v>1402</v>
      </c>
      <c r="S184" s="338" t="s">
        <v>496</v>
      </c>
      <c r="T184" s="338" t="s">
        <v>543</v>
      </c>
      <c r="U184" s="33">
        <v>45909</v>
      </c>
      <c r="V184" s="33">
        <v>46274</v>
      </c>
      <c r="W184" s="24">
        <f ca="1">V184-TODAY()</f>
        <v>189</v>
      </c>
      <c r="X184" s="289" t="str">
        <f ca="1">IF(W184&gt;=25,"Vigente",IF(AND(W184&gt;=1,W184&lt;=25),"Por Vencer","Vencido"))</f>
        <v>Vigente</v>
      </c>
      <c r="Y184" s="344"/>
      <c r="Z184" s="338" t="s">
        <v>238</v>
      </c>
      <c r="AA184" s="336" t="s">
        <v>1403</v>
      </c>
    </row>
    <row r="185" spans="1:28" ht="71.25" hidden="1" customHeight="1">
      <c r="A185" s="19">
        <v>182</v>
      </c>
      <c r="B185" s="254" t="s">
        <v>35</v>
      </c>
      <c r="C185" s="45" t="s">
        <v>1404</v>
      </c>
      <c r="D185" s="280">
        <v>7481866</v>
      </c>
      <c r="E185" s="255">
        <v>8</v>
      </c>
      <c r="F185" s="255">
        <v>70</v>
      </c>
      <c r="G185" s="255" t="s">
        <v>46</v>
      </c>
      <c r="H185" s="45" t="s">
        <v>1405</v>
      </c>
      <c r="I185" s="6">
        <v>2024</v>
      </c>
      <c r="J185" s="256">
        <v>45383</v>
      </c>
      <c r="K185" s="45" t="s">
        <v>41</v>
      </c>
      <c r="L185" s="45" t="s">
        <v>59</v>
      </c>
      <c r="M185" s="45" t="s">
        <v>105</v>
      </c>
      <c r="N185" s="45" t="s">
        <v>96</v>
      </c>
      <c r="O185" s="45" t="s">
        <v>43</v>
      </c>
      <c r="P185" s="45" t="s">
        <v>122</v>
      </c>
      <c r="Q185" s="45"/>
      <c r="R185" s="338" t="s">
        <v>1406</v>
      </c>
      <c r="S185" s="6" t="s">
        <v>114</v>
      </c>
      <c r="T185" s="338" t="s">
        <v>543</v>
      </c>
      <c r="U185" s="33">
        <v>45904</v>
      </c>
      <c r="V185" s="33">
        <v>45995</v>
      </c>
      <c r="W185" s="24">
        <f ca="1">V185-TODAY()</f>
        <v>-90</v>
      </c>
      <c r="X185" s="222" t="str">
        <f ca="1">IF(W185&gt;=25,"Vigente",IF(AND(W185&gt;=1,W185&lt;=25),"Por Vencer","Vencido"))</f>
        <v>Vencido</v>
      </c>
      <c r="Y185" s="6"/>
      <c r="Z185" s="338" t="s">
        <v>238</v>
      </c>
      <c r="AA185" s="336" t="s">
        <v>1289</v>
      </c>
    </row>
    <row r="186" spans="1:28" ht="131.25" hidden="1">
      <c r="A186" s="19">
        <v>183</v>
      </c>
      <c r="B186" s="23" t="s">
        <v>35</v>
      </c>
      <c r="C186" s="238" t="s">
        <v>1407</v>
      </c>
      <c r="D186" s="174">
        <v>7794545</v>
      </c>
      <c r="E186" s="174">
        <v>8</v>
      </c>
      <c r="F186" s="27">
        <v>69</v>
      </c>
      <c r="G186" s="27" t="s">
        <v>46</v>
      </c>
      <c r="H186" s="27" t="s">
        <v>1408</v>
      </c>
      <c r="I186" s="27">
        <v>2022</v>
      </c>
      <c r="J186" s="34">
        <v>44721</v>
      </c>
      <c r="K186" s="34" t="s">
        <v>54</v>
      </c>
      <c r="L186" s="27" t="s">
        <v>42</v>
      </c>
      <c r="M186" s="34">
        <v>44902</v>
      </c>
      <c r="N186" s="27" t="s">
        <v>1409</v>
      </c>
      <c r="O186" s="27" t="s">
        <v>43</v>
      </c>
      <c r="P186" s="6" t="s">
        <v>122</v>
      </c>
      <c r="Q186" s="6"/>
      <c r="R186" s="6" t="s">
        <v>1410</v>
      </c>
      <c r="S186" s="6" t="s">
        <v>368</v>
      </c>
      <c r="T186" s="338" t="s">
        <v>543</v>
      </c>
      <c r="U186" s="33">
        <v>45594</v>
      </c>
      <c r="V186" s="33">
        <v>45959</v>
      </c>
      <c r="W186" s="24">
        <f ca="1">V186-TODAY()</f>
        <v>-126</v>
      </c>
      <c r="X186" s="308" t="str">
        <f ca="1">IF(W186&gt;=25,"Vigente",IF(AND(W186&gt;=1,W186&lt;=25),"Por Vencer","Vencido"))</f>
        <v>Vencido</v>
      </c>
      <c r="Y186" s="6"/>
      <c r="Z186" s="338" t="s">
        <v>238</v>
      </c>
      <c r="AA186" s="336" t="s">
        <v>1411</v>
      </c>
    </row>
    <row r="187" spans="1:28" ht="98.25" customHeight="1">
      <c r="A187" s="19">
        <v>184</v>
      </c>
      <c r="B187" s="23" t="s">
        <v>35</v>
      </c>
      <c r="C187" s="232" t="s">
        <v>1412</v>
      </c>
      <c r="D187" s="135">
        <v>6106145</v>
      </c>
      <c r="E187" s="135">
        <v>2</v>
      </c>
      <c r="F187" s="6">
        <v>75</v>
      </c>
      <c r="G187" s="6" t="s">
        <v>71</v>
      </c>
      <c r="H187" s="6" t="s">
        <v>1413</v>
      </c>
      <c r="I187" s="6">
        <v>2024</v>
      </c>
      <c r="J187" s="30">
        <v>45476</v>
      </c>
      <c r="K187" s="6" t="s">
        <v>41</v>
      </c>
      <c r="L187" s="6" t="s">
        <v>177</v>
      </c>
      <c r="M187" s="6" t="s">
        <v>178</v>
      </c>
      <c r="N187" s="6" t="s">
        <v>133</v>
      </c>
      <c r="O187" s="6" t="s">
        <v>43</v>
      </c>
      <c r="P187" s="6" t="s">
        <v>122</v>
      </c>
      <c r="Q187" s="6"/>
      <c r="R187" s="6" t="s">
        <v>1414</v>
      </c>
      <c r="S187" s="6" t="s">
        <v>496</v>
      </c>
      <c r="T187" s="338" t="s">
        <v>478</v>
      </c>
      <c r="U187" s="30">
        <v>45688</v>
      </c>
      <c r="V187" s="30">
        <v>46053</v>
      </c>
      <c r="W187" s="24">
        <f ca="1">V187-TODAY()</f>
        <v>-32</v>
      </c>
      <c r="X187" s="221" t="str">
        <f ca="1">IF(W187&gt;=25,"Vigente",IF(AND(W187&gt;=1,W187&lt;=25),"Por Vencer","Vencido"))</f>
        <v>Vencido</v>
      </c>
      <c r="Y187" s="6" t="s">
        <v>1415</v>
      </c>
      <c r="Z187" s="338" t="s">
        <v>238</v>
      </c>
      <c r="AA187" s="336" t="s">
        <v>1416</v>
      </c>
    </row>
    <row r="188" spans="1:28" ht="15" hidden="1"/>
    <row r="189" spans="1:28" ht="76.5" hidden="1" customHeight="1">
      <c r="A189" s="19">
        <v>186</v>
      </c>
      <c r="B189" s="254" t="s">
        <v>35</v>
      </c>
      <c r="C189" s="45" t="s">
        <v>1417</v>
      </c>
      <c r="D189" s="255">
        <v>10314002</v>
      </c>
      <c r="E189" s="255">
        <v>1</v>
      </c>
      <c r="F189" s="255">
        <v>56</v>
      </c>
      <c r="G189" s="255" t="s">
        <v>125</v>
      </c>
      <c r="H189" s="45" t="s">
        <v>1418</v>
      </c>
      <c r="I189" s="6">
        <v>2023</v>
      </c>
      <c r="J189" s="256">
        <v>45069</v>
      </c>
      <c r="K189" s="45" t="s">
        <v>41</v>
      </c>
      <c r="L189" s="45" t="s">
        <v>1419</v>
      </c>
      <c r="M189" s="45" t="s">
        <v>105</v>
      </c>
      <c r="N189" s="45" t="s">
        <v>208</v>
      </c>
      <c r="O189" s="45" t="s">
        <v>43</v>
      </c>
      <c r="P189" s="45" t="s">
        <v>122</v>
      </c>
      <c r="Q189" s="45"/>
      <c r="R189" s="338" t="s">
        <v>1420</v>
      </c>
      <c r="S189" s="6" t="s">
        <v>114</v>
      </c>
      <c r="T189" s="338" t="s">
        <v>543</v>
      </c>
      <c r="U189" s="33">
        <v>45610</v>
      </c>
      <c r="V189" s="33">
        <v>46005</v>
      </c>
      <c r="W189" s="24">
        <f ca="1">V189-TODAY()</f>
        <v>-80</v>
      </c>
      <c r="X189" s="290" t="str">
        <f ca="1">IF(W189&gt;=25,"Vigente",IF(AND(W189&gt;=1,W189&lt;=25),"Por Vencer","Vencido"))</f>
        <v>Vencido</v>
      </c>
      <c r="Y189" s="6"/>
      <c r="Z189" s="338" t="s">
        <v>238</v>
      </c>
      <c r="AA189" s="336" t="s">
        <v>1421</v>
      </c>
    </row>
    <row r="190" spans="1:28" ht="87.75" hidden="1" customHeight="1">
      <c r="A190" s="19">
        <v>187</v>
      </c>
      <c r="B190" s="149" t="s">
        <v>35</v>
      </c>
      <c r="C190" s="232" t="s">
        <v>1422</v>
      </c>
      <c r="D190" s="140">
        <v>7592280</v>
      </c>
      <c r="E190" s="140">
        <v>9</v>
      </c>
      <c r="F190" s="6">
        <v>69</v>
      </c>
      <c r="G190" s="6" t="s">
        <v>309</v>
      </c>
      <c r="H190" s="6" t="s">
        <v>1423</v>
      </c>
      <c r="I190" s="6">
        <v>2024</v>
      </c>
      <c r="J190" s="30">
        <v>45348</v>
      </c>
      <c r="K190" s="6" t="s">
        <v>41</v>
      </c>
      <c r="L190" s="338" t="s">
        <v>42</v>
      </c>
      <c r="M190" s="6" t="s">
        <v>105</v>
      </c>
      <c r="N190" s="6" t="s">
        <v>96</v>
      </c>
      <c r="O190" s="6" t="s">
        <v>43</v>
      </c>
      <c r="P190" s="6" t="s">
        <v>122</v>
      </c>
      <c r="Q190" s="6"/>
      <c r="R190" s="338" t="s">
        <v>1424</v>
      </c>
      <c r="S190" s="338" t="s">
        <v>186</v>
      </c>
      <c r="T190" s="338" t="s">
        <v>543</v>
      </c>
      <c r="U190" s="33">
        <v>45909</v>
      </c>
      <c r="V190" s="33">
        <v>46090</v>
      </c>
      <c r="W190" s="24">
        <f ca="1">V190-TODAY()</f>
        <v>5</v>
      </c>
      <c r="X190" s="289" t="str">
        <f ca="1">IF(W190&gt;=25,"Vigente",IF(AND(W190&gt;=1,W190&lt;=25),"Por Vencer","Vencido"))</f>
        <v>Por Vencer</v>
      </c>
      <c r="Y190" s="6"/>
      <c r="Z190" s="338" t="s">
        <v>238</v>
      </c>
      <c r="AA190" s="336" t="s">
        <v>1425</v>
      </c>
      <c r="AB190" s="60"/>
    </row>
    <row r="191" spans="1:28" ht="82.5" hidden="1" customHeight="1">
      <c r="A191" s="19">
        <v>188</v>
      </c>
      <c r="B191" s="267" t="s">
        <v>35</v>
      </c>
      <c r="C191" s="234" t="s">
        <v>1426</v>
      </c>
      <c r="D191" s="137">
        <v>10527149</v>
      </c>
      <c r="E191" s="137">
        <v>2</v>
      </c>
      <c r="F191" s="137">
        <v>60</v>
      </c>
      <c r="G191" s="255" t="s">
        <v>46</v>
      </c>
      <c r="H191" s="336" t="s">
        <v>1427</v>
      </c>
      <c r="I191" s="2"/>
      <c r="J191" s="107">
        <v>45993</v>
      </c>
      <c r="K191" s="341" t="s">
        <v>41</v>
      </c>
      <c r="L191" s="341" t="s">
        <v>121</v>
      </c>
      <c r="M191" s="341" t="s">
        <v>513</v>
      </c>
      <c r="N191" s="341" t="s">
        <v>513</v>
      </c>
      <c r="O191" s="341" t="s">
        <v>43</v>
      </c>
      <c r="P191" s="341" t="s">
        <v>122</v>
      </c>
      <c r="Q191" s="2"/>
      <c r="R191" s="336" t="s">
        <v>1428</v>
      </c>
      <c r="S191" s="336" t="s">
        <v>418</v>
      </c>
      <c r="T191" s="336" t="s">
        <v>501</v>
      </c>
      <c r="U191" s="107">
        <v>45981</v>
      </c>
      <c r="V191" s="107">
        <v>45995</v>
      </c>
      <c r="W191" s="24">
        <f ca="1">V191-TODAY()</f>
        <v>-90</v>
      </c>
      <c r="X191" s="290" t="str">
        <f ca="1">IF(W191&gt;=25,"Vigente",IF(AND(W191&gt;=1,W191&lt;=25),"Por Vencer","Vencido"))</f>
        <v>Vencido</v>
      </c>
      <c r="Y191" s="2"/>
      <c r="Z191" s="341" t="s">
        <v>895</v>
      </c>
      <c r="AA191" s="336" t="s">
        <v>1429</v>
      </c>
    </row>
    <row r="192" spans="1:28" ht="106.5">
      <c r="A192" s="19">
        <v>189</v>
      </c>
      <c r="B192" s="149" t="s">
        <v>564</v>
      </c>
      <c r="C192" s="49" t="s">
        <v>1430</v>
      </c>
      <c r="D192" s="140">
        <v>3941270</v>
      </c>
      <c r="E192" s="140">
        <v>5</v>
      </c>
      <c r="F192" s="6">
        <v>87</v>
      </c>
      <c r="G192" s="6" t="s">
        <v>71</v>
      </c>
      <c r="H192" s="6" t="s">
        <v>303</v>
      </c>
      <c r="I192" s="6">
        <v>2024</v>
      </c>
      <c r="J192" s="30">
        <v>45358</v>
      </c>
      <c r="K192" s="6" t="s">
        <v>41</v>
      </c>
      <c r="L192" s="6" t="s">
        <v>42</v>
      </c>
      <c r="M192" s="30">
        <v>45877</v>
      </c>
      <c r="N192" s="6" t="s">
        <v>96</v>
      </c>
      <c r="O192" s="6" t="s">
        <v>43</v>
      </c>
      <c r="P192" s="6" t="s">
        <v>122</v>
      </c>
      <c r="Q192" s="6"/>
      <c r="R192" s="338" t="s">
        <v>1431</v>
      </c>
      <c r="S192" s="6" t="s">
        <v>186</v>
      </c>
      <c r="T192" s="338" t="s">
        <v>478</v>
      </c>
      <c r="U192" s="33">
        <v>45560</v>
      </c>
      <c r="V192" s="33">
        <v>45741</v>
      </c>
      <c r="W192" s="24">
        <f ca="1">V192-TODAY()</f>
        <v>-344</v>
      </c>
      <c r="X192" s="307" t="str">
        <f ca="1">IF(W192&gt;=25,"Vigente",IF(AND(W192&gt;=1,W192&lt;=25),"Por Vencer","Vencido"))</f>
        <v>Vencido</v>
      </c>
      <c r="Y192" s="30"/>
      <c r="Z192" s="338" t="s">
        <v>238</v>
      </c>
      <c r="AA192" s="336" t="s">
        <v>1277</v>
      </c>
      <c r="AB192" s="60"/>
    </row>
    <row r="193" spans="1:28" ht="156" hidden="1" customHeight="1">
      <c r="A193" s="19">
        <v>190</v>
      </c>
      <c r="B193" s="149" t="s">
        <v>35</v>
      </c>
      <c r="C193" s="49" t="s">
        <v>1432</v>
      </c>
      <c r="D193" s="140">
        <v>12396165</v>
      </c>
      <c r="E193" s="140" t="s">
        <v>281</v>
      </c>
      <c r="F193" s="6">
        <v>51</v>
      </c>
      <c r="G193" s="6" t="s">
        <v>71</v>
      </c>
      <c r="H193" s="6" t="s">
        <v>1433</v>
      </c>
      <c r="I193" s="6">
        <v>2024</v>
      </c>
      <c r="J193" s="6" t="s">
        <v>216</v>
      </c>
      <c r="K193" s="6" t="s">
        <v>132</v>
      </c>
      <c r="L193" s="6" t="s">
        <v>121</v>
      </c>
      <c r="M193" s="6" t="s">
        <v>105</v>
      </c>
      <c r="N193" s="6" t="s">
        <v>208</v>
      </c>
      <c r="O193" s="6" t="s">
        <v>43</v>
      </c>
      <c r="P193" s="6" t="s">
        <v>122</v>
      </c>
      <c r="Q193" s="6"/>
      <c r="R193" s="338" t="s">
        <v>1434</v>
      </c>
      <c r="S193" s="6" t="s">
        <v>114</v>
      </c>
      <c r="T193" s="338" t="s">
        <v>543</v>
      </c>
      <c r="U193" s="30">
        <v>45773</v>
      </c>
      <c r="V193" s="30">
        <v>45895</v>
      </c>
      <c r="W193" s="6">
        <f ca="1">V193-TODAY()</f>
        <v>-190</v>
      </c>
      <c r="X193" s="308" t="str">
        <f ca="1">IF(W193&gt;=25,"Vigente",IF(AND(W193&gt;=1,W193&lt;=25),"Por Vencer","Vencido"))</f>
        <v>Vencido</v>
      </c>
      <c r="Y193" s="338"/>
      <c r="Z193" s="338" t="s">
        <v>238</v>
      </c>
      <c r="AA193" s="336" t="s">
        <v>959</v>
      </c>
    </row>
    <row r="194" spans="1:28" ht="75.75" hidden="1" customHeight="1">
      <c r="A194" s="19">
        <v>191</v>
      </c>
      <c r="B194" s="149" t="s">
        <v>35</v>
      </c>
      <c r="C194" s="236" t="s">
        <v>1435</v>
      </c>
      <c r="D194" s="148">
        <v>12807421</v>
      </c>
      <c r="E194" s="148" t="s">
        <v>50</v>
      </c>
      <c r="F194" s="24">
        <v>49</v>
      </c>
      <c r="G194" s="24" t="s">
        <v>39</v>
      </c>
      <c r="H194" s="24" t="s">
        <v>1436</v>
      </c>
      <c r="I194" s="24">
        <v>2023</v>
      </c>
      <c r="J194" s="33">
        <v>45259</v>
      </c>
      <c r="K194" s="24" t="s">
        <v>54</v>
      </c>
      <c r="L194" s="24" t="s">
        <v>121</v>
      </c>
      <c r="M194" s="33">
        <v>45345</v>
      </c>
      <c r="N194" s="24" t="s">
        <v>100</v>
      </c>
      <c r="O194" s="24" t="s">
        <v>43</v>
      </c>
      <c r="P194" s="6" t="s">
        <v>122</v>
      </c>
      <c r="Q194" s="6" t="s">
        <v>129</v>
      </c>
      <c r="R194" s="338" t="s">
        <v>1437</v>
      </c>
      <c r="S194" s="6" t="s">
        <v>1438</v>
      </c>
      <c r="T194" s="338" t="s">
        <v>1439</v>
      </c>
      <c r="U194" s="33">
        <v>45951</v>
      </c>
      <c r="V194" s="33">
        <v>46043</v>
      </c>
      <c r="W194" s="24">
        <f ca="1">V194-TODAY()</f>
        <v>-42</v>
      </c>
      <c r="X194" s="221" t="str">
        <f ca="1">IF(W194&gt;=25,"Vigente",IF(AND(W194&gt;=1,W194&lt;=25),"Por Vencer","Vencido"))</f>
        <v>Vencido</v>
      </c>
      <c r="Y194" s="6"/>
      <c r="Z194" s="338" t="s">
        <v>238</v>
      </c>
      <c r="AA194" s="336" t="s">
        <v>1440</v>
      </c>
    </row>
    <row r="195" spans="1:28" ht="66" hidden="1" customHeight="1">
      <c r="A195" s="19">
        <v>192</v>
      </c>
      <c r="B195" s="23" t="s">
        <v>35</v>
      </c>
      <c r="C195" s="236" t="s">
        <v>1441</v>
      </c>
      <c r="D195" s="155">
        <v>12572406</v>
      </c>
      <c r="E195" s="155" t="s">
        <v>50</v>
      </c>
      <c r="F195" s="24">
        <v>48</v>
      </c>
      <c r="G195" s="24" t="s">
        <v>46</v>
      </c>
      <c r="H195" s="24" t="s">
        <v>1274</v>
      </c>
      <c r="I195" s="24">
        <v>2022</v>
      </c>
      <c r="J195" s="33">
        <v>44817</v>
      </c>
      <c r="K195" s="33" t="s">
        <v>54</v>
      </c>
      <c r="L195" s="24" t="s">
        <v>42</v>
      </c>
      <c r="M195" s="24" t="s">
        <v>105</v>
      </c>
      <c r="N195" s="6" t="s">
        <v>96</v>
      </c>
      <c r="O195" s="24" t="s">
        <v>43</v>
      </c>
      <c r="P195" s="6" t="s">
        <v>122</v>
      </c>
      <c r="Q195" s="6"/>
      <c r="R195" s="343" t="s">
        <v>1442</v>
      </c>
      <c r="S195" s="338" t="s">
        <v>1443</v>
      </c>
      <c r="T195" s="338" t="s">
        <v>1444</v>
      </c>
      <c r="U195" s="33">
        <v>45974</v>
      </c>
      <c r="V195" s="33">
        <v>46155</v>
      </c>
      <c r="W195" s="24">
        <f ca="1">V195-TODAY()</f>
        <v>70</v>
      </c>
      <c r="X195" s="285" t="str">
        <f ca="1">IF(W195&gt;=25,"Vigente",IF(AND(W195&gt;=1,W195&lt;=25),"Por Vencer","Vencido"))</f>
        <v>Vigente</v>
      </c>
      <c r="Y195" s="32"/>
      <c r="Z195" s="338" t="s">
        <v>238</v>
      </c>
      <c r="AA195" s="336" t="s">
        <v>1445</v>
      </c>
    </row>
    <row r="196" spans="1:28" ht="101.25" hidden="1" customHeight="1">
      <c r="A196" s="19">
        <v>193</v>
      </c>
      <c r="B196" s="149" t="s">
        <v>35</v>
      </c>
      <c r="C196" s="49" t="s">
        <v>1446</v>
      </c>
      <c r="D196" s="140">
        <v>15045025</v>
      </c>
      <c r="E196" s="140" t="s">
        <v>281</v>
      </c>
      <c r="F196" s="6">
        <v>39</v>
      </c>
      <c r="G196" s="6" t="s">
        <v>233</v>
      </c>
      <c r="H196" s="6" t="s">
        <v>1447</v>
      </c>
      <c r="I196" s="6">
        <v>2023</v>
      </c>
      <c r="J196" s="32">
        <v>45505</v>
      </c>
      <c r="K196" s="6" t="s">
        <v>54</v>
      </c>
      <c r="L196" s="6" t="s">
        <v>121</v>
      </c>
      <c r="M196" s="6" t="s">
        <v>178</v>
      </c>
      <c r="N196" s="6" t="s">
        <v>133</v>
      </c>
      <c r="O196" s="6" t="s">
        <v>43</v>
      </c>
      <c r="P196" s="6" t="s">
        <v>122</v>
      </c>
      <c r="Q196" s="6"/>
      <c r="R196" s="338" t="s">
        <v>1448</v>
      </c>
      <c r="S196" s="6" t="s">
        <v>114</v>
      </c>
      <c r="T196" s="338" t="s">
        <v>501</v>
      </c>
      <c r="U196" s="33">
        <v>45749</v>
      </c>
      <c r="V196" s="33">
        <v>46024</v>
      </c>
      <c r="W196" s="24">
        <f ca="1">V196-TODAY()</f>
        <v>-61</v>
      </c>
      <c r="X196" s="289" t="str">
        <f ca="1">IF(W196&gt;=25,"Vigente",IF(AND(W196&gt;=1,W196&lt;=25),"Por Vencer","Vencido"))</f>
        <v>Vencido</v>
      </c>
      <c r="Y196" s="6"/>
      <c r="Z196" s="338" t="s">
        <v>238</v>
      </c>
      <c r="AA196" s="336" t="s">
        <v>1449</v>
      </c>
    </row>
    <row r="197" spans="1:28" ht="140.25" hidden="1" customHeight="1">
      <c r="A197" s="19">
        <v>194</v>
      </c>
      <c r="B197" s="149" t="s">
        <v>35</v>
      </c>
      <c r="C197" s="232" t="s">
        <v>1450</v>
      </c>
      <c r="D197" s="140">
        <v>28555126</v>
      </c>
      <c r="E197" s="140">
        <v>9</v>
      </c>
      <c r="F197" s="6">
        <v>79</v>
      </c>
      <c r="G197" s="6" t="s">
        <v>71</v>
      </c>
      <c r="H197" s="6" t="s">
        <v>1451</v>
      </c>
      <c r="I197" s="6">
        <v>2024</v>
      </c>
      <c r="J197" s="30">
        <v>45630</v>
      </c>
      <c r="K197" s="6" t="s">
        <v>54</v>
      </c>
      <c r="L197" s="6" t="s">
        <v>121</v>
      </c>
      <c r="M197" s="30">
        <v>45646</v>
      </c>
      <c r="N197" s="6" t="s">
        <v>1452</v>
      </c>
      <c r="O197" s="6" t="s">
        <v>43</v>
      </c>
      <c r="P197" s="6" t="s">
        <v>122</v>
      </c>
      <c r="Q197" s="6"/>
      <c r="R197" s="338" t="s">
        <v>1453</v>
      </c>
      <c r="S197" s="6" t="s">
        <v>114</v>
      </c>
      <c r="T197" s="338" t="s">
        <v>1439</v>
      </c>
      <c r="U197" s="30">
        <v>45873</v>
      </c>
      <c r="V197" s="30">
        <v>46036</v>
      </c>
      <c r="W197" s="6">
        <f ca="1">V197-TODAY()</f>
        <v>-49</v>
      </c>
      <c r="X197" s="221" t="str">
        <f ca="1">IF(W197&gt;=25,"Vigente",IF(AND(W197&gt;=1,W197&lt;=25),"Por Vencer","Vencido"))</f>
        <v>Vencido</v>
      </c>
      <c r="Y197" s="59"/>
      <c r="Z197" s="338" t="s">
        <v>238</v>
      </c>
      <c r="AA197" s="336" t="s">
        <v>1454</v>
      </c>
    </row>
    <row r="198" spans="1:28" ht="106.5">
      <c r="A198" s="19">
        <v>195</v>
      </c>
      <c r="B198" s="6" t="s">
        <v>35</v>
      </c>
      <c r="C198" s="232" t="s">
        <v>1455</v>
      </c>
      <c r="D198" s="135">
        <v>2538586</v>
      </c>
      <c r="E198" s="135">
        <v>1</v>
      </c>
      <c r="F198" s="6">
        <v>96</v>
      </c>
      <c r="G198" s="6" t="s">
        <v>233</v>
      </c>
      <c r="H198" s="6" t="s">
        <v>1456</v>
      </c>
      <c r="I198" s="6">
        <v>2024</v>
      </c>
      <c r="J198" s="30">
        <v>45560</v>
      </c>
      <c r="K198" s="6" t="s">
        <v>41</v>
      </c>
      <c r="L198" s="6" t="s">
        <v>42</v>
      </c>
      <c r="M198" s="6" t="s">
        <v>105</v>
      </c>
      <c r="N198" s="6" t="s">
        <v>96</v>
      </c>
      <c r="O198" s="6" t="s">
        <v>43</v>
      </c>
      <c r="P198" s="6" t="s">
        <v>122</v>
      </c>
      <c r="Q198" s="6"/>
      <c r="R198" s="40" t="s">
        <v>1457</v>
      </c>
      <c r="S198" s="6" t="s">
        <v>186</v>
      </c>
      <c r="T198" s="338" t="s">
        <v>478</v>
      </c>
      <c r="U198" s="30">
        <v>45664</v>
      </c>
      <c r="V198" s="30">
        <v>45845</v>
      </c>
      <c r="W198" s="24">
        <f ca="1">V198-TODAY()</f>
        <v>-240</v>
      </c>
      <c r="X198" s="307" t="str">
        <f ca="1">IF(W198&gt;=25,"Vigente",IF(AND(W198&gt;=1,W198&lt;=25),"Por Vencer","Vencido"))</f>
        <v>Vencido</v>
      </c>
      <c r="Y198" s="6"/>
      <c r="Z198" s="338" t="s">
        <v>238</v>
      </c>
      <c r="AA198" s="336" t="s">
        <v>1277</v>
      </c>
    </row>
    <row r="199" spans="1:28" ht="135.75" hidden="1" customHeight="1">
      <c r="A199" s="19">
        <v>196</v>
      </c>
      <c r="B199" s="149" t="s">
        <v>35</v>
      </c>
      <c r="C199" s="232" t="s">
        <v>1458</v>
      </c>
      <c r="D199" s="140">
        <v>9944670</v>
      </c>
      <c r="E199" s="140">
        <v>6</v>
      </c>
      <c r="F199" s="6">
        <v>61</v>
      </c>
      <c r="G199" s="6" t="s">
        <v>175</v>
      </c>
      <c r="H199" s="6" t="s">
        <v>1459</v>
      </c>
      <c r="I199" s="6">
        <v>2024</v>
      </c>
      <c r="J199" s="30">
        <v>45324</v>
      </c>
      <c r="K199" s="6" t="s">
        <v>54</v>
      </c>
      <c r="L199" s="6" t="s">
        <v>42</v>
      </c>
      <c r="M199" s="30">
        <v>45420</v>
      </c>
      <c r="N199" s="6" t="s">
        <v>1460</v>
      </c>
      <c r="O199" s="6" t="s">
        <v>43</v>
      </c>
      <c r="P199" s="6" t="s">
        <v>122</v>
      </c>
      <c r="Q199" s="6"/>
      <c r="R199" s="338" t="s">
        <v>1461</v>
      </c>
      <c r="S199" s="338" t="s">
        <v>186</v>
      </c>
      <c r="T199" s="338" t="s">
        <v>543</v>
      </c>
      <c r="U199" s="33">
        <v>45793</v>
      </c>
      <c r="V199" s="352">
        <v>45946</v>
      </c>
      <c r="W199" s="24">
        <f ca="1">V199-TODAY()</f>
        <v>-139</v>
      </c>
      <c r="X199" s="308" t="str">
        <f ca="1">IF(W199&gt;=25,"Vigente",IF(AND(W199&gt;=1,W199&lt;=25),"Por Vencer","Vencido"))</f>
        <v>Vencido</v>
      </c>
      <c r="Y199" s="348"/>
      <c r="Z199" s="338" t="s">
        <v>238</v>
      </c>
      <c r="AA199" s="336" t="s">
        <v>1277</v>
      </c>
      <c r="AB199" s="43"/>
    </row>
    <row r="200" spans="1:28" ht="60" hidden="1" customHeight="1">
      <c r="A200" s="19">
        <v>197</v>
      </c>
      <c r="B200" s="254" t="s">
        <v>35</v>
      </c>
      <c r="C200" s="45" t="s">
        <v>1462</v>
      </c>
      <c r="D200" s="255">
        <v>7427172</v>
      </c>
      <c r="E200" s="255">
        <v>3</v>
      </c>
      <c r="F200" s="255">
        <v>84</v>
      </c>
      <c r="G200" s="255" t="s">
        <v>708</v>
      </c>
      <c r="H200" s="45" t="s">
        <v>303</v>
      </c>
      <c r="I200" s="6">
        <v>2020</v>
      </c>
      <c r="J200" s="256">
        <v>44194</v>
      </c>
      <c r="K200" s="45" t="s">
        <v>54</v>
      </c>
      <c r="L200" s="45" t="s">
        <v>42</v>
      </c>
      <c r="M200" s="45" t="s">
        <v>105</v>
      </c>
      <c r="N200" s="45" t="s">
        <v>96</v>
      </c>
      <c r="O200" s="45" t="s">
        <v>43</v>
      </c>
      <c r="P200" s="45" t="s">
        <v>122</v>
      </c>
      <c r="Q200" s="45"/>
      <c r="R200" s="338" t="s">
        <v>1463</v>
      </c>
      <c r="S200" s="338" t="s">
        <v>630</v>
      </c>
      <c r="T200" s="338" t="s">
        <v>543</v>
      </c>
      <c r="U200" s="33">
        <v>45712</v>
      </c>
      <c r="V200" s="33">
        <v>46003</v>
      </c>
      <c r="W200" s="24">
        <f ca="1">V200-TODAY()</f>
        <v>-82</v>
      </c>
      <c r="X200" s="290" t="str">
        <f ca="1">IF(W200&gt;=25,"Vigente",IF(AND(W200&gt;=1,W200&lt;=25),"Por Vencer","Vencido"))</f>
        <v>Vencido</v>
      </c>
      <c r="Y200" s="338" t="s">
        <v>129</v>
      </c>
      <c r="Z200" s="338" t="s">
        <v>238</v>
      </c>
      <c r="AA200" s="336" t="s">
        <v>1464</v>
      </c>
    </row>
    <row r="201" spans="1:28" ht="105.75" hidden="1" customHeight="1">
      <c r="C201" s="246" t="s">
        <v>1465</v>
      </c>
      <c r="D201" s="194">
        <v>4798971</v>
      </c>
      <c r="E201" s="339" t="s">
        <v>50</v>
      </c>
      <c r="W201" s="24">
        <f ca="1">V201-TODAY()</f>
        <v>-46085</v>
      </c>
      <c r="X201" s="290" t="str">
        <f ca="1">IF(W201&gt;=25,"Vigente",IF(AND(W201&gt;=1,W201&lt;=25),"Por Vencer","Vencido"))</f>
        <v>Vencido</v>
      </c>
    </row>
    <row r="202" spans="1:28" ht="54.75" hidden="1" customHeight="1">
      <c r="C202" s="416" t="s">
        <v>1466</v>
      </c>
      <c r="D202" s="194">
        <v>6882357</v>
      </c>
      <c r="E202" s="132">
        <v>9</v>
      </c>
      <c r="W202" s="331">
        <f ca="1">V202-TODAY()</f>
        <v>-46085</v>
      </c>
      <c r="X202" s="439" t="str">
        <f ca="1">IF(W202&gt;=25,"Vigente",IF(AND(W202&gt;=1,W202&lt;=25),"Por Vencer","Vencido"))</f>
        <v>Vencido</v>
      </c>
    </row>
    <row r="203" spans="1:28" ht="30.75">
      <c r="A203" s="428"/>
      <c r="B203" s="406"/>
      <c r="C203" s="429" t="s">
        <v>1467</v>
      </c>
      <c r="D203" s="430"/>
      <c r="E203" s="430"/>
      <c r="F203" s="430"/>
      <c r="G203" s="430"/>
      <c r="H203" s="431"/>
      <c r="J203" s="407"/>
      <c r="K203" s="407"/>
      <c r="L203" s="407"/>
      <c r="M203" s="407"/>
      <c r="N203" s="407"/>
      <c r="O203" s="407"/>
      <c r="P203" s="407"/>
      <c r="Q203" s="407"/>
      <c r="R203" s="431"/>
      <c r="S203" s="431"/>
      <c r="T203" s="413" t="s">
        <v>501</v>
      </c>
      <c r="U203" s="407"/>
      <c r="V203" s="407"/>
      <c r="W203" s="393">
        <f ca="1">V203-TODAY()</f>
        <v>-46085</v>
      </c>
      <c r="X203" s="438" t="str">
        <f ca="1">IF(W203&gt;=25,"Vigente",IF(AND(W203&gt;=1,W203&lt;=25),"Por Vencer","Vencido"))</f>
        <v>Vencido</v>
      </c>
      <c r="Y203" s="407"/>
      <c r="Z203" s="407" t="s">
        <v>292</v>
      </c>
      <c r="AA203" s="431"/>
    </row>
    <row r="204" spans="1:28" ht="49.5">
      <c r="A204" s="428"/>
      <c r="B204" s="406"/>
      <c r="C204" s="429" t="s">
        <v>1468</v>
      </c>
      <c r="D204" s="432" t="s">
        <v>1469</v>
      </c>
      <c r="E204" s="430">
        <v>3</v>
      </c>
      <c r="F204" s="430">
        <v>83</v>
      </c>
      <c r="G204" s="430" t="s">
        <v>71</v>
      </c>
      <c r="H204" s="431" t="s">
        <v>1470</v>
      </c>
      <c r="J204" s="403">
        <v>45915</v>
      </c>
      <c r="K204" s="407" t="s">
        <v>41</v>
      </c>
      <c r="L204" s="407" t="s">
        <v>512</v>
      </c>
      <c r="M204" s="403">
        <v>45967</v>
      </c>
      <c r="N204" s="407" t="s">
        <v>1471</v>
      </c>
      <c r="O204" s="407" t="s">
        <v>43</v>
      </c>
      <c r="P204" s="407" t="s">
        <v>122</v>
      </c>
      <c r="Q204" s="407"/>
      <c r="R204" s="431" t="s">
        <v>1472</v>
      </c>
      <c r="S204" s="431" t="s">
        <v>114</v>
      </c>
      <c r="T204" s="413" t="s">
        <v>501</v>
      </c>
      <c r="U204" s="403">
        <v>46036</v>
      </c>
      <c r="V204" s="403">
        <v>46067</v>
      </c>
      <c r="W204" s="393">
        <f ca="1">V204-TODAY()</f>
        <v>-18</v>
      </c>
      <c r="X204" s="438" t="str">
        <f ca="1">IF(W204&gt;=25,"Vigente",IF(AND(W204&gt;=1,W204&lt;=25),"Por Vencer","Vencido"))</f>
        <v>Vencido</v>
      </c>
      <c r="Y204" s="407"/>
      <c r="Z204" s="407" t="s">
        <v>292</v>
      </c>
      <c r="AA204" s="431" t="s">
        <v>1473</v>
      </c>
    </row>
    <row r="205" spans="1:28" ht="33">
      <c r="A205" s="428"/>
      <c r="B205" s="406"/>
      <c r="C205" s="429" t="s">
        <v>1474</v>
      </c>
      <c r="D205" s="433">
        <v>4036023</v>
      </c>
      <c r="E205" s="430">
        <v>9</v>
      </c>
      <c r="F205" s="430"/>
      <c r="G205" s="430"/>
      <c r="H205" s="431" t="s">
        <v>1475</v>
      </c>
      <c r="J205" s="407"/>
      <c r="K205" s="407"/>
      <c r="L205" s="407"/>
      <c r="M205" s="407"/>
      <c r="N205" s="407"/>
      <c r="O205" s="407"/>
      <c r="P205" s="407"/>
      <c r="Q205" s="407"/>
      <c r="R205" s="431"/>
      <c r="S205" s="431"/>
      <c r="T205" s="413" t="s">
        <v>501</v>
      </c>
      <c r="U205" s="407"/>
      <c r="V205" s="407"/>
      <c r="W205" s="393">
        <f t="shared" ref="W205:W210" ca="1" si="3">V205-TODAY()</f>
        <v>-46085</v>
      </c>
      <c r="X205" s="438" t="str">
        <f t="shared" ref="X205:Y210" ca="1" si="4">IF(W205&gt;=25,"Vigente",IF(AND(W205&gt;=1,W205&lt;=25),"Por Vencer","Vencido"))</f>
        <v>Vencido</v>
      </c>
      <c r="Y205" s="407"/>
      <c r="Z205" s="407"/>
      <c r="AA205" s="431"/>
    </row>
    <row r="206" spans="1:28" ht="33">
      <c r="A206" s="428"/>
      <c r="B206" s="406"/>
      <c r="C206" s="429" t="s">
        <v>1476</v>
      </c>
      <c r="D206" s="433">
        <v>4348266</v>
      </c>
      <c r="E206" s="430">
        <v>1</v>
      </c>
      <c r="F206" s="430"/>
      <c r="G206" s="430"/>
      <c r="H206" s="431" t="s">
        <v>1477</v>
      </c>
      <c r="J206" s="407"/>
      <c r="K206" s="407"/>
      <c r="L206" s="407"/>
      <c r="M206" s="407"/>
      <c r="N206" s="407"/>
      <c r="O206" s="407"/>
      <c r="P206" s="407"/>
      <c r="Q206" s="407"/>
      <c r="R206" s="431" t="s">
        <v>1478</v>
      </c>
      <c r="S206" s="431"/>
      <c r="T206" s="413" t="s">
        <v>501</v>
      </c>
      <c r="U206" s="403">
        <v>46078</v>
      </c>
      <c r="V206" s="403">
        <v>46106</v>
      </c>
      <c r="W206" s="393">
        <f t="shared" ca="1" si="3"/>
        <v>21</v>
      </c>
      <c r="X206" s="438" t="str">
        <f t="shared" ca="1" si="4"/>
        <v>Por Vencer</v>
      </c>
      <c r="Y206" s="407"/>
      <c r="Z206" s="407" t="s">
        <v>374</v>
      </c>
      <c r="AA206" s="431" t="s">
        <v>1479</v>
      </c>
    </row>
    <row r="207" spans="1:28" ht="33">
      <c r="A207" s="434">
        <v>42</v>
      </c>
      <c r="B207" s="406"/>
      <c r="C207" s="435" t="s">
        <v>1480</v>
      </c>
      <c r="D207" s="436">
        <v>6109928</v>
      </c>
      <c r="E207" s="436" t="s">
        <v>281</v>
      </c>
      <c r="F207" s="407">
        <v>76</v>
      </c>
      <c r="G207" s="407" t="s">
        <v>71</v>
      </c>
      <c r="H207" s="407"/>
      <c r="I207" s="1" t="s">
        <v>1481</v>
      </c>
      <c r="J207" s="407">
        <v>2025</v>
      </c>
      <c r="K207" s="407" t="s">
        <v>54</v>
      </c>
      <c r="L207" s="407" t="s">
        <v>704</v>
      </c>
      <c r="M207" s="407" t="s">
        <v>121</v>
      </c>
      <c r="N207" s="447" t="s">
        <v>1482</v>
      </c>
      <c r="O207" s="407" t="s">
        <v>164</v>
      </c>
      <c r="P207" s="407" t="s">
        <v>106</v>
      </c>
      <c r="Q207" s="407" t="s">
        <v>1483</v>
      </c>
      <c r="R207" s="407" t="s">
        <v>1484</v>
      </c>
      <c r="S207" s="407" t="s">
        <v>114</v>
      </c>
      <c r="T207" s="407" t="s">
        <v>1485</v>
      </c>
      <c r="U207" s="403">
        <v>45980</v>
      </c>
      <c r="V207" s="403">
        <v>46041</v>
      </c>
      <c r="W207" s="393">
        <f t="shared" ca="1" si="3"/>
        <v>-44</v>
      </c>
      <c r="X207" s="438" t="str">
        <f t="shared" ca="1" si="4"/>
        <v>Vencido</v>
      </c>
      <c r="Y207" s="431" t="s">
        <v>1486</v>
      </c>
      <c r="Z207" s="407" t="s">
        <v>374</v>
      </c>
      <c r="AA207" s="407"/>
      <c r="AB207" t="s">
        <v>54</v>
      </c>
    </row>
    <row r="208" spans="1:28" ht="16.5">
      <c r="A208" s="428"/>
      <c r="B208" s="406"/>
      <c r="C208" s="429" t="s">
        <v>1487</v>
      </c>
      <c r="D208" s="430">
        <v>17362357</v>
      </c>
      <c r="E208" s="430">
        <v>7</v>
      </c>
      <c r="F208" s="430">
        <v>36</v>
      </c>
      <c r="G208" s="430" t="s">
        <v>510</v>
      </c>
      <c r="H208" s="433" t="s">
        <v>1488</v>
      </c>
      <c r="J208" s="407">
        <v>2025</v>
      </c>
      <c r="K208" s="407"/>
      <c r="L208" s="407"/>
      <c r="M208" s="407"/>
      <c r="N208" s="407"/>
      <c r="O208" s="407"/>
      <c r="P208" s="407" t="s">
        <v>122</v>
      </c>
      <c r="Q208" s="407"/>
      <c r="R208" s="431" t="s">
        <v>1489</v>
      </c>
      <c r="S208" s="431" t="s">
        <v>114</v>
      </c>
      <c r="T208" s="407" t="s">
        <v>1490</v>
      </c>
      <c r="U208" s="403">
        <v>46057</v>
      </c>
      <c r="V208" s="403">
        <v>46085</v>
      </c>
      <c r="W208" s="393">
        <f t="shared" ca="1" si="3"/>
        <v>0</v>
      </c>
      <c r="X208" s="438" t="str">
        <f t="shared" ca="1" si="4"/>
        <v>Vencido</v>
      </c>
      <c r="Y208" s="407"/>
      <c r="Z208" s="407" t="s">
        <v>728</v>
      </c>
      <c r="AA208" s="431"/>
      <c r="AB208" t="s">
        <v>54</v>
      </c>
    </row>
    <row r="209" spans="3:28" ht="33">
      <c r="C209" s="246" t="s">
        <v>1491</v>
      </c>
      <c r="D209" s="132">
        <v>5061053</v>
      </c>
      <c r="E209" s="132">
        <v>5</v>
      </c>
      <c r="F209" s="132">
        <v>83</v>
      </c>
      <c r="G209" s="132" t="s">
        <v>510</v>
      </c>
      <c r="H209" s="1" t="s">
        <v>1492</v>
      </c>
      <c r="J209" s="446">
        <v>46069</v>
      </c>
      <c r="K209" t="s">
        <v>622</v>
      </c>
      <c r="L209" t="s">
        <v>704</v>
      </c>
      <c r="M209" t="s">
        <v>178</v>
      </c>
      <c r="N209" t="s">
        <v>133</v>
      </c>
      <c r="O209" t="s">
        <v>164</v>
      </c>
      <c r="P209" t="s">
        <v>106</v>
      </c>
      <c r="Q209" t="s">
        <v>1493</v>
      </c>
      <c r="R209" s="1" t="s">
        <v>1494</v>
      </c>
      <c r="S209" s="431" t="s">
        <v>114</v>
      </c>
      <c r="T209" s="413" t="s">
        <v>501</v>
      </c>
      <c r="U209" s="446">
        <v>46083</v>
      </c>
      <c r="V209" s="446">
        <v>46114</v>
      </c>
      <c r="W209" s="393">
        <f t="shared" ca="1" si="3"/>
        <v>29</v>
      </c>
      <c r="X209" s="438" t="str">
        <f t="shared" ca="1" si="4"/>
        <v>Vigente</v>
      </c>
      <c r="Y209" s="407"/>
      <c r="Z209" s="407" t="s">
        <v>728</v>
      </c>
      <c r="AA209" s="1" t="s">
        <v>1035</v>
      </c>
    </row>
    <row r="210" spans="3:28" ht="13.5" customHeight="1">
      <c r="C210" s="427" t="s">
        <v>1495</v>
      </c>
      <c r="D210" s="132">
        <v>12427742</v>
      </c>
      <c r="E210" s="132">
        <v>6</v>
      </c>
      <c r="F210" s="132">
        <v>52</v>
      </c>
      <c r="G210" s="132" t="s">
        <v>510</v>
      </c>
      <c r="H210" s="1" t="s">
        <v>1496</v>
      </c>
      <c r="K210" t="s">
        <v>622</v>
      </c>
      <c r="L210" t="s">
        <v>121</v>
      </c>
      <c r="M210" t="s">
        <v>513</v>
      </c>
      <c r="N210" t="s">
        <v>513</v>
      </c>
      <c r="O210" t="s">
        <v>164</v>
      </c>
      <c r="P210" t="s">
        <v>106</v>
      </c>
      <c r="Q210" t="s">
        <v>1483</v>
      </c>
      <c r="R210" s="1" t="s">
        <v>1497</v>
      </c>
      <c r="S210" s="431" t="s">
        <v>114</v>
      </c>
      <c r="T210" s="413" t="s">
        <v>501</v>
      </c>
      <c r="U210" s="446">
        <v>46071</v>
      </c>
      <c r="V210" s="446">
        <v>46130</v>
      </c>
      <c r="W210" s="393">
        <f t="shared" ca="1" si="3"/>
        <v>45</v>
      </c>
      <c r="X210" s="438" t="str">
        <f t="shared" ca="1" si="4"/>
        <v>Vigente</v>
      </c>
      <c r="Y210" s="407"/>
      <c r="Z210" s="407" t="s">
        <v>728</v>
      </c>
      <c r="AA210" s="1" t="s">
        <v>1498</v>
      </c>
      <c r="AB210" t="s">
        <v>54</v>
      </c>
    </row>
    <row r="211" spans="3:28" ht="15">
      <c r="Y211" s="407"/>
    </row>
    <row r="212" spans="3:28" ht="14.25">
      <c r="C212" s="427"/>
    </row>
    <row r="213" spans="3:28" ht="15"/>
    <row r="214" spans="3:28" ht="15"/>
    <row r="215" spans="3:28" ht="15">
      <c r="D215" s="323"/>
    </row>
  </sheetData>
  <autoFilter ref="A4:AN202" xr:uid="{00000000-0001-0000-0200-000000000000}">
    <filterColumn colId="19">
      <filters>
        <filter val="DR, OSMAN"/>
        <filter val="DR. OSMAN"/>
        <filter val="DR.OSMAN"/>
        <filter val="HOV (Dr. Osman)"/>
      </filters>
    </filterColumn>
    <sortState xmlns:xlrd2="http://schemas.microsoft.com/office/spreadsheetml/2017/richdata2" ref="A5:AN202">
      <sortCondition ref="L4:L202"/>
    </sortState>
  </autoFilter>
  <mergeCells count="1">
    <mergeCell ref="A1:Z3"/>
  </mergeCells>
  <conditionalFormatting sqref="X87 X107">
    <cfRule type="containsText" dxfId="2" priority="4" operator="containsText" text="VIGENTE">
      <formula>NOT(ISERROR(SEARCH("VIGENTE",X87)))</formula>
    </cfRule>
    <cfRule type="containsText" dxfId="1" priority="5" operator="containsText" text="POR VENCER">
      <formula>NOT(ISERROR(SEARCH("POR VENCER",X87)))</formula>
    </cfRule>
    <cfRule type="containsText" dxfId="0" priority="6" operator="containsText" text="VENCIDO">
      <formula>NOT(ISERROR(SEARCH("VENCIDO",X87)))</formula>
    </cfRule>
  </conditionalFormatting>
  <dataValidations count="11">
    <dataValidation type="list" allowBlank="1" showInputMessage="1" showErrorMessage="1" sqref="L103 L75:L76" xr:uid="{69E79BEA-FBDD-48F4-B972-52A1028EC508}">
      <formula1>"Sospecha, Confirmacion, Etapificacion, tratamiento, Seguimiento"</formula1>
    </dataValidation>
    <dataValidation type="list" allowBlank="1" showInputMessage="1" showErrorMessage="1" sqref="L34 L5:L10 L25:L32 L21:L23 L12:L19 L36:L41" xr:uid="{C5FCB13C-307F-4A77-B62F-7E7B2E9CE4FD}">
      <formula1>"CONFIRMACIÓN,ETAPIFICACIÓN,TRATAMIENTO,SEGUIMIENTO"</formula1>
    </dataValidation>
    <dataValidation type="list" allowBlank="1" showInputMessage="1" showErrorMessage="1" sqref="K34 K5:K10 K21:K23 K12:K19 K36:K42 K25:K32" xr:uid="{B06B0319-0A46-45B2-BCA0-E4BA157C2457}">
      <formula1>"SI,NO"</formula1>
    </dataValidation>
    <dataValidation type="list" allowBlank="1" showInputMessage="1" showErrorMessage="1" sqref="G34 G5:G10 G25:G32 G21:G23 G12:G19 G36:G41" xr:uid="{8E86D64E-DF74-4996-BBCF-0272784D2813}">
      <formula1>"ovalle,monte patria,Rio hurtado,combarbala,Punitaqui"</formula1>
    </dataValidation>
    <dataValidation type="list" allowBlank="1" showInputMessage="1" showErrorMessage="1" sqref="N33" xr:uid="{F97A536D-9459-4DC9-8FFA-58D7B5218D6C}">
      <formula1>"Cirugia en Hospital de origen,Cirugia en Centro de derivacion,Quimioterapia neoadyuvante,Quimioterapia adyuvante,Quimioterapia paliativa,Quimioterapia + Rt,Quimioterapia + Ht,Hormonoterapia,Seguimiento,Cuidados paliativos exclusivos,Radiocirugia"</formula1>
    </dataValidation>
    <dataValidation type="list" allowBlank="1" showInputMessage="1" showErrorMessage="1" sqref="L33" xr:uid="{64633123-69D6-47D8-AD42-6D52CBF3AFA9}">
      <formula1>"Sospecha,Confirmacion,Etapificacion,Tratamiento,Seguimiento"</formula1>
    </dataValidation>
    <dataValidation type="list" allowBlank="1" showInputMessage="1" showErrorMessage="1" sqref="L20 L35" xr:uid="{A9977360-96DF-4793-8159-BDA6B5507D65}">
      <formula1>"CONFIRMACION,ETAPIFICACION,TRATAMIENTO,SEGUIMIENTO"</formula1>
    </dataValidation>
    <dataValidation type="list" allowBlank="1" showInputMessage="1" showErrorMessage="1" sqref="J20 J35" xr:uid="{9D71A364-F583-4452-8D1C-61521F94CD12}">
      <formula1>"Si,No"</formula1>
    </dataValidation>
    <dataValidation type="list" allowBlank="1" showInputMessage="1" showErrorMessage="1" sqref="G20 G33 G35" xr:uid="{BF27B92E-90BE-4166-A257-EE53F41A6EC1}">
      <formula1>"Ovalle,Punitaqui ,Rio Hurtado,Combarbala,Monte patria"</formula1>
    </dataValidation>
    <dataValidation type="list" allowBlank="1" showInputMessage="1" showErrorMessage="1" sqref="P11 P103 P75:P77" xr:uid="{47CBDC07-36FD-454C-868F-840A777ACC1E}">
      <formula1>"EN CURSO, DETENIDO"</formula1>
    </dataValidation>
    <dataValidation type="list" allowBlank="1" showInputMessage="1" showErrorMessage="1" sqref="O11 O75:O77" xr:uid="{85862D3D-7EA6-4B30-A47C-3BB63AF091DD}">
      <formula1>"Hospital de Ovalle (HDATL), Hospital de La serena (HSJD), Hospital de Coquimbo (HSP), Hospital de Valparaiso (HCVB)"</formula1>
    </dataValidation>
  </dataValidations>
  <pageMargins left="0.7" right="0.7" top="0.75" bottom="0.75" header="0.3" footer="0.3"/>
  <pageSetup paperSize="281" scale="3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EFBD6-7D42-4558-B782-4F2F75CDDD52}">
  <dimension ref="A1:F7"/>
  <sheetViews>
    <sheetView workbookViewId="0">
      <selection activeCell="B6" sqref="B6"/>
    </sheetView>
  </sheetViews>
  <sheetFormatPr defaultRowHeight="13.5"/>
  <cols>
    <col min="1" max="1" width="27.625" customWidth="1"/>
    <col min="2" max="2" width="12.875" customWidth="1"/>
    <col min="3" max="3" width="26" customWidth="1"/>
    <col min="4" max="4" width="27.125" customWidth="1"/>
  </cols>
  <sheetData>
    <row r="1" spans="1:6">
      <c r="A1" s="460" t="s">
        <v>1499</v>
      </c>
      <c r="B1" s="460"/>
      <c r="C1" s="460"/>
      <c r="D1" s="461"/>
    </row>
    <row r="2" spans="1:6">
      <c r="A2" s="398" t="s">
        <v>1500</v>
      </c>
      <c r="B2" s="398" t="s">
        <v>1501</v>
      </c>
      <c r="C2" s="399" t="s">
        <v>520</v>
      </c>
      <c r="D2" s="398" t="s">
        <v>1502</v>
      </c>
    </row>
    <row r="3" spans="1:6" ht="33">
      <c r="A3" s="391" t="s">
        <v>637</v>
      </c>
      <c r="B3" s="392" t="s">
        <v>1503</v>
      </c>
      <c r="C3" s="393" t="s">
        <v>638</v>
      </c>
      <c r="D3" s="403">
        <v>46021</v>
      </c>
    </row>
    <row r="4" spans="1:6" ht="16.5">
      <c r="A4" s="391" t="s">
        <v>1504</v>
      </c>
      <c r="B4" s="392" t="s">
        <v>1505</v>
      </c>
      <c r="C4" s="393" t="s">
        <v>1506</v>
      </c>
      <c r="D4" s="403">
        <v>46021</v>
      </c>
    </row>
    <row r="5" spans="1:6" ht="68.25" customHeight="1">
      <c r="A5" s="400" t="s">
        <v>1363</v>
      </c>
      <c r="B5" s="401" t="s">
        <v>1507</v>
      </c>
      <c r="C5" s="402" t="s">
        <v>1364</v>
      </c>
      <c r="D5" s="397" t="s">
        <v>1508</v>
      </c>
      <c r="E5" s="395" t="s">
        <v>1509</v>
      </c>
      <c r="F5" s="396"/>
    </row>
    <row r="6" spans="1:6" ht="32.25">
      <c r="A6" s="264" t="s">
        <v>1303</v>
      </c>
      <c r="B6" s="265" t="s">
        <v>1510</v>
      </c>
      <c r="C6" s="265" t="s">
        <v>1511</v>
      </c>
      <c r="D6" s="414" t="s">
        <v>1512</v>
      </c>
    </row>
    <row r="7" spans="1:6" ht="15.75">
      <c r="D7" s="394"/>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FC107-BE21-42A2-9468-1BD91A709907}">
  <dimension ref="A1:H22"/>
  <sheetViews>
    <sheetView topLeftCell="B1" workbookViewId="0">
      <selection activeCell="E18" sqref="E18"/>
    </sheetView>
  </sheetViews>
  <sheetFormatPr defaultColWidth="11" defaultRowHeight="15"/>
  <cols>
    <col min="1" max="1" width="31.75" customWidth="1"/>
    <col min="2" max="2" width="14.25" customWidth="1"/>
    <col min="3" max="3" width="24.875" customWidth="1"/>
    <col min="4" max="4" width="18.25" customWidth="1"/>
    <col min="5" max="5" width="19" customWidth="1"/>
  </cols>
  <sheetData>
    <row r="1" spans="1:8">
      <c r="A1" s="462" t="s">
        <v>1513</v>
      </c>
      <c r="B1" s="462"/>
      <c r="C1" s="462"/>
      <c r="D1" s="462"/>
    </row>
    <row r="2" spans="1:8">
      <c r="A2" s="294" t="s">
        <v>1500</v>
      </c>
      <c r="B2" s="295" t="s">
        <v>1501</v>
      </c>
      <c r="C2" s="295" t="s">
        <v>520</v>
      </c>
      <c r="D2" s="295" t="s">
        <v>1514</v>
      </c>
    </row>
    <row r="3" spans="1:8" ht="52.5" customHeight="1">
      <c r="A3" s="235" t="s">
        <v>696</v>
      </c>
      <c r="B3" s="345" t="s">
        <v>1515</v>
      </c>
      <c r="C3" s="336" t="s">
        <v>697</v>
      </c>
      <c r="D3" s="107">
        <v>45992</v>
      </c>
    </row>
    <row r="4" spans="1:8" ht="15.75">
      <c r="A4" s="298" t="s">
        <v>1201</v>
      </c>
      <c r="B4" s="369" t="s">
        <v>1516</v>
      </c>
      <c r="C4" s="6" t="s">
        <v>1202</v>
      </c>
      <c r="D4" s="299">
        <v>45992</v>
      </c>
      <c r="H4" s="265"/>
    </row>
    <row r="5" spans="1:8" ht="45">
      <c r="A5" s="336" t="s">
        <v>814</v>
      </c>
      <c r="B5" s="345" t="s">
        <v>1517</v>
      </c>
      <c r="C5" s="336" t="s">
        <v>815</v>
      </c>
      <c r="D5" s="299">
        <v>45992</v>
      </c>
    </row>
    <row r="6" spans="1:8" ht="45">
      <c r="A6" s="233" t="s">
        <v>916</v>
      </c>
      <c r="B6" s="384" t="s">
        <v>1518</v>
      </c>
      <c r="C6" s="296" t="s">
        <v>917</v>
      </c>
      <c r="D6" s="2"/>
    </row>
    <row r="7" spans="1:8" ht="31.5">
      <c r="A7" s="253" t="s">
        <v>1093</v>
      </c>
      <c r="B7" s="261" t="s">
        <v>1519</v>
      </c>
      <c r="C7" s="297" t="s">
        <v>1094</v>
      </c>
      <c r="D7" s="2"/>
    </row>
    <row r="8" spans="1:8" ht="47.25">
      <c r="A8" s="271" t="s">
        <v>1145</v>
      </c>
      <c r="B8" s="282" t="s">
        <v>1520</v>
      </c>
      <c r="C8" s="271" t="s">
        <v>1146</v>
      </c>
      <c r="D8" s="107">
        <v>46042</v>
      </c>
      <c r="E8" t="s">
        <v>1521</v>
      </c>
    </row>
    <row r="9" spans="1:8" ht="31.5">
      <c r="A9" s="45" t="s">
        <v>1251</v>
      </c>
      <c r="B9" s="255" t="s">
        <v>1522</v>
      </c>
      <c r="C9" s="45" t="s">
        <v>1252</v>
      </c>
      <c r="D9" s="2"/>
    </row>
    <row r="10" spans="1:8" ht="16.5">
      <c r="A10" s="258" t="s">
        <v>610</v>
      </c>
      <c r="B10" s="255" t="s">
        <v>1523</v>
      </c>
      <c r="C10" s="45" t="s">
        <v>303</v>
      </c>
      <c r="D10" s="107">
        <v>46057</v>
      </c>
      <c r="E10" s="2"/>
    </row>
    <row r="15" spans="1:8">
      <c r="A15" s="463" t="s">
        <v>755</v>
      </c>
      <c r="B15" s="464"/>
      <c r="C15" s="464"/>
      <c r="D15" s="464"/>
      <c r="E15" s="465"/>
    </row>
    <row r="16" spans="1:8" ht="31.5">
      <c r="A16" s="300" t="s">
        <v>1251</v>
      </c>
      <c r="B16" s="301" t="s">
        <v>1522</v>
      </c>
      <c r="C16" s="300" t="s">
        <v>1252</v>
      </c>
      <c r="D16" s="129" t="s">
        <v>1524</v>
      </c>
      <c r="E16" s="2"/>
    </row>
    <row r="17" spans="1:5" ht="15.75">
      <c r="A17" s="300" t="s">
        <v>689</v>
      </c>
      <c r="B17" s="301" t="s">
        <v>1525</v>
      </c>
      <c r="C17" s="300" t="s">
        <v>655</v>
      </c>
      <c r="D17" s="129" t="s">
        <v>1526</v>
      </c>
      <c r="E17" s="2"/>
    </row>
    <row r="18" spans="1:5" ht="45">
      <c r="A18" s="233" t="s">
        <v>916</v>
      </c>
      <c r="B18" s="166" t="s">
        <v>1518</v>
      </c>
      <c r="C18" s="8" t="s">
        <v>917</v>
      </c>
      <c r="D18" s="10"/>
      <c r="E18" s="2"/>
    </row>
    <row r="19" spans="1:5" ht="31.5">
      <c r="A19" s="303" t="s">
        <v>498</v>
      </c>
      <c r="B19" s="302" t="s">
        <v>1527</v>
      </c>
      <c r="C19" s="303" t="s">
        <v>499</v>
      </c>
      <c r="D19" s="129" t="s">
        <v>1528</v>
      </c>
      <c r="E19" s="379">
        <v>46028</v>
      </c>
    </row>
    <row r="20" spans="1:5" ht="110.25">
      <c r="A20" s="303" t="s">
        <v>1032</v>
      </c>
      <c r="B20" s="302" t="s">
        <v>1529</v>
      </c>
      <c r="C20" s="303" t="s">
        <v>1033</v>
      </c>
      <c r="D20" s="129"/>
      <c r="E20" s="2" t="s">
        <v>1530</v>
      </c>
    </row>
    <row r="21" spans="1:5">
      <c r="A21" s="10" t="s">
        <v>1426</v>
      </c>
      <c r="B21" s="341" t="s">
        <v>1531</v>
      </c>
      <c r="C21" s="2" t="s">
        <v>1427</v>
      </c>
      <c r="D21" s="336" t="s">
        <v>1532</v>
      </c>
      <c r="E21" s="2" t="s">
        <v>1533</v>
      </c>
    </row>
    <row r="22" spans="1:5" ht="31.5">
      <c r="A22" s="258" t="s">
        <v>610</v>
      </c>
      <c r="B22" s="255" t="s">
        <v>1523</v>
      </c>
      <c r="C22" s="45" t="s">
        <v>303</v>
      </c>
      <c r="D22" s="2" t="s">
        <v>1534</v>
      </c>
      <c r="E22" s="2"/>
    </row>
  </sheetData>
  <mergeCells count="2">
    <mergeCell ref="A1:D1"/>
    <mergeCell ref="A15:E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16"/>
  <sheetViews>
    <sheetView workbookViewId="0">
      <selection activeCell="A15" sqref="A15"/>
    </sheetView>
  </sheetViews>
  <sheetFormatPr defaultColWidth="11" defaultRowHeight="15"/>
  <cols>
    <col min="1" max="1" width="23.125" customWidth="1"/>
    <col min="3" max="3" width="17.25" customWidth="1"/>
    <col min="4" max="4" width="36.25" customWidth="1"/>
  </cols>
  <sheetData>
    <row r="2" spans="1:9">
      <c r="A2" s="466" t="s">
        <v>1535</v>
      </c>
      <c r="B2" s="466"/>
      <c r="C2" s="466"/>
      <c r="D2" s="466"/>
    </row>
    <row r="3" spans="1:9">
      <c r="A3" s="4" t="s">
        <v>1536</v>
      </c>
      <c r="B3" s="4" t="s">
        <v>1537</v>
      </c>
      <c r="C3" s="4" t="s">
        <v>1538</v>
      </c>
      <c r="D3" s="4" t="s">
        <v>1539</v>
      </c>
    </row>
    <row r="4" spans="1:9">
      <c r="A4" s="467" t="s">
        <v>1540</v>
      </c>
      <c r="B4" s="467"/>
      <c r="C4" s="467"/>
      <c r="D4" s="467"/>
    </row>
    <row r="5" spans="1:9" ht="30">
      <c r="A5" s="6" t="s">
        <v>1541</v>
      </c>
      <c r="B5" s="6" t="s">
        <v>1542</v>
      </c>
      <c r="C5" s="6" t="s">
        <v>1543</v>
      </c>
      <c r="D5" s="6" t="s">
        <v>1544</v>
      </c>
    </row>
    <row r="6" spans="1:9" ht="30">
      <c r="A6" s="6" t="s">
        <v>1545</v>
      </c>
      <c r="B6" s="6" t="s">
        <v>1546</v>
      </c>
      <c r="C6" s="6" t="s">
        <v>444</v>
      </c>
      <c r="D6" s="6" t="s">
        <v>1547</v>
      </c>
    </row>
    <row r="8" spans="1:9">
      <c r="A8" s="468" t="s">
        <v>518</v>
      </c>
      <c r="B8" s="468"/>
      <c r="C8" s="468"/>
      <c r="D8" s="468"/>
    </row>
    <row r="10" spans="1:9" ht="30">
      <c r="A10" s="8" t="s">
        <v>399</v>
      </c>
      <c r="B10" s="347" t="s">
        <v>1548</v>
      </c>
      <c r="C10" s="8" t="s">
        <v>400</v>
      </c>
      <c r="D10" s="6" t="s">
        <v>1549</v>
      </c>
      <c r="E10" t="s">
        <v>1550</v>
      </c>
    </row>
    <row r="11" spans="1:9" ht="30">
      <c r="A11" s="6" t="s">
        <v>1003</v>
      </c>
      <c r="B11" s="6" t="s">
        <v>1551</v>
      </c>
      <c r="C11" s="6" t="s">
        <v>1004</v>
      </c>
      <c r="D11" s="6" t="s">
        <v>1552</v>
      </c>
      <c r="E11" s="12" t="s">
        <v>1553</v>
      </c>
    </row>
    <row r="12" spans="1:9" ht="30">
      <c r="A12" s="6" t="s">
        <v>1158</v>
      </c>
      <c r="B12" s="6" t="s">
        <v>1554</v>
      </c>
      <c r="C12" s="6" t="s">
        <v>1159</v>
      </c>
      <c r="D12" s="6" t="s">
        <v>1555</v>
      </c>
      <c r="E12" s="313" t="s">
        <v>1556</v>
      </c>
    </row>
    <row r="13" spans="1:9" ht="30">
      <c r="A13" s="385" t="s">
        <v>1227</v>
      </c>
      <c r="B13" s="6" t="s">
        <v>1557</v>
      </c>
      <c r="C13" s="6" t="s">
        <v>1558</v>
      </c>
      <c r="D13" s="6" t="s">
        <v>1559</v>
      </c>
      <c r="E13" s="12" t="s">
        <v>1560</v>
      </c>
      <c r="F13" s="12" t="s">
        <v>1560</v>
      </c>
      <c r="G13" s="12" t="s">
        <v>1560</v>
      </c>
      <c r="H13" s="12" t="s">
        <v>1560</v>
      </c>
      <c r="I13" s="12" t="s">
        <v>1560</v>
      </c>
    </row>
    <row r="14" spans="1:9" ht="30">
      <c r="A14" s="154" t="s">
        <v>1561</v>
      </c>
      <c r="B14" s="7" t="s">
        <v>1562</v>
      </c>
      <c r="C14" s="6" t="s">
        <v>1563</v>
      </c>
      <c r="D14" s="6" t="s">
        <v>1564</v>
      </c>
      <c r="E14" t="s">
        <v>1565</v>
      </c>
    </row>
    <row r="15" spans="1:9" ht="60">
      <c r="A15" s="2" t="s">
        <v>863</v>
      </c>
      <c r="B15" s="137" t="s">
        <v>1566</v>
      </c>
      <c r="C15" s="10" t="s">
        <v>864</v>
      </c>
      <c r="D15" s="10" t="s">
        <v>1567</v>
      </c>
    </row>
    <row r="16" spans="1:9" ht="75">
      <c r="A16" s="336" t="s">
        <v>897</v>
      </c>
      <c r="B16" s="194" t="s">
        <v>1568</v>
      </c>
      <c r="C16" s="336" t="s">
        <v>1569</v>
      </c>
      <c r="D16" s="336" t="s">
        <v>1570</v>
      </c>
    </row>
  </sheetData>
  <mergeCells count="3">
    <mergeCell ref="A2:D2"/>
    <mergeCell ref="A4:D4"/>
    <mergeCell ref="A8:D8"/>
  </mergeCells>
  <dataValidations count="1">
    <dataValidation type="list" allowBlank="1" showInputMessage="1" showErrorMessage="1" sqref="C5" xr:uid="{00000000-0002-0000-0600-000000000000}">
      <formula1>"Ovalle, Punitaqui ,Rio Hurtado, Combarbala, Monte patria"</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F7BC-BFDB-4DF6-9F2C-41E1E5B0A601}">
  <dimension ref="A1:E38"/>
  <sheetViews>
    <sheetView workbookViewId="0">
      <selection activeCell="B7" sqref="B7"/>
    </sheetView>
  </sheetViews>
  <sheetFormatPr defaultColWidth="11" defaultRowHeight="15"/>
  <cols>
    <col min="1" max="1" width="11.375" customWidth="1"/>
    <col min="2" max="2" width="19.625" style="132" customWidth="1"/>
    <col min="3" max="3" width="39.75" customWidth="1"/>
    <col min="4" max="4" width="42.625" customWidth="1"/>
  </cols>
  <sheetData>
    <row r="1" spans="1:5">
      <c r="A1" s="469" t="s">
        <v>1571</v>
      </c>
      <c r="B1" s="469"/>
      <c r="C1" s="469"/>
      <c r="D1" s="470"/>
      <c r="E1" s="2"/>
    </row>
    <row r="2" spans="1:5">
      <c r="A2" s="182"/>
      <c r="B2" s="207" t="s">
        <v>1501</v>
      </c>
      <c r="C2" s="182" t="s">
        <v>1572</v>
      </c>
      <c r="D2" s="224" t="s">
        <v>1573</v>
      </c>
      <c r="E2" s="2"/>
    </row>
    <row r="3" spans="1:5" ht="48.75">
      <c r="A3" s="2" t="s">
        <v>1574</v>
      </c>
      <c r="B3" s="316" t="s">
        <v>1557</v>
      </c>
      <c r="C3" s="386" t="s">
        <v>1227</v>
      </c>
      <c r="D3" s="230" t="s">
        <v>1575</v>
      </c>
      <c r="E3" s="2"/>
    </row>
    <row r="4" spans="1:5" ht="60.75">
      <c r="A4" s="10" t="s">
        <v>1576</v>
      </c>
      <c r="B4" s="387" t="s">
        <v>1566</v>
      </c>
      <c r="C4" s="386" t="s">
        <v>863</v>
      </c>
      <c r="D4" s="376" t="s">
        <v>1577</v>
      </c>
      <c r="E4" s="2"/>
    </row>
    <row r="5" spans="1:5" ht="105">
      <c r="A5" s="2" t="s">
        <v>1574</v>
      </c>
      <c r="B5" s="387" t="s">
        <v>1551</v>
      </c>
      <c r="C5" s="315" t="s">
        <v>1003</v>
      </c>
      <c r="D5" s="376" t="s">
        <v>1578</v>
      </c>
      <c r="E5" s="2"/>
    </row>
    <row r="6" spans="1:5" ht="49.5">
      <c r="A6" s="10" t="s">
        <v>1576</v>
      </c>
      <c r="B6" s="387" t="s">
        <v>1579</v>
      </c>
      <c r="C6" s="314" t="s">
        <v>503</v>
      </c>
      <c r="D6" s="225" t="s">
        <v>1580</v>
      </c>
      <c r="E6" s="2"/>
    </row>
    <row r="7" spans="1:5" ht="54.75" customHeight="1">
      <c r="A7" s="10" t="s">
        <v>1576</v>
      </c>
      <c r="B7" s="317" t="s">
        <v>1581</v>
      </c>
      <c r="C7" s="314" t="s">
        <v>1582</v>
      </c>
      <c r="D7" s="336" t="s">
        <v>1583</v>
      </c>
      <c r="E7" s="2"/>
    </row>
    <row r="8" spans="1:5" ht="83.25" customHeight="1">
      <c r="A8" s="10" t="s">
        <v>1576</v>
      </c>
      <c r="B8" s="317" t="s">
        <v>1584</v>
      </c>
      <c r="C8" s="314" t="s">
        <v>1585</v>
      </c>
      <c r="D8" s="336" t="s">
        <v>1586</v>
      </c>
      <c r="E8" s="2"/>
    </row>
    <row r="9" spans="1:5" ht="33">
      <c r="A9" s="2"/>
      <c r="B9" s="345" t="s">
        <v>1587</v>
      </c>
      <c r="C9" s="2" t="s">
        <v>626</v>
      </c>
      <c r="D9" s="10" t="s">
        <v>1588</v>
      </c>
      <c r="E9" s="13"/>
    </row>
    <row r="10" spans="1:5" ht="33">
      <c r="A10" s="10" t="s">
        <v>1589</v>
      </c>
      <c r="B10" s="345" t="s">
        <v>1590</v>
      </c>
      <c r="C10" s="2" t="s">
        <v>787</v>
      </c>
      <c r="D10" s="10" t="s">
        <v>1591</v>
      </c>
      <c r="E10" s="2"/>
    </row>
    <row r="11" spans="1:5" ht="30">
      <c r="A11" s="2"/>
      <c r="B11" s="345"/>
      <c r="C11" s="336" t="s">
        <v>897</v>
      </c>
      <c r="D11" s="376" t="s">
        <v>1569</v>
      </c>
      <c r="E11" s="13"/>
    </row>
    <row r="12" spans="1:5" ht="64.5" customHeight="1">
      <c r="A12" s="2"/>
      <c r="B12" s="140" t="s">
        <v>1592</v>
      </c>
      <c r="C12" s="6" t="s">
        <v>1054</v>
      </c>
      <c r="D12" s="336" t="s">
        <v>1593</v>
      </c>
      <c r="E12" s="13"/>
    </row>
    <row r="13" spans="1:5" ht="30">
      <c r="A13" s="2"/>
      <c r="B13" s="345" t="s">
        <v>1594</v>
      </c>
      <c r="C13" s="341" t="s">
        <v>558</v>
      </c>
      <c r="D13" s="336" t="s">
        <v>1595</v>
      </c>
    </row>
    <row r="14" spans="1:5" ht="30">
      <c r="A14" s="2"/>
      <c r="B14" s="345" t="s">
        <v>1596</v>
      </c>
      <c r="C14" s="2" t="s">
        <v>713</v>
      </c>
      <c r="D14" s="10" t="s">
        <v>1597</v>
      </c>
    </row>
    <row r="34" spans="1:4">
      <c r="A34" s="471" t="s">
        <v>1571</v>
      </c>
      <c r="B34" s="471"/>
      <c r="C34" s="471"/>
      <c r="D34" s="471"/>
    </row>
    <row r="35" spans="1:4">
      <c r="A35" s="406"/>
      <c r="B35" s="405" t="s">
        <v>1501</v>
      </c>
      <c r="C35" s="406" t="s">
        <v>1572</v>
      </c>
      <c r="D35" s="406" t="s">
        <v>1573</v>
      </c>
    </row>
    <row r="36" spans="1:4" ht="66.75">
      <c r="A36" s="407"/>
      <c r="B36" s="408" t="s">
        <v>1557</v>
      </c>
      <c r="C36" s="409" t="s">
        <v>1227</v>
      </c>
      <c r="D36" s="410" t="s">
        <v>1575</v>
      </c>
    </row>
    <row r="37" spans="1:4" ht="91.5">
      <c r="A37" s="407"/>
      <c r="B37" s="411" t="s">
        <v>1551</v>
      </c>
      <c r="C37" s="412" t="s">
        <v>1003</v>
      </c>
      <c r="D37" s="413" t="s">
        <v>1578</v>
      </c>
    </row>
    <row r="38" spans="1:4" ht="13.5"/>
  </sheetData>
  <mergeCells count="2">
    <mergeCell ref="A1:D1"/>
    <mergeCell ref="A34:D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5C9A2-B472-4472-BDB3-17079C2D2B73}">
  <dimension ref="A1:F14"/>
  <sheetViews>
    <sheetView workbookViewId="0">
      <selection activeCell="E2" sqref="E2"/>
    </sheetView>
  </sheetViews>
  <sheetFormatPr defaultColWidth="11" defaultRowHeight="15"/>
  <cols>
    <col min="1" max="1" width="26" customWidth="1"/>
    <col min="3" max="3" width="6.25" customWidth="1"/>
    <col min="4" max="4" width="21.875" customWidth="1"/>
    <col min="5" max="5" width="29.625" customWidth="1"/>
  </cols>
  <sheetData>
    <row r="1" spans="1:6">
      <c r="A1" s="213" t="s">
        <v>1500</v>
      </c>
      <c r="B1" s="213" t="s">
        <v>1501</v>
      </c>
      <c r="C1" s="213" t="s">
        <v>21</v>
      </c>
      <c r="D1" s="213" t="s">
        <v>520</v>
      </c>
      <c r="E1" s="213" t="s">
        <v>1598</v>
      </c>
      <c r="F1" s="2"/>
    </row>
    <row r="2" spans="1:6" ht="51" customHeight="1">
      <c r="A2" s="10" t="s">
        <v>1124</v>
      </c>
      <c r="B2" s="137">
        <v>5235812</v>
      </c>
      <c r="C2" s="137">
        <v>4</v>
      </c>
      <c r="D2" s="10" t="s">
        <v>423</v>
      </c>
      <c r="E2" s="341" t="s">
        <v>1197</v>
      </c>
      <c r="F2" s="2"/>
    </row>
    <row r="3" spans="1:6">
      <c r="A3" s="6" t="s">
        <v>1158</v>
      </c>
      <c r="B3" s="140">
        <v>5747013</v>
      </c>
      <c r="C3" s="140">
        <v>5</v>
      </c>
      <c r="D3" s="6" t="s">
        <v>1159</v>
      </c>
      <c r="E3" s="338" t="s">
        <v>1599</v>
      </c>
      <c r="F3" s="6"/>
    </row>
    <row r="4" spans="1:6">
      <c r="A4" s="2" t="s">
        <v>574</v>
      </c>
      <c r="B4" s="137">
        <v>9236705</v>
      </c>
      <c r="C4" s="137">
        <v>3</v>
      </c>
      <c r="D4" s="2" t="s">
        <v>1600</v>
      </c>
      <c r="E4" s="341" t="s">
        <v>1197</v>
      </c>
      <c r="F4" s="13"/>
    </row>
    <row r="5" spans="1:6">
      <c r="A5" s="2" t="s">
        <v>1194</v>
      </c>
      <c r="B5" s="2">
        <v>9303227</v>
      </c>
      <c r="C5" s="2">
        <v>6</v>
      </c>
      <c r="D5" s="2" t="s">
        <v>1600</v>
      </c>
      <c r="E5" s="341" t="s">
        <v>1197</v>
      </c>
      <c r="F5" s="13"/>
    </row>
    <row r="14" spans="1:6">
      <c r="A14" s="19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4"/>
  <sheetViews>
    <sheetView workbookViewId="0">
      <selection activeCell="H17" sqref="H17"/>
    </sheetView>
  </sheetViews>
  <sheetFormatPr defaultColWidth="11" defaultRowHeight="15"/>
  <cols>
    <col min="1" max="1" width="20.875" style="1" customWidth="1"/>
    <col min="2" max="2" width="10.75" style="132" customWidth="1"/>
    <col min="3" max="3" width="4.75" style="131" customWidth="1"/>
    <col min="4" max="4" width="5.25" style="132" customWidth="1"/>
    <col min="5" max="5" width="14.75" style="132" customWidth="1"/>
    <col min="6" max="6" width="27.875" customWidth="1"/>
    <col min="7" max="7" width="21.875" customWidth="1"/>
    <col min="8" max="8" width="34.25" customWidth="1"/>
  </cols>
  <sheetData>
    <row r="1" spans="1:12">
      <c r="A1" s="472" t="s">
        <v>1601</v>
      </c>
      <c r="B1" s="472"/>
      <c r="C1" s="472"/>
      <c r="D1" s="472"/>
      <c r="E1" s="472"/>
      <c r="F1" s="472"/>
      <c r="G1" s="472"/>
      <c r="H1" s="472"/>
    </row>
    <row r="2" spans="1:12">
      <c r="A2" s="129" t="s">
        <v>1500</v>
      </c>
      <c r="B2" s="139" t="s">
        <v>1501</v>
      </c>
      <c r="C2" s="138" t="s">
        <v>21</v>
      </c>
      <c r="D2" s="139" t="s">
        <v>1602</v>
      </c>
      <c r="E2" s="3" t="s">
        <v>520</v>
      </c>
      <c r="F2" s="3" t="s">
        <v>178</v>
      </c>
      <c r="G2" s="3" t="s">
        <v>1603</v>
      </c>
      <c r="H2" s="2"/>
    </row>
    <row r="3" spans="1:12" s="130" customFormat="1" ht="45">
      <c r="A3" s="6" t="s">
        <v>558</v>
      </c>
      <c r="B3" s="135">
        <v>4341553</v>
      </c>
      <c r="C3" s="135">
        <v>0</v>
      </c>
      <c r="D3" s="6">
        <v>81</v>
      </c>
      <c r="E3" s="136" t="s">
        <v>559</v>
      </c>
      <c r="F3" s="136" t="s">
        <v>1604</v>
      </c>
      <c r="G3" s="136" t="s">
        <v>1605</v>
      </c>
      <c r="H3" s="188" t="s">
        <v>1606</v>
      </c>
    </row>
    <row r="4" spans="1:12" ht="60">
      <c r="A4" s="6" t="s">
        <v>570</v>
      </c>
      <c r="B4" s="135">
        <v>5212729</v>
      </c>
      <c r="C4" s="135">
        <v>7</v>
      </c>
      <c r="D4" s="6">
        <v>79</v>
      </c>
      <c r="E4" s="6" t="s">
        <v>1607</v>
      </c>
      <c r="F4" s="136" t="s">
        <v>1604</v>
      </c>
      <c r="G4" s="136" t="s">
        <v>1605</v>
      </c>
      <c r="H4" s="2" t="s">
        <v>1608</v>
      </c>
    </row>
    <row r="5" spans="1:12" ht="30">
      <c r="A5" s="6" t="s">
        <v>654</v>
      </c>
      <c r="B5" s="135">
        <v>6589280</v>
      </c>
      <c r="C5" s="135">
        <v>4</v>
      </c>
      <c r="D5" s="6">
        <v>76</v>
      </c>
      <c r="E5" s="6" t="s">
        <v>655</v>
      </c>
      <c r="F5" s="388" t="s">
        <v>1609</v>
      </c>
      <c r="G5" s="136" t="s">
        <v>1605</v>
      </c>
      <c r="H5" s="341" t="s">
        <v>1610</v>
      </c>
    </row>
    <row r="6" spans="1:12" ht="45">
      <c r="A6" s="8" t="s">
        <v>399</v>
      </c>
      <c r="B6" s="156">
        <v>4112500</v>
      </c>
      <c r="C6" s="156">
        <v>4</v>
      </c>
      <c r="D6" s="164">
        <v>86</v>
      </c>
      <c r="E6" s="136" t="s">
        <v>400</v>
      </c>
      <c r="F6" s="388" t="s">
        <v>1216</v>
      </c>
      <c r="G6" s="388" t="s">
        <v>1611</v>
      </c>
      <c r="H6" s="341" t="s">
        <v>1612</v>
      </c>
    </row>
    <row r="7" spans="1:12" ht="60">
      <c r="A7" s="343" t="s">
        <v>787</v>
      </c>
      <c r="B7" s="148">
        <v>4212757</v>
      </c>
      <c r="C7" s="148">
        <v>4</v>
      </c>
      <c r="D7" s="24">
        <v>84</v>
      </c>
      <c r="E7" s="24" t="s">
        <v>788</v>
      </c>
      <c r="F7" s="388" t="s">
        <v>1216</v>
      </c>
      <c r="G7" s="136" t="s">
        <v>1605</v>
      </c>
      <c r="H7" s="341" t="s">
        <v>1608</v>
      </c>
      <c r="I7" s="60"/>
      <c r="J7" s="60"/>
      <c r="K7" s="60"/>
      <c r="L7" s="60"/>
    </row>
    <row r="8" spans="1:12" ht="45">
      <c r="A8" s="338" t="s">
        <v>795</v>
      </c>
      <c r="B8" s="369"/>
      <c r="C8" s="140">
        <v>7</v>
      </c>
      <c r="D8" s="6">
        <v>71</v>
      </c>
      <c r="E8" s="6" t="s">
        <v>796</v>
      </c>
      <c r="F8" s="338" t="s">
        <v>1613</v>
      </c>
      <c r="G8" s="136" t="s">
        <v>1605</v>
      </c>
      <c r="H8" s="2" t="s">
        <v>1614</v>
      </c>
    </row>
    <row r="9" spans="1:12" ht="75">
      <c r="A9" s="10" t="s">
        <v>1615</v>
      </c>
      <c r="B9" s="137">
        <v>5972089</v>
      </c>
      <c r="C9" s="137">
        <v>9</v>
      </c>
      <c r="D9" s="2">
        <v>86</v>
      </c>
      <c r="E9" s="10" t="s">
        <v>1616</v>
      </c>
      <c r="F9" s="338" t="s">
        <v>1613</v>
      </c>
      <c r="G9" s="136" t="s">
        <v>1605</v>
      </c>
      <c r="H9" s="2" t="s">
        <v>1614</v>
      </c>
    </row>
    <row r="10" spans="1:12" ht="60">
      <c r="A10" s="6" t="s">
        <v>902</v>
      </c>
      <c r="B10" s="140">
        <v>6290748</v>
      </c>
      <c r="C10" s="140">
        <v>7</v>
      </c>
      <c r="D10" s="6">
        <v>76</v>
      </c>
      <c r="E10" s="6" t="s">
        <v>903</v>
      </c>
      <c r="F10" s="388" t="s">
        <v>1216</v>
      </c>
      <c r="G10" s="136" t="s">
        <v>1605</v>
      </c>
      <c r="H10" s="341" t="s">
        <v>1617</v>
      </c>
    </row>
    <row r="11" spans="1:12" ht="45">
      <c r="A11" s="6" t="s">
        <v>907</v>
      </c>
      <c r="B11" s="140">
        <v>4000897</v>
      </c>
      <c r="C11" s="140">
        <v>7</v>
      </c>
      <c r="D11" s="6">
        <v>89</v>
      </c>
      <c r="E11" s="6" t="s">
        <v>908</v>
      </c>
      <c r="F11" s="6" t="s">
        <v>1216</v>
      </c>
      <c r="G11" s="136" t="s">
        <v>1605</v>
      </c>
      <c r="H11" s="341" t="s">
        <v>1618</v>
      </c>
    </row>
    <row r="12" spans="1:12" ht="45">
      <c r="A12" s="343" t="s">
        <v>911</v>
      </c>
      <c r="B12" s="148">
        <v>3302505</v>
      </c>
      <c r="C12" s="148" t="s">
        <v>50</v>
      </c>
      <c r="D12" s="24">
        <v>94</v>
      </c>
      <c r="E12" s="24" t="s">
        <v>912</v>
      </c>
      <c r="F12" s="24" t="s">
        <v>1619</v>
      </c>
      <c r="G12" s="136" t="s">
        <v>1605</v>
      </c>
      <c r="H12" s="2" t="s">
        <v>1620</v>
      </c>
    </row>
    <row r="13" spans="1:12" ht="30">
      <c r="A13" s="6" t="s">
        <v>929</v>
      </c>
      <c r="B13" s="169">
        <v>6124729</v>
      </c>
      <c r="C13" s="140">
        <v>7</v>
      </c>
      <c r="D13" s="6">
        <v>80</v>
      </c>
      <c r="E13" s="6" t="s">
        <v>930</v>
      </c>
      <c r="F13" s="338" t="s">
        <v>1621</v>
      </c>
      <c r="G13" s="136" t="s">
        <v>1605</v>
      </c>
      <c r="H13" s="2" t="s">
        <v>1622</v>
      </c>
    </row>
    <row r="14" spans="1:12" ht="60">
      <c r="A14" s="24" t="s">
        <v>960</v>
      </c>
      <c r="B14" s="148">
        <v>8997592</v>
      </c>
      <c r="C14" s="148">
        <v>1</v>
      </c>
      <c r="D14" s="24">
        <v>64</v>
      </c>
      <c r="E14" s="24" t="s">
        <v>961</v>
      </c>
      <c r="F14" s="338" t="s">
        <v>1623</v>
      </c>
      <c r="G14" s="136" t="s">
        <v>1605</v>
      </c>
      <c r="H14" s="2" t="s">
        <v>1624</v>
      </c>
    </row>
    <row r="15" spans="1:12" ht="30">
      <c r="A15" s="388" t="s">
        <v>1194</v>
      </c>
      <c r="B15" s="136">
        <v>9303227</v>
      </c>
      <c r="C15" s="136">
        <v>6</v>
      </c>
      <c r="D15" s="136">
        <v>63</v>
      </c>
      <c r="E15" s="388" t="s">
        <v>1625</v>
      </c>
      <c r="F15" s="388" t="s">
        <v>1626</v>
      </c>
      <c r="G15" s="136" t="s">
        <v>1605</v>
      </c>
      <c r="H15" s="2"/>
    </row>
    <row r="16" spans="1:12">
      <c r="A16" s="136"/>
      <c r="B16" s="136"/>
      <c r="C16" s="136"/>
      <c r="D16" s="136"/>
      <c r="E16" s="136"/>
      <c r="F16" s="136"/>
      <c r="G16" s="136"/>
      <c r="H16" s="2"/>
    </row>
    <row r="17" spans="1:8">
      <c r="A17" s="136"/>
      <c r="B17" s="136"/>
      <c r="C17" s="136"/>
      <c r="D17" s="136"/>
      <c r="E17" s="136"/>
      <c r="F17" s="136"/>
      <c r="G17" s="136"/>
      <c r="H17" s="2"/>
    </row>
    <row r="18" spans="1:8">
      <c r="A18" s="136"/>
      <c r="B18" s="136"/>
      <c r="C18" s="136"/>
      <c r="D18" s="136"/>
      <c r="E18" s="136"/>
      <c r="F18" s="136"/>
      <c r="G18" s="136"/>
      <c r="H18" s="2"/>
    </row>
    <row r="19" spans="1:8">
      <c r="A19" s="136"/>
      <c r="B19" s="136"/>
      <c r="C19" s="136"/>
      <c r="D19" s="136"/>
      <c r="E19" s="136"/>
      <c r="F19" s="136"/>
      <c r="G19" s="136"/>
      <c r="H19" s="2"/>
    </row>
    <row r="20" spans="1:8">
      <c r="A20" s="136"/>
      <c r="B20" s="136"/>
      <c r="C20" s="136"/>
      <c r="D20" s="136"/>
      <c r="E20" s="136"/>
      <c r="F20" s="136"/>
      <c r="G20" s="136"/>
      <c r="H20" s="2"/>
    </row>
    <row r="21" spans="1:8">
      <c r="A21" s="136"/>
      <c r="B21" s="136"/>
      <c r="C21" s="136"/>
      <c r="D21" s="136"/>
      <c r="E21" s="136"/>
      <c r="F21" s="136"/>
      <c r="G21" s="136"/>
      <c r="H21" s="136"/>
    </row>
    <row r="24" spans="1:8">
      <c r="C24" s="133"/>
    </row>
  </sheetData>
  <mergeCells count="1">
    <mergeCell ref="A1:H1"/>
  </mergeCells>
  <phoneticPr fontId="30" type="noConversion"/>
  <dataValidations count="1">
    <dataValidation type="list" allowBlank="1" showInputMessage="1" showErrorMessage="1" sqref="I7:L7" xr:uid="{00000000-0002-0000-0300-000000000000}">
      <formula1>"SI,NO"</formula1>
    </dataValidation>
  </dataValidations>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selection activeCell="G15" sqref="G15"/>
    </sheetView>
  </sheetViews>
  <sheetFormatPr defaultColWidth="11" defaultRowHeight="15"/>
  <cols>
    <col min="1" max="1" width="19.375" customWidth="1"/>
    <col min="4" max="4" width="22" customWidth="1"/>
    <col min="5" max="5" width="27.375" customWidth="1"/>
    <col min="6" max="6" width="17.75" customWidth="1"/>
    <col min="7" max="7" width="15" customWidth="1"/>
    <col min="8" max="8" width="14.25" customWidth="1"/>
  </cols>
  <sheetData>
    <row r="1" spans="1:8">
      <c r="A1" s="472" t="s">
        <v>1627</v>
      </c>
      <c r="B1" s="472"/>
      <c r="C1" s="472"/>
      <c r="D1" s="472"/>
      <c r="E1" s="472"/>
      <c r="F1" s="472"/>
      <c r="G1" s="473"/>
      <c r="H1" s="472"/>
    </row>
    <row r="2" spans="1:8">
      <c r="A2" s="129" t="s">
        <v>1500</v>
      </c>
      <c r="B2" s="139" t="s">
        <v>1501</v>
      </c>
      <c r="C2" s="138" t="s">
        <v>21</v>
      </c>
      <c r="D2" s="3" t="s">
        <v>520</v>
      </c>
      <c r="E2" s="3" t="s">
        <v>178</v>
      </c>
      <c r="F2" s="3" t="s">
        <v>1603</v>
      </c>
    </row>
    <row r="3" spans="1:8" ht="30">
      <c r="A3" s="212" t="s">
        <v>1628</v>
      </c>
      <c r="B3" s="172">
        <v>6109928</v>
      </c>
      <c r="C3" s="389" t="s">
        <v>50</v>
      </c>
      <c r="D3" s="336" t="s">
        <v>1629</v>
      </c>
      <c r="E3" s="341" t="s">
        <v>1630</v>
      </c>
      <c r="F3" s="338" t="s">
        <v>1631</v>
      </c>
    </row>
  </sheetData>
  <mergeCells count="1">
    <mergeCell ref="A1:H1"/>
  </mergeCells>
  <phoneticPr fontId="30" type="noConversion"/>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workbookViewId="0">
      <selection activeCell="D19" sqref="D19"/>
    </sheetView>
  </sheetViews>
  <sheetFormatPr defaultColWidth="11" defaultRowHeight="15"/>
  <cols>
    <col min="1" max="1" width="22.75" customWidth="1"/>
    <col min="2" max="2" width="18.25" style="132" customWidth="1"/>
    <col min="3" max="3" width="6.375" customWidth="1"/>
    <col min="4" max="4" width="53.125" customWidth="1"/>
  </cols>
  <sheetData>
    <row r="1" spans="1:6">
      <c r="A1" s="176" t="s">
        <v>1500</v>
      </c>
      <c r="B1" s="177" t="s">
        <v>1501</v>
      </c>
      <c r="C1" s="178" t="s">
        <v>21</v>
      </c>
      <c r="D1" s="350" t="s">
        <v>178</v>
      </c>
    </row>
    <row r="2" spans="1:6">
      <c r="B2"/>
    </row>
    <row r="3" spans="1:6" ht="30">
      <c r="A3" s="161" t="s">
        <v>718</v>
      </c>
      <c r="B3" s="167">
        <v>5959200</v>
      </c>
      <c r="C3" s="167">
        <v>9</v>
      </c>
      <c r="D3" s="341" t="s">
        <v>1632</v>
      </c>
    </row>
    <row r="4" spans="1:6" ht="30">
      <c r="A4" s="6" t="s">
        <v>763</v>
      </c>
      <c r="B4" s="140">
        <v>11383417</v>
      </c>
      <c r="C4" s="140" t="s">
        <v>281</v>
      </c>
      <c r="D4" s="341" t="s">
        <v>1633</v>
      </c>
    </row>
    <row r="5" spans="1:6" ht="27.75" customHeight="1">
      <c r="A5" s="53" t="s">
        <v>950</v>
      </c>
      <c r="B5" s="148">
        <v>5774075</v>
      </c>
      <c r="C5" s="148">
        <v>2</v>
      </c>
      <c r="D5" s="341" t="s">
        <v>1633</v>
      </c>
    </row>
    <row r="6" spans="1:6" ht="28.5" customHeight="1">
      <c r="A6" s="6" t="s">
        <v>986</v>
      </c>
      <c r="B6" s="140">
        <v>17112114</v>
      </c>
      <c r="C6" s="140">
        <v>0</v>
      </c>
      <c r="D6" s="338" t="s">
        <v>1634</v>
      </c>
    </row>
    <row r="7" spans="1:6" ht="30">
      <c r="A7" s="9" t="s">
        <v>1008</v>
      </c>
      <c r="B7" s="148">
        <v>4179694</v>
      </c>
      <c r="C7" s="148">
        <v>4</v>
      </c>
      <c r="D7" s="343" t="s">
        <v>1634</v>
      </c>
    </row>
    <row r="8" spans="1:6">
      <c r="A8" s="2" t="s">
        <v>885</v>
      </c>
      <c r="B8" s="137">
        <v>9548233</v>
      </c>
      <c r="C8" s="2">
        <v>3</v>
      </c>
      <c r="D8" s="343" t="s">
        <v>1635</v>
      </c>
    </row>
    <row r="9" spans="1:6" ht="30">
      <c r="A9" s="336" t="s">
        <v>897</v>
      </c>
      <c r="B9" s="345">
        <v>9548233</v>
      </c>
      <c r="C9" s="336">
        <v>3</v>
      </c>
      <c r="D9" s="336" t="s">
        <v>1636</v>
      </c>
      <c r="E9" s="390"/>
      <c r="F9" s="390"/>
    </row>
    <row r="10" spans="1:6">
      <c r="A10" s="10" t="s">
        <v>950</v>
      </c>
      <c r="B10" s="137">
        <v>5774075</v>
      </c>
      <c r="C10" s="2">
        <v>2</v>
      </c>
      <c r="D10" s="343" t="s">
        <v>1635</v>
      </c>
    </row>
    <row r="11" spans="1:6" ht="30">
      <c r="A11" s="336" t="s">
        <v>1637</v>
      </c>
      <c r="B11" s="137">
        <v>4179694</v>
      </c>
      <c r="C11" s="2">
        <v>4</v>
      </c>
      <c r="D11" s="341" t="s">
        <v>1638</v>
      </c>
    </row>
    <row r="12" spans="1:6" ht="30">
      <c r="A12" s="10" t="s">
        <v>1111</v>
      </c>
      <c r="B12" s="210">
        <v>9067031</v>
      </c>
      <c r="C12" s="341" t="s">
        <v>50</v>
      </c>
      <c r="D12" s="343" t="s">
        <v>1635</v>
      </c>
    </row>
    <row r="13" spans="1:6" ht="30">
      <c r="A13" s="209" t="s">
        <v>545</v>
      </c>
      <c r="B13" s="210">
        <v>15042758</v>
      </c>
      <c r="C13" s="2">
        <v>4</v>
      </c>
      <c r="D13" s="343" t="s">
        <v>1635</v>
      </c>
    </row>
    <row r="14" spans="1:6">
      <c r="A14" s="341" t="s">
        <v>1639</v>
      </c>
      <c r="B14" s="137">
        <v>5356965</v>
      </c>
      <c r="C14" s="341" t="s">
        <v>50</v>
      </c>
      <c r="D14" s="343" t="s">
        <v>1635</v>
      </c>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
  <sheetViews>
    <sheetView workbookViewId="0">
      <selection activeCell="A2" sqref="A2"/>
    </sheetView>
  </sheetViews>
  <sheetFormatPr defaultColWidth="11" defaultRowHeight="15"/>
  <cols>
    <col min="1" max="1" width="15.75" customWidth="1"/>
    <col min="2" max="2" width="9" customWidth="1"/>
    <col min="3" max="3" width="4.375" customWidth="1"/>
    <col min="4" max="4" width="4.625" customWidth="1"/>
    <col min="5" max="5" width="23" customWidth="1"/>
    <col min="6" max="6" width="15.25" customWidth="1"/>
  </cols>
  <sheetData>
    <row r="1" spans="1:7" ht="30">
      <c r="A1" s="180" t="s">
        <v>1500</v>
      </c>
      <c r="B1" s="179" t="s">
        <v>1501</v>
      </c>
      <c r="C1" s="179" t="s">
        <v>21</v>
      </c>
      <c r="D1" s="181" t="s">
        <v>1640</v>
      </c>
      <c r="E1" s="181" t="s">
        <v>520</v>
      </c>
      <c r="F1" s="180" t="s">
        <v>1641</v>
      </c>
      <c r="G1" s="181" t="s">
        <v>1642</v>
      </c>
    </row>
    <row r="2" spans="1:7" ht="45">
      <c r="A2" s="24" t="s">
        <v>684</v>
      </c>
      <c r="B2" s="148">
        <v>4354079</v>
      </c>
      <c r="C2" s="148">
        <v>3</v>
      </c>
      <c r="D2" s="24">
        <v>88</v>
      </c>
      <c r="E2" s="24" t="s">
        <v>685</v>
      </c>
      <c r="F2" s="2"/>
      <c r="G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920890E513590489C491798FB2D34E1" ma:contentTypeVersion="3" ma:contentTypeDescription="Crear nuevo documento." ma:contentTypeScope="" ma:versionID="669702fb992fc1133f9b178ab376ca3f">
  <xsd:schema xmlns:xsd="http://www.w3.org/2001/XMLSchema" xmlns:xs="http://www.w3.org/2001/XMLSchema" xmlns:p="http://schemas.microsoft.com/office/2006/metadata/properties" xmlns:ns2="13caeeff-fc89-4e54-8ff7-5d5e5986c583" targetNamespace="http://schemas.microsoft.com/office/2006/metadata/properties" ma:root="true" ma:fieldsID="182f1d80fb21fb810ba2b0cf6370c5a3" ns2:_="">
    <xsd:import namespace="13caeeff-fc89-4e54-8ff7-5d5e5986c58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caeeff-fc89-4e54-8ff7-5d5e5986c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E8A433-CBC9-4E41-B537-5D3CA2476C20}"/>
</file>

<file path=customXml/itemProps2.xml><?xml version="1.0" encoding="utf-8"?>
<ds:datastoreItem xmlns:ds="http://schemas.openxmlformats.org/officeDocument/2006/customXml" ds:itemID="{34BAA9C4-D42C-4A14-85D8-7D25AE50D338}"/>
</file>

<file path=customXml/itemProps3.xml><?xml version="1.0" encoding="utf-8"?>
<ds:datastoreItem xmlns:ds="http://schemas.openxmlformats.org/officeDocument/2006/customXml" ds:itemID="{A1009D60-CDF8-422D-801D-766314CB63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Hospital Provincial Ovalle</dc:creator>
  <cp:keywords/>
  <dc:description/>
  <cp:lastModifiedBy/>
  <cp:revision/>
  <dcterms:created xsi:type="dcterms:W3CDTF">2023-12-05T16:03:00Z</dcterms:created>
  <dcterms:modified xsi:type="dcterms:W3CDTF">2026-03-04T03:38:35Z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16B179763DDC4D6498A86D38E09201FE_12</vt:lpwstr>
  </property>
  <property fmtid="{D5CDD505-2E9C-101B-9397-08002B2CF9AE}" pid="3" name="KSOProductBuildVer">
    <vt:lpwstr>3082-12.2.0.20782</vt:lpwstr>
  </property>
  <property fmtid="{D5CDD505-2E9C-101B-9397-08002B2CF9AE}" pid="4" name="ContentTypeId">
    <vt:lpwstr>0x010100E920890E513590489C491798FB2D34E1</vt:lpwstr>
  </property>
</Properties>
</file>