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/>
  <mc:AlternateContent xmlns:mc="http://schemas.openxmlformats.org/markup-compatibility/2006">
    <mc:Choice Requires="x15">
      <x15ac:absPath xmlns:x15ac="http://schemas.microsoft.com/office/spreadsheetml/2010/11/ac" url="O:\Gestión de casos Oncologicos\BIENVENIDOS A BAJO CONTROL\ESPECIALIDADES\"/>
    </mc:Choice>
  </mc:AlternateContent>
  <xr:revisionPtr revIDLastSave="0" documentId="8_{728C9D82-ED98-42D0-9034-3108701EDF79}" xr6:coauthVersionLast="47" xr6:coauthVersionMax="47" xr10:uidLastSave="{00000000-0000-0000-0000-000000000000}"/>
  <bookViews>
    <workbookView xWindow="-120" yWindow="-120" windowWidth="29040" windowHeight="15840" tabRatio="572" firstSheet="2" activeTab="2" xr2:uid="{00000000-000D-0000-FFFF-FFFF00000000}"/>
  </bookViews>
  <sheets>
    <sheet name="SIMBOLOGIA" sheetId="10" r:id="rId1"/>
    <sheet name="EGRESOS" sheetId="2" r:id="rId2"/>
    <sheet name="DIGESTIVO ALTO" sheetId="11" r:id="rId3"/>
  </sheets>
  <definedNames>
    <definedName name="_xlnm._FilterDatabase" localSheetId="2" hidden="1">'DIGESTIVO ALTO'!$A$2:$X$145</definedName>
    <definedName name="_xlnm._FilterDatabase" localSheetId="1" hidden="1">EGRESOS!$A$4:$P$204</definedName>
    <definedName name="Estad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0" i="11" l="1"/>
  <c r="X160" i="11" s="1"/>
  <c r="W161" i="11"/>
  <c r="X161" i="11" s="1"/>
  <c r="W162" i="11"/>
  <c r="X162" i="11" s="1"/>
  <c r="W163" i="11"/>
  <c r="X163" i="11" s="1"/>
  <c r="W164" i="11"/>
  <c r="X164" i="11" s="1"/>
  <c r="W165" i="11"/>
  <c r="X165" i="11" s="1"/>
  <c r="W235" i="2"/>
  <c r="X235" i="2"/>
  <c r="W234" i="2"/>
  <c r="X234" i="2"/>
  <c r="W155" i="11"/>
  <c r="X155" i="11" s="1"/>
  <c r="W156" i="11"/>
  <c r="X156" i="11" s="1"/>
  <c r="W157" i="11"/>
  <c r="X157" i="11" s="1"/>
  <c r="W158" i="11"/>
  <c r="X158" i="11" s="1"/>
  <c r="W159" i="11"/>
  <c r="X159" i="11" s="1"/>
  <c r="W151" i="11"/>
  <c r="X151" i="11" s="1"/>
  <c r="W152" i="11"/>
  <c r="X152" i="11" s="1"/>
  <c r="W153" i="11"/>
  <c r="X153" i="11" s="1"/>
  <c r="W154" i="11"/>
  <c r="X154" i="11" s="1"/>
  <c r="W146" i="11"/>
  <c r="X146" i="11" s="1"/>
  <c r="W147" i="11"/>
  <c r="X147" i="11" s="1"/>
  <c r="W148" i="11"/>
  <c r="X148" i="11" s="1"/>
  <c r="W149" i="11"/>
  <c r="X149" i="11" s="1"/>
  <c r="W150" i="11"/>
  <c r="X150" i="11" s="1"/>
  <c r="W233" i="2"/>
  <c r="X233" i="2"/>
  <c r="W142" i="11"/>
  <c r="X142" i="11" s="1"/>
  <c r="W143" i="11"/>
  <c r="X143" i="11" s="1"/>
  <c r="W144" i="11"/>
  <c r="X144" i="11" s="1"/>
  <c r="W145" i="11"/>
  <c r="X145" i="11" s="1"/>
  <c r="W232" i="2"/>
  <c r="X232" i="2" s="1"/>
  <c r="W231" i="2"/>
  <c r="X231" i="2" s="1"/>
  <c r="W139" i="11"/>
  <c r="X139" i="11" s="1"/>
  <c r="W140" i="11"/>
  <c r="X140" i="11" s="1"/>
  <c r="W141" i="11"/>
  <c r="X141" i="11" s="1"/>
  <c r="W138" i="11"/>
  <c r="X138" i="11" s="1"/>
  <c r="W135" i="11"/>
  <c r="X135" i="11" s="1"/>
  <c r="W136" i="11"/>
  <c r="X136" i="11" s="1"/>
  <c r="W137" i="11"/>
  <c r="X137" i="11" s="1"/>
  <c r="W230" i="2"/>
  <c r="X230" i="2" s="1"/>
  <c r="W129" i="11"/>
  <c r="X129" i="11" s="1"/>
  <c r="W130" i="11"/>
  <c r="X130" i="11" s="1"/>
  <c r="W131" i="11"/>
  <c r="X131" i="11" s="1"/>
  <c r="W132" i="11"/>
  <c r="X132" i="11" s="1"/>
  <c r="W133" i="11"/>
  <c r="X133" i="11" s="1"/>
  <c r="W134" i="11"/>
  <c r="X134" i="11" s="1"/>
  <c r="W127" i="11"/>
  <c r="X127" i="11" s="1"/>
  <c r="W128" i="11"/>
  <c r="X128" i="11" s="1"/>
  <c r="W229" i="2"/>
  <c r="X229" i="2" s="1"/>
  <c r="W228" i="2"/>
  <c r="X228" i="2" s="1"/>
  <c r="W227" i="2"/>
  <c r="X227" i="2" s="1"/>
  <c r="W123" i="11"/>
  <c r="X123" i="11" s="1"/>
  <c r="W124" i="11"/>
  <c r="X124" i="11" s="1"/>
  <c r="W125" i="11"/>
  <c r="X125" i="11" s="1"/>
  <c r="W126" i="11"/>
  <c r="X126" i="11" s="1"/>
  <c r="W226" i="2"/>
  <c r="X226" i="2" s="1"/>
  <c r="W225" i="2"/>
  <c r="X225" i="2" s="1"/>
  <c r="W224" i="2"/>
  <c r="X224" i="2" s="1"/>
  <c r="W223" i="2"/>
  <c r="X223" i="2" s="1"/>
  <c r="W222" i="2"/>
  <c r="X222" i="2" s="1"/>
  <c r="W221" i="2"/>
  <c r="X221" i="2" s="1"/>
  <c r="W220" i="2"/>
  <c r="X220" i="2" s="1"/>
  <c r="W219" i="2"/>
  <c r="X219" i="2" s="1"/>
  <c r="W218" i="2"/>
  <c r="X218" i="2" s="1"/>
  <c r="W217" i="2"/>
  <c r="X217" i="2" s="1"/>
  <c r="W216" i="2"/>
  <c r="X216" i="2" s="1"/>
  <c r="W215" i="2"/>
  <c r="X215" i="2" s="1"/>
  <c r="W214" i="2"/>
  <c r="X214" i="2" s="1"/>
  <c r="W75" i="11"/>
  <c r="X75" i="11" s="1"/>
  <c r="W213" i="2"/>
  <c r="X213" i="2" s="1"/>
  <c r="W212" i="2"/>
  <c r="X212" i="2" s="1"/>
  <c r="W211" i="2"/>
  <c r="X211" i="2" s="1"/>
  <c r="W210" i="2"/>
  <c r="X210" i="2" s="1"/>
  <c r="W209" i="2"/>
  <c r="X209" i="2" s="1"/>
  <c r="W208" i="2"/>
  <c r="X208" i="2" s="1"/>
  <c r="W207" i="2"/>
  <c r="X207" i="2" s="1"/>
  <c r="W206" i="2"/>
  <c r="X206" i="2" s="1"/>
  <c r="W117" i="11"/>
  <c r="X117" i="11" s="1"/>
  <c r="W118" i="11"/>
  <c r="X118" i="11" s="1"/>
  <c r="W119" i="11"/>
  <c r="X119" i="11" s="1"/>
  <c r="W120" i="11"/>
  <c r="X120" i="11" s="1"/>
  <c r="W121" i="11"/>
  <c r="X121" i="11" s="1"/>
  <c r="W122" i="11"/>
  <c r="X122" i="11" s="1"/>
  <c r="E205" i="2"/>
  <c r="W205" i="2"/>
  <c r="X205" i="2" s="1"/>
  <c r="W116" i="11"/>
  <c r="X116" i="11" s="1"/>
  <c r="W115" i="11"/>
  <c r="X115" i="11" s="1"/>
  <c r="W114" i="11"/>
  <c r="X114" i="11" s="1"/>
  <c r="W113" i="11"/>
  <c r="X113" i="11" s="1"/>
  <c r="W112" i="11"/>
  <c r="X112" i="11" s="1"/>
  <c r="W111" i="11"/>
  <c r="X111" i="11" s="1"/>
  <c r="W110" i="11"/>
  <c r="X110" i="11" s="1"/>
  <c r="W109" i="11"/>
  <c r="X109" i="11" s="1"/>
  <c r="W108" i="11"/>
  <c r="X108" i="11" s="1"/>
  <c r="W107" i="11"/>
  <c r="X107" i="11" s="1"/>
  <c r="W106" i="11"/>
  <c r="X106" i="11" s="1"/>
  <c r="W105" i="11"/>
  <c r="X105" i="11" s="1"/>
  <c r="W104" i="11"/>
  <c r="X104" i="11" s="1"/>
  <c r="W103" i="11"/>
  <c r="X103" i="11" s="1"/>
  <c r="W102" i="11"/>
  <c r="X102" i="11" s="1"/>
  <c r="W101" i="11"/>
  <c r="X101" i="11" s="1"/>
  <c r="W100" i="11"/>
  <c r="X100" i="11" s="1"/>
  <c r="W99" i="11"/>
  <c r="X99" i="11" s="1"/>
  <c r="W98" i="11"/>
  <c r="X98" i="11" s="1"/>
  <c r="W97" i="11"/>
  <c r="X97" i="11" s="1"/>
  <c r="W96" i="11"/>
  <c r="X96" i="11" s="1"/>
  <c r="W95" i="11"/>
  <c r="X95" i="11" s="1"/>
  <c r="W94" i="11"/>
  <c r="X94" i="11" s="1"/>
  <c r="W93" i="11"/>
  <c r="X93" i="11" s="1"/>
  <c r="W92" i="11"/>
  <c r="X92" i="11" s="1"/>
  <c r="W91" i="11"/>
  <c r="X91" i="11" s="1"/>
  <c r="W90" i="11"/>
  <c r="X90" i="11" s="1"/>
  <c r="W89" i="11"/>
  <c r="X89" i="11" s="1"/>
  <c r="W88" i="11"/>
  <c r="X88" i="11" s="1"/>
  <c r="W87" i="11"/>
  <c r="X87" i="11" s="1"/>
  <c r="W86" i="11"/>
  <c r="X86" i="11" s="1"/>
  <c r="W85" i="11"/>
  <c r="X85" i="11" s="1"/>
  <c r="W84" i="11"/>
  <c r="X84" i="11" s="1"/>
  <c r="W83" i="11"/>
  <c r="X83" i="11" s="1"/>
  <c r="W82" i="11"/>
  <c r="X82" i="11" s="1"/>
  <c r="W81" i="11"/>
  <c r="X81" i="11" s="1"/>
  <c r="W80" i="11"/>
  <c r="X80" i="11" s="1"/>
  <c r="W79" i="11"/>
  <c r="X79" i="11" s="1"/>
  <c r="W78" i="11"/>
  <c r="X78" i="11" s="1"/>
  <c r="W77" i="11"/>
  <c r="X77" i="11" s="1"/>
  <c r="W76" i="11"/>
  <c r="X76" i="11" s="1"/>
  <c r="W74" i="11"/>
  <c r="X74" i="11" s="1"/>
  <c r="W73" i="11"/>
  <c r="X73" i="11" s="1"/>
  <c r="W72" i="11"/>
  <c r="X72" i="11" s="1"/>
  <c r="W71" i="11"/>
  <c r="X71" i="11" s="1"/>
  <c r="W70" i="11"/>
  <c r="X70" i="11" s="1"/>
  <c r="W69" i="11"/>
  <c r="X69" i="11" s="1"/>
  <c r="W68" i="11"/>
  <c r="X68" i="11" s="1"/>
  <c r="W67" i="11"/>
  <c r="X67" i="11" s="1"/>
  <c r="W66" i="11"/>
  <c r="X66" i="11" s="1"/>
  <c r="W65" i="11"/>
  <c r="X65" i="11" s="1"/>
  <c r="W64" i="11"/>
  <c r="X64" i="11" s="1"/>
  <c r="W63" i="11"/>
  <c r="X63" i="11" s="1"/>
  <c r="W62" i="11"/>
  <c r="X62" i="11" s="1"/>
  <c r="W61" i="11"/>
  <c r="X61" i="11" s="1"/>
  <c r="W60" i="11"/>
  <c r="X60" i="11" s="1"/>
  <c r="W59" i="11"/>
  <c r="X59" i="11" s="1"/>
  <c r="W58" i="11"/>
  <c r="X58" i="11" s="1"/>
  <c r="W57" i="11"/>
  <c r="X57" i="11" s="1"/>
  <c r="W56" i="11"/>
  <c r="X56" i="11" s="1"/>
  <c r="W55" i="11"/>
  <c r="X55" i="11" s="1"/>
  <c r="W54" i="11"/>
  <c r="X54" i="11" s="1"/>
  <c r="W53" i="11"/>
  <c r="X53" i="11" s="1"/>
  <c r="W52" i="11"/>
  <c r="X52" i="11" s="1"/>
  <c r="W51" i="11"/>
  <c r="X51" i="11" s="1"/>
  <c r="W50" i="11"/>
  <c r="X50" i="11" s="1"/>
  <c r="W49" i="11"/>
  <c r="X49" i="11" s="1"/>
  <c r="W48" i="11"/>
  <c r="X48" i="11" s="1"/>
  <c r="W47" i="11"/>
  <c r="X47" i="11" s="1"/>
  <c r="W46" i="11"/>
  <c r="X46" i="11" s="1"/>
  <c r="W45" i="11"/>
  <c r="X45" i="11" s="1"/>
  <c r="W44" i="11"/>
  <c r="X44" i="11" s="1"/>
  <c r="W43" i="11"/>
  <c r="X43" i="11" s="1"/>
  <c r="W42" i="11"/>
  <c r="X42" i="11" s="1"/>
  <c r="W41" i="11"/>
  <c r="X41" i="11" s="1"/>
  <c r="W40" i="11"/>
  <c r="X40" i="11" s="1"/>
  <c r="W39" i="11"/>
  <c r="X39" i="11" s="1"/>
  <c r="W38" i="11"/>
  <c r="X38" i="11" s="1"/>
  <c r="W37" i="11"/>
  <c r="X37" i="11" s="1"/>
  <c r="W36" i="11"/>
  <c r="X36" i="11" s="1"/>
  <c r="W35" i="11"/>
  <c r="X35" i="11" s="1"/>
  <c r="W34" i="11"/>
  <c r="X34" i="11" s="1"/>
  <c r="W33" i="11"/>
  <c r="X33" i="11" s="1"/>
  <c r="W32" i="11"/>
  <c r="X32" i="11" s="1"/>
  <c r="W31" i="11"/>
  <c r="X31" i="11" s="1"/>
  <c r="W30" i="11"/>
  <c r="X30" i="11" s="1"/>
  <c r="W29" i="11"/>
  <c r="X29" i="11" s="1"/>
  <c r="W28" i="11"/>
  <c r="X28" i="11" s="1"/>
  <c r="W27" i="11"/>
  <c r="X27" i="11" s="1"/>
  <c r="W26" i="11"/>
  <c r="X26" i="11" s="1"/>
  <c r="W25" i="11"/>
  <c r="X25" i="11" s="1"/>
  <c r="W24" i="11"/>
  <c r="X24" i="11" s="1"/>
  <c r="W23" i="11"/>
  <c r="X23" i="11" s="1"/>
  <c r="W22" i="11"/>
  <c r="X22" i="11" s="1"/>
  <c r="W21" i="11"/>
  <c r="X21" i="11" s="1"/>
  <c r="W20" i="11"/>
  <c r="X20" i="11" s="1"/>
  <c r="W19" i="11"/>
  <c r="X19" i="11" s="1"/>
  <c r="W18" i="11"/>
  <c r="X18" i="11" s="1"/>
  <c r="W17" i="11"/>
  <c r="X17" i="11" s="1"/>
  <c r="W16" i="11"/>
  <c r="X16" i="11" s="1"/>
  <c r="W15" i="11"/>
  <c r="X15" i="11" s="1"/>
  <c r="W14" i="11"/>
  <c r="X14" i="11" s="1"/>
  <c r="W13" i="11"/>
  <c r="X13" i="11" s="1"/>
  <c r="W12" i="11"/>
  <c r="X12" i="11" s="1"/>
  <c r="W11" i="11"/>
  <c r="X11" i="11" s="1"/>
  <c r="W10" i="11"/>
  <c r="X10" i="11" s="1"/>
  <c r="W9" i="11"/>
  <c r="X9" i="11" s="1"/>
  <c r="W8" i="11"/>
  <c r="X8" i="11" s="1"/>
  <c r="W7" i="11"/>
  <c r="X7" i="11" s="1"/>
  <c r="W6" i="11"/>
  <c r="X6" i="11" s="1"/>
  <c r="W5" i="11"/>
  <c r="X5" i="11" s="1"/>
  <c r="W4" i="11"/>
  <c r="X4" i="11" s="1"/>
  <c r="W3" i="11"/>
  <c r="X3" i="11" s="1"/>
  <c r="W204" i="2"/>
  <c r="X204" i="2" s="1"/>
  <c r="W203" i="2"/>
  <c r="X203" i="2" s="1"/>
  <c r="E203" i="2"/>
  <c r="W202" i="2"/>
  <c r="X202" i="2" s="1"/>
  <c r="W201" i="2"/>
  <c r="X201" i="2" s="1"/>
  <c r="W200" i="2"/>
  <c r="X200" i="2" s="1"/>
  <c r="E200" i="2"/>
  <c r="W199" i="2"/>
  <c r="X199" i="2" s="1"/>
  <c r="W198" i="2"/>
  <c r="X198" i="2" s="1"/>
  <c r="E198" i="2"/>
  <c r="W197" i="2"/>
  <c r="X197" i="2" s="1"/>
  <c r="E197" i="2"/>
  <c r="W196" i="2"/>
  <c r="X196" i="2" s="1"/>
  <c r="E196" i="2"/>
  <c r="W195" i="2"/>
  <c r="X195" i="2" s="1"/>
  <c r="E195" i="2"/>
  <c r="W194" i="2"/>
  <c r="X194" i="2" s="1"/>
  <c r="W193" i="2"/>
  <c r="X193" i="2" s="1"/>
  <c r="W192" i="2"/>
  <c r="X192" i="2" s="1"/>
  <c r="W191" i="2"/>
  <c r="X191" i="2" s="1"/>
  <c r="W190" i="2"/>
  <c r="X190" i="2" s="1"/>
  <c r="E190" i="2"/>
  <c r="W189" i="2"/>
  <c r="X189" i="2" s="1"/>
  <c r="W188" i="2"/>
  <c r="X188" i="2" s="1"/>
  <c r="W187" i="2"/>
  <c r="X187" i="2" s="1"/>
  <c r="W186" i="2"/>
  <c r="X186" i="2" s="1"/>
  <c r="W185" i="2"/>
  <c r="X185" i="2" s="1"/>
  <c r="W184" i="2"/>
  <c r="X184" i="2" s="1"/>
  <c r="W183" i="2"/>
  <c r="X183" i="2" s="1"/>
  <c r="W182" i="2"/>
  <c r="X182" i="2" s="1"/>
  <c r="W181" i="2"/>
  <c r="X181" i="2" s="1"/>
  <c r="W180" i="2"/>
  <c r="X180" i="2" s="1"/>
  <c r="W179" i="2"/>
  <c r="X179" i="2" s="1"/>
  <c r="W178" i="2"/>
  <c r="X178" i="2" s="1"/>
  <c r="W177" i="2"/>
  <c r="X177" i="2" s="1"/>
  <c r="W176" i="2"/>
  <c r="X176" i="2" s="1"/>
  <c r="W175" i="2"/>
  <c r="X175" i="2" s="1"/>
  <c r="W174" i="2"/>
  <c r="X174" i="2" s="1"/>
  <c r="W173" i="2"/>
  <c r="X173" i="2" s="1"/>
  <c r="W172" i="2"/>
  <c r="X172" i="2" s="1"/>
  <c r="W171" i="2"/>
  <c r="X171" i="2" s="1"/>
  <c r="E171" i="2"/>
  <c r="W170" i="2"/>
  <c r="X170" i="2" s="1"/>
  <c r="W169" i="2"/>
  <c r="X169" i="2" s="1"/>
  <c r="W168" i="2"/>
  <c r="X168" i="2" s="1"/>
  <c r="E168" i="2"/>
  <c r="W167" i="2"/>
  <c r="X167" i="2" s="1"/>
  <c r="W166" i="2"/>
  <c r="X166" i="2" s="1"/>
  <c r="W165" i="2"/>
  <c r="X165" i="2" s="1"/>
  <c r="W164" i="2"/>
  <c r="X164" i="2" s="1"/>
  <c r="W163" i="2"/>
  <c r="X163" i="2" s="1"/>
  <c r="E163" i="2"/>
  <c r="W162" i="2"/>
  <c r="X162" i="2" s="1"/>
  <c r="W161" i="2"/>
  <c r="X161" i="2" s="1"/>
  <c r="W160" i="2"/>
  <c r="X160" i="2" s="1"/>
  <c r="W159" i="2"/>
  <c r="X159" i="2" s="1"/>
  <c r="W158" i="2"/>
  <c r="X158" i="2" s="1"/>
  <c r="V157" i="2"/>
  <c r="W157" i="2" s="1"/>
  <c r="V156" i="2"/>
  <c r="W156" i="2" s="1"/>
  <c r="V155" i="2"/>
  <c r="W155" i="2" s="1"/>
  <c r="V154" i="2"/>
  <c r="W154" i="2" s="1"/>
  <c r="V153" i="2"/>
  <c r="W153" i="2" s="1"/>
  <c r="V152" i="2"/>
  <c r="W152" i="2" s="1"/>
  <c r="E152" i="2"/>
  <c r="V151" i="2"/>
  <c r="W151" i="2" s="1"/>
  <c r="E151" i="2"/>
  <c r="V150" i="2"/>
  <c r="W150" i="2" s="1"/>
  <c r="V149" i="2"/>
  <c r="W149" i="2" s="1"/>
  <c r="E149" i="2"/>
  <c r="V148" i="2"/>
  <c r="W148" i="2" s="1"/>
  <c r="E148" i="2"/>
  <c r="V147" i="2"/>
  <c r="W147" i="2" s="1"/>
  <c r="V146" i="2"/>
  <c r="W146" i="2" s="1"/>
  <c r="V145" i="2"/>
  <c r="W145" i="2" s="1"/>
  <c r="V144" i="2"/>
  <c r="W144" i="2" s="1"/>
  <c r="V143" i="2"/>
  <c r="W143" i="2" s="1"/>
  <c r="V142" i="2"/>
  <c r="W142" i="2" s="1"/>
  <c r="V141" i="2"/>
  <c r="W141" i="2" s="1"/>
  <c r="V140" i="2"/>
  <c r="W140" i="2" s="1"/>
  <c r="V139" i="2"/>
  <c r="W139" i="2" s="1"/>
  <c r="E139" i="2"/>
  <c r="V138" i="2"/>
  <c r="W138" i="2" s="1"/>
  <c r="E138" i="2"/>
  <c r="V137" i="2"/>
  <c r="W137" i="2" s="1"/>
  <c r="E137" i="2"/>
  <c r="V136" i="2"/>
  <c r="W136" i="2" s="1"/>
  <c r="E136" i="2"/>
  <c r="V135" i="2"/>
  <c r="W135" i="2" s="1"/>
  <c r="E135" i="2"/>
  <c r="V134" i="2"/>
  <c r="W134" i="2" s="1"/>
  <c r="E134" i="2"/>
  <c r="V133" i="2"/>
  <c r="W133" i="2" s="1"/>
  <c r="E133" i="2"/>
  <c r="V132" i="2"/>
  <c r="W132" i="2" s="1"/>
  <c r="E132" i="2"/>
  <c r="V131" i="2"/>
  <c r="W131" i="2" s="1"/>
  <c r="E131" i="2"/>
  <c r="V130" i="2"/>
  <c r="W130" i="2" s="1"/>
  <c r="E130" i="2"/>
  <c r="V129" i="2"/>
  <c r="W129" i="2" s="1"/>
  <c r="E129" i="2"/>
  <c r="V128" i="2"/>
  <c r="W128" i="2" s="1"/>
  <c r="E128" i="2"/>
  <c r="V127" i="2"/>
  <c r="W127" i="2" s="1"/>
  <c r="E127" i="2"/>
  <c r="V126" i="2"/>
  <c r="W126" i="2" s="1"/>
  <c r="V125" i="2"/>
  <c r="W125" i="2" s="1"/>
  <c r="E125" i="2"/>
  <c r="V124" i="2"/>
  <c r="W124" i="2" s="1"/>
  <c r="E124" i="2"/>
  <c r="V123" i="2"/>
  <c r="W123" i="2" s="1"/>
  <c r="E123" i="2"/>
  <c r="V122" i="2"/>
  <c r="W122" i="2" s="1"/>
  <c r="E122" i="2"/>
  <c r="V121" i="2"/>
  <c r="W121" i="2" s="1"/>
  <c r="E121" i="2"/>
  <c r="V120" i="2"/>
  <c r="W120" i="2" s="1"/>
  <c r="E120" i="2"/>
  <c r="V119" i="2"/>
  <c r="W119" i="2" s="1"/>
  <c r="E119" i="2"/>
  <c r="V118" i="2"/>
  <c r="W118" i="2" s="1"/>
  <c r="E118" i="2"/>
  <c r="V117" i="2"/>
  <c r="W117" i="2" s="1"/>
  <c r="E117" i="2"/>
  <c r="V116" i="2"/>
  <c r="W116" i="2" s="1"/>
  <c r="E116" i="2"/>
  <c r="V115" i="2"/>
  <c r="W115" i="2" s="1"/>
  <c r="E115" i="2"/>
  <c r="V114" i="2"/>
  <c r="W114" i="2" s="1"/>
  <c r="E114" i="2"/>
  <c r="V113" i="2"/>
  <c r="W113" i="2" s="1"/>
  <c r="E113" i="2"/>
  <c r="V112" i="2"/>
  <c r="W112" i="2" s="1"/>
  <c r="E112" i="2"/>
  <c r="V111" i="2"/>
  <c r="W111" i="2" s="1"/>
  <c r="E111" i="2"/>
  <c r="V110" i="2"/>
  <c r="W110" i="2" s="1"/>
  <c r="E110" i="2"/>
  <c r="V109" i="2"/>
  <c r="W109" i="2" s="1"/>
  <c r="E109" i="2"/>
  <c r="V108" i="2"/>
  <c r="W108" i="2" s="1"/>
  <c r="E108" i="2"/>
  <c r="V107" i="2"/>
  <c r="W107" i="2" s="1"/>
  <c r="E107" i="2"/>
  <c r="V106" i="2"/>
  <c r="W106" i="2" s="1"/>
  <c r="E106" i="2"/>
  <c r="V105" i="2"/>
  <c r="W105" i="2" s="1"/>
  <c r="E105" i="2"/>
  <c r="V104" i="2"/>
  <c r="W104" i="2" s="1"/>
  <c r="E104" i="2"/>
  <c r="V103" i="2"/>
  <c r="W103" i="2" s="1"/>
  <c r="E103" i="2"/>
  <c r="V102" i="2"/>
  <c r="W102" i="2" s="1"/>
  <c r="E102" i="2"/>
  <c r="V101" i="2"/>
  <c r="W101" i="2" s="1"/>
  <c r="E101" i="2"/>
  <c r="V100" i="2"/>
  <c r="W100" i="2" s="1"/>
  <c r="E100" i="2"/>
  <c r="V99" i="2"/>
  <c r="W99" i="2" s="1"/>
  <c r="E99" i="2"/>
  <c r="V98" i="2"/>
  <c r="W98" i="2" s="1"/>
  <c r="E98" i="2"/>
  <c r="V97" i="2"/>
  <c r="W97" i="2" s="1"/>
  <c r="E97" i="2"/>
  <c r="W96" i="2"/>
  <c r="E96" i="2"/>
  <c r="V95" i="2"/>
  <c r="W95" i="2" s="1"/>
  <c r="E95" i="2"/>
  <c r="V94" i="2"/>
  <c r="W94" i="2" s="1"/>
  <c r="E94" i="2"/>
  <c r="Q91" i="2"/>
  <c r="R91" i="2" s="1"/>
  <c r="Q90" i="2"/>
  <c r="R90" i="2" s="1"/>
</calcChain>
</file>

<file path=xl/sharedStrings.xml><?xml version="1.0" encoding="utf-8"?>
<sst xmlns="http://schemas.openxmlformats.org/spreadsheetml/2006/main" count="4684" uniqueCount="1003">
  <si>
    <t xml:space="preserve">SIMBOLOGIA </t>
  </si>
  <si>
    <t>OBSERVACIÓN</t>
  </si>
  <si>
    <t>HLS</t>
  </si>
  <si>
    <t xml:space="preserve">DERIVADOS A HLS </t>
  </si>
  <si>
    <t>SEGUIMIENTO EN HOV</t>
  </si>
  <si>
    <t xml:space="preserve">EN ATENCION POR OTROS CENTROS </t>
  </si>
  <si>
    <t>HSP</t>
  </si>
  <si>
    <t>GES/NO GES</t>
  </si>
  <si>
    <t xml:space="preserve">Nombre </t>
  </si>
  <si>
    <t xml:space="preserve">RUT </t>
  </si>
  <si>
    <t>DV</t>
  </si>
  <si>
    <t>Edad</t>
  </si>
  <si>
    <t>Comuna</t>
  </si>
  <si>
    <t>Tipo de Cáncer</t>
  </si>
  <si>
    <t>AÑO DG</t>
  </si>
  <si>
    <t>Fecha resultado</t>
  </si>
  <si>
    <t>CPYAD</t>
  </si>
  <si>
    <t>Etapa Clinica</t>
  </si>
  <si>
    <t>Fecha de Comité</t>
  </si>
  <si>
    <t>Indicación de Comité</t>
  </si>
  <si>
    <t>Centro de Derivación</t>
  </si>
  <si>
    <t xml:space="preserve">ESTADO DE CASO </t>
  </si>
  <si>
    <t>CAUSAL</t>
  </si>
  <si>
    <t>GES</t>
  </si>
  <si>
    <t>Carlos Regodeceves Zepeda</t>
  </si>
  <si>
    <t>OVALLE</t>
  </si>
  <si>
    <t>CANCER DE COLON</t>
  </si>
  <si>
    <t>Si</t>
  </si>
  <si>
    <t>Seguimiento</t>
  </si>
  <si>
    <t>Cuidados paliativos exclusivos</t>
  </si>
  <si>
    <t xml:space="preserve">HOV </t>
  </si>
  <si>
    <t>FALLECIDO</t>
  </si>
  <si>
    <t>ana veliz gonzalez</t>
  </si>
  <si>
    <t xml:space="preserve">PUNITAQUI </t>
  </si>
  <si>
    <t>DETENIDO</t>
  </si>
  <si>
    <t>RECHAZO DEL PACIENTE</t>
  </si>
  <si>
    <t xml:space="preserve">Elsina Rojas </t>
  </si>
  <si>
    <t xml:space="preserve">Gloria Castañeda Carvajal </t>
  </si>
  <si>
    <t>No</t>
  </si>
  <si>
    <t>Tratamiento</t>
  </si>
  <si>
    <t>Quimioterapia adyuvante</t>
  </si>
  <si>
    <t xml:space="preserve">Hector Jimenez Pareja </t>
  </si>
  <si>
    <t>José Araya Olivares</t>
  </si>
  <si>
    <t>COMBARBALÁ</t>
  </si>
  <si>
    <t>Mario Valencia Castillo</t>
  </si>
  <si>
    <t>Quimioterapia + Rt</t>
  </si>
  <si>
    <t xml:space="preserve">HLS </t>
  </si>
  <si>
    <t xml:space="preserve">Nancy Talamilla Salinas </t>
  </si>
  <si>
    <t>Cirugia en Hospital de origen</t>
  </si>
  <si>
    <t>STGO</t>
  </si>
  <si>
    <t xml:space="preserve">TRASLADO </t>
  </si>
  <si>
    <t>Ociel Garcia Aguilera</t>
  </si>
  <si>
    <t>Patricio Aguilera Delgado</t>
  </si>
  <si>
    <t>Quimioterapia paliativa</t>
  </si>
  <si>
    <t xml:space="preserve">Sonia Araya Cortes </t>
  </si>
  <si>
    <t>si</t>
  </si>
  <si>
    <t>Scarlette Gonzalez Zepeda</t>
  </si>
  <si>
    <t xml:space="preserve">LA SERENA </t>
  </si>
  <si>
    <t>Etapificacion</t>
  </si>
  <si>
    <t>Eleomar Lemus Campillay</t>
  </si>
  <si>
    <t>CANCER GASTRICO</t>
  </si>
  <si>
    <t xml:space="preserve">Gerardo Arenas Fuentealba </t>
  </si>
  <si>
    <t xml:space="preserve">Gido Astudillo Borquez </t>
  </si>
  <si>
    <t>Moises Mundaca Campusano</t>
  </si>
  <si>
    <t>HOV</t>
  </si>
  <si>
    <t>NO GES</t>
  </si>
  <si>
    <t>CECILIA ARAYA ROJAS</t>
  </si>
  <si>
    <t>CANCER DE ESOFAGO</t>
  </si>
  <si>
    <t>SI</t>
  </si>
  <si>
    <t>Alamiro Vega Zepeda</t>
  </si>
  <si>
    <t xml:space="preserve">MONTE PATRIA </t>
  </si>
  <si>
    <t xml:space="preserve">EMILIO MUÑOZ VELASQUEZ  </t>
  </si>
  <si>
    <t>ELMA MERCEDES ANDRADE</t>
  </si>
  <si>
    <t xml:space="preserve">Ana Avalos Castillo </t>
  </si>
  <si>
    <t>CANCER DE RECTO</t>
  </si>
  <si>
    <t xml:space="preserve">ALTA ONCOLOGICA </t>
  </si>
  <si>
    <t xml:space="preserve">HUGO VILLALOBOS VILLALOBOS </t>
  </si>
  <si>
    <t xml:space="preserve">CANCER GASTRICO </t>
  </si>
  <si>
    <t xml:space="preserve">Silvestre cortes cortes </t>
  </si>
  <si>
    <t xml:space="preserve">etapificación </t>
  </si>
  <si>
    <t>gloria castañeda carvajal</t>
  </si>
  <si>
    <t xml:space="preserve">Isaias Arancibia Cortés </t>
  </si>
  <si>
    <t>JOVANSKA IDILIA LILLO REBOLLEDO</t>
  </si>
  <si>
    <t xml:space="preserve">Juan Gutierrez Rojo </t>
  </si>
  <si>
    <t xml:space="preserve">Eduardo Toledo Valdes </t>
  </si>
  <si>
    <t xml:space="preserve">Elda Díaz Díaz </t>
  </si>
  <si>
    <t>CANCER DE VESICULA</t>
  </si>
  <si>
    <t xml:space="preserve">Humberto Michel Ardiles </t>
  </si>
  <si>
    <t>CANCER DE PANCREAS</t>
  </si>
  <si>
    <t>Ines Paez Tapia</t>
  </si>
  <si>
    <t xml:space="preserve">JOSÉ ALEGRE BARRAZA </t>
  </si>
  <si>
    <t xml:space="preserve">juana Farias Farias </t>
  </si>
  <si>
    <t>IRENE AGUILERA CORTÉS</t>
  </si>
  <si>
    <t>K</t>
  </si>
  <si>
    <t>ILLAPEL</t>
  </si>
  <si>
    <t xml:space="preserve">LUIS NIJBORG MAYORGA </t>
  </si>
  <si>
    <t xml:space="preserve">María Aguilera Castillo </t>
  </si>
  <si>
    <t xml:space="preserve">MARTA BARAHONA JIMENEZ </t>
  </si>
  <si>
    <t xml:space="preserve">Seguimiento </t>
  </si>
  <si>
    <t>DESCARTE</t>
  </si>
  <si>
    <t>natalia acevedo gajardo</t>
  </si>
  <si>
    <t>TU NEUROENDOCRINO DE APENDICE CECAL</t>
  </si>
  <si>
    <t xml:space="preserve">HEMICOLECTOMIA </t>
  </si>
  <si>
    <t>Natalio Araya Tirado</t>
  </si>
  <si>
    <t>COLANGIOCARCINOMA</t>
  </si>
  <si>
    <t xml:space="preserve">Ricardo Ganas Villegas </t>
  </si>
  <si>
    <t>HEMANGIOCARCINOMA</t>
  </si>
  <si>
    <t xml:space="preserve">Rodrigo Valdivia </t>
  </si>
  <si>
    <t>Rosa Rojas Ibacache</t>
  </si>
  <si>
    <t>SARA ANACONA VILCHE</t>
  </si>
  <si>
    <t xml:space="preserve">POLIPO DEL COLON </t>
  </si>
  <si>
    <t xml:space="preserve">RAMON VARAS RIVERA </t>
  </si>
  <si>
    <t>YOVANSKA LILLO REBOLLEDO</t>
  </si>
  <si>
    <t>CANCER DE ANO</t>
  </si>
  <si>
    <t xml:space="preserve">VICTOR OPAZO VELIZ </t>
  </si>
  <si>
    <t>FELIX ROJAS GARCIA</t>
  </si>
  <si>
    <t xml:space="preserve">COQUIMBO </t>
  </si>
  <si>
    <t>GERVASIA TAPIA MUJICA</t>
  </si>
  <si>
    <t>JHONNY REVILLA ACOSTA</t>
  </si>
  <si>
    <t xml:space="preserve">luperfino zapata lara </t>
  </si>
  <si>
    <t xml:space="preserve">Nelson Rojas Díaz </t>
  </si>
  <si>
    <t xml:space="preserve">BAUDILIA VEGA PEREZ </t>
  </si>
  <si>
    <t xml:space="preserve">Héctor Araya Lanas </t>
  </si>
  <si>
    <t xml:space="preserve">Oscar Castillo Vergara </t>
  </si>
  <si>
    <t>JHONNY BERNARDO REVILLA ACOSTA</t>
  </si>
  <si>
    <t xml:space="preserve">ALEJANDRO ERNESTO GALLARDO ALBAREZ </t>
  </si>
  <si>
    <t xml:space="preserve">CARMEN ROSA MICHEA </t>
  </si>
  <si>
    <t xml:space="preserve">Segumiento </t>
  </si>
  <si>
    <t>HUGO DEL CARMEN  VILLALOBOS VILLALOBOS</t>
  </si>
  <si>
    <t xml:space="preserve">ROSA CORTES GONZALEZ </t>
  </si>
  <si>
    <t>JUANA CARVAJAL CUELLO</t>
  </si>
  <si>
    <t xml:space="preserve">Adan Chacana Andrade </t>
  </si>
  <si>
    <t>Alamiro Bugueño Carvajal</t>
  </si>
  <si>
    <t>quimioterapia paliativa</t>
  </si>
  <si>
    <t xml:space="preserve">Cecilia Aguilera Navea </t>
  </si>
  <si>
    <t>k</t>
  </si>
  <si>
    <t>?</t>
  </si>
  <si>
    <t xml:space="preserve">Dilema Alfaro Alfaro </t>
  </si>
  <si>
    <t xml:space="preserve">Edilia López Díaz </t>
  </si>
  <si>
    <t xml:space="preserve">Hernan Pizarro Araya </t>
  </si>
  <si>
    <t xml:space="preserve">SEGUMIENTO EN HOSPITAL DE ORIGEN  </t>
  </si>
  <si>
    <t>Hugo Canihuante Canihuante</t>
  </si>
  <si>
    <t>Ivan Vega Jofré</t>
  </si>
  <si>
    <t>Jacqueline Velasquez Aguirre</t>
  </si>
  <si>
    <t>Confirmacion</t>
  </si>
  <si>
    <t xml:space="preserve">Jaime Andrade Tello </t>
  </si>
  <si>
    <t xml:space="preserve">JULIO PASTEN VEGA </t>
  </si>
  <si>
    <t xml:space="preserve">CANCER DE COLON </t>
  </si>
  <si>
    <t>no</t>
  </si>
  <si>
    <t xml:space="preserve">ETAPIFICACION </t>
  </si>
  <si>
    <t xml:space="preserve">Luis Castillo Contreras </t>
  </si>
  <si>
    <t>H. VIÑA DEL MAR</t>
  </si>
  <si>
    <t>Segundo Morgado Pizarro</t>
  </si>
  <si>
    <t>METASPLASIA INTESTINAL</t>
  </si>
  <si>
    <t xml:space="preserve">No </t>
  </si>
  <si>
    <t xml:space="preserve">CURSO </t>
  </si>
  <si>
    <t xml:space="preserve">Sergio Aguilera Salfate </t>
  </si>
  <si>
    <t>quimio paliativa</t>
  </si>
  <si>
    <t>CURSO</t>
  </si>
  <si>
    <t xml:space="preserve">Sonia Araya Araya </t>
  </si>
  <si>
    <t>TU PAPILA DE VATER</t>
  </si>
  <si>
    <t xml:space="preserve">seguimiento </t>
  </si>
  <si>
    <t xml:space="preserve">SEGUIMIENTO </t>
  </si>
  <si>
    <t>Nancy Flores Alvarez</t>
  </si>
  <si>
    <t xml:space="preserve">CARMEN CODOCEO HILDAGO </t>
  </si>
  <si>
    <t>Cirugia en Centro de derivacion</t>
  </si>
  <si>
    <t xml:space="preserve">RICARDO DE LA CRUZ ARAYA RIVERA </t>
  </si>
  <si>
    <t xml:space="preserve">Si </t>
  </si>
  <si>
    <t xml:space="preserve">QUIMIOTERPIA PALIATIVA Y CIRUGIA </t>
  </si>
  <si>
    <t xml:space="preserve">Mario Roblero Roblero </t>
  </si>
  <si>
    <t xml:space="preserve">EGLANTINA OLIVARES DIAZ </t>
  </si>
  <si>
    <t xml:space="preserve">TUMOR HEPATICO </t>
  </si>
  <si>
    <t>NO</t>
  </si>
  <si>
    <t xml:space="preserve">MARIA BUGUEÑO BUGUEÑO </t>
  </si>
  <si>
    <t xml:space="preserve">TRATAMIENTO </t>
  </si>
  <si>
    <t>ruben hernandez</t>
  </si>
  <si>
    <t>MARIA ALEJANDRA SEGOVIA SEGOVIA</t>
  </si>
  <si>
    <t xml:space="preserve">ALTA POR CIRUGIA </t>
  </si>
  <si>
    <t xml:space="preserve">Renato Tapia Nuñez	</t>
  </si>
  <si>
    <t>S/CD</t>
  </si>
  <si>
    <t>Sospecha</t>
  </si>
  <si>
    <t xml:space="preserve">SIN PRESENTAR </t>
  </si>
  <si>
    <t>MAITHE BELEN OLIVARES ROJAS</t>
  </si>
  <si>
    <t xml:space="preserve">SIN BP </t>
  </si>
  <si>
    <t>Egreso</t>
  </si>
  <si>
    <t>SIN PRESENTAR</t>
  </si>
  <si>
    <t>NILDA DEL TRÁNSITO SEGOVIA DONOSO</t>
  </si>
  <si>
    <t xml:space="preserve">LEUCEMIA </t>
  </si>
  <si>
    <t xml:space="preserve">CAUSAL MEDICA </t>
  </si>
  <si>
    <t xml:space="preserve">GES </t>
  </si>
  <si>
    <t>DOSITEO ALONSO IRARRAZABAL CAMUS</t>
  </si>
  <si>
    <t>CUIDADOS PALIATIVOS EXCLUSIVO</t>
  </si>
  <si>
    <t>MARIA GAMBOA DELGADO</t>
  </si>
  <si>
    <t xml:space="preserve">EVALUACION + REEPRESENTACION  </t>
  </si>
  <si>
    <t>OSCAR PIÑONES ROJAS</t>
  </si>
  <si>
    <t>CARLOS LEIVA MOLINA</t>
  </si>
  <si>
    <t>Confirmación</t>
  </si>
  <si>
    <t>FRESIA ARAYA ARAYA</t>
  </si>
  <si>
    <t xml:space="preserve">HEPATOCARCINOMA </t>
  </si>
  <si>
    <t xml:space="preserve">GABRIELA RIVERA RIVERA </t>
  </si>
  <si>
    <t xml:space="preserve">Marta Cortes Araya </t>
  </si>
  <si>
    <t>ANA PILAR ARAYA CARVAJAL</t>
  </si>
  <si>
    <t xml:space="preserve">CANCER DE VESICULA </t>
  </si>
  <si>
    <t>SE DESCARTA CA DE VESICULA EN ABRIL 2024</t>
  </si>
  <si>
    <t>SABA JARUFE HANNEH</t>
  </si>
  <si>
    <t>TU DE PANCREAS</t>
  </si>
  <si>
    <t>CUIDADOS PALIATIVOS EXCLUSIVOS</t>
  </si>
  <si>
    <t>ORIELA DEL ROSARIO RIVERA ROJAS</t>
  </si>
  <si>
    <t>COLOSTOMIA + QMT</t>
  </si>
  <si>
    <t>DILEMA BONILLA BONILLA</t>
  </si>
  <si>
    <t xml:space="preserve">DANILO CONTRERAS ARAYA </t>
  </si>
  <si>
    <t>GIST GASTRICO</t>
  </si>
  <si>
    <t>ALTA POR CIRUGIA EN MAYO</t>
  </si>
  <si>
    <t xml:space="preserve">MARCIA CORTES ADAROS </t>
  </si>
  <si>
    <t xml:space="preserve">OSCAR VILLALOBOS OLIVARES </t>
  </si>
  <si>
    <t>Andres Barrera Bello</t>
  </si>
  <si>
    <t>ca colon</t>
  </si>
  <si>
    <t xml:space="preserve">USUARIO DE SANTIAGO SE REALIZARA CONTROLES DE FORMA PARTICULAR </t>
  </si>
  <si>
    <t xml:space="preserve">BERNARDA BUGUEÑO VALDIVIA </t>
  </si>
  <si>
    <t>CANCER DE VESICULA BILIAR</t>
  </si>
  <si>
    <t xml:space="preserve">ANIBAL LAZO ARAYA </t>
  </si>
  <si>
    <t xml:space="preserve">Bernardo Castro Marquez </t>
  </si>
  <si>
    <t>Ever Asistiri Guarachi</t>
  </si>
  <si>
    <t xml:space="preserve">SE TRASLADO A BOLIVIA </t>
  </si>
  <si>
    <t>GABRIEL GOMEZ GODOY</t>
  </si>
  <si>
    <t xml:space="preserve">JOSE LARA MAYA </t>
  </si>
  <si>
    <t xml:space="preserve">JOSE ARAYA RIOS </t>
  </si>
  <si>
    <t>JUAN PEREZ CARVAJAL</t>
  </si>
  <si>
    <t xml:space="preserve">FALLECIDO </t>
  </si>
  <si>
    <t xml:space="preserve">Juana Torrejon Torrejon </t>
  </si>
  <si>
    <t xml:space="preserve">FALLECIDA </t>
  </si>
  <si>
    <t xml:space="preserve">RAMONA ANGEL CORTES </t>
  </si>
  <si>
    <t>HEPATOCARCINOMA</t>
  </si>
  <si>
    <t xml:space="preserve">Juan De Luca  Miranda </t>
  </si>
  <si>
    <t>SUSANA ZEPEDA ACUÑA</t>
  </si>
  <si>
    <t xml:space="preserve">BERTA EULALIA CORTES </t>
  </si>
  <si>
    <t xml:space="preserve">DIAMANTINA ASTORGA ARAYA </t>
  </si>
  <si>
    <t xml:space="preserve">Diosa Rojas Milla </t>
  </si>
  <si>
    <t xml:space="preserve">DELIA CISTERNAS ROJAS </t>
  </si>
  <si>
    <t>CANCER DE VIA BILIARES</t>
  </si>
  <si>
    <t xml:space="preserve">CUIDADOS PALIATICOS EXCLUSIVOS </t>
  </si>
  <si>
    <t>EMA RUBINA PIZARRO</t>
  </si>
  <si>
    <t>EMILIO GUZMAN CUELLAR</t>
  </si>
  <si>
    <t>JORGE ROJAS TABILO</t>
  </si>
  <si>
    <t>LAURA CAMPOS CORTES</t>
  </si>
  <si>
    <t xml:space="preserve">CARCINOMA PERITONIAL </t>
  </si>
  <si>
    <t>TRATAMIENTO</t>
  </si>
  <si>
    <t>RAQUEL FLORES ROJAS</t>
  </si>
  <si>
    <t>TU ILEON</t>
  </si>
  <si>
    <t xml:space="preserve">CORRESPONDE MANEJO POR HEMATOLOGIA </t>
  </si>
  <si>
    <t xml:space="preserve">TULIO ROJAS ESCOBAR </t>
  </si>
  <si>
    <t xml:space="preserve">ALDO CORTES CORTES </t>
  </si>
  <si>
    <t>ZENON ALFARO RAMIREZ</t>
  </si>
  <si>
    <t>ULISES LEON CASTILLO</t>
  </si>
  <si>
    <t xml:space="preserve">LAURA ROJAS ALVAREZ </t>
  </si>
  <si>
    <t xml:space="preserve">RIO HURTADO </t>
  </si>
  <si>
    <t xml:space="preserve">MANUEL GALLARDO GALLARDO </t>
  </si>
  <si>
    <t xml:space="preserve">MARIA VERGARA VALENZUELA </t>
  </si>
  <si>
    <t xml:space="preserve">CANCER DE PANCREAS </t>
  </si>
  <si>
    <t xml:space="preserve">Mireya Véliz Toro </t>
  </si>
  <si>
    <t xml:space="preserve">Rosa Núñez Ramos </t>
  </si>
  <si>
    <t>BERNARDO URIBE ALVARADO</t>
  </si>
  <si>
    <t xml:space="preserve">SALVA CALDERON ARAYA </t>
  </si>
  <si>
    <t>ROSA MOYA CASTILLO</t>
  </si>
  <si>
    <t xml:space="preserve">CARLOS CARVAJAL MUÑOZ </t>
  </si>
  <si>
    <t xml:space="preserve">ALTA POR CIRUGIA ONCOLOGIA </t>
  </si>
  <si>
    <t>MANUEL CORTES PIZARRO</t>
  </si>
  <si>
    <t>CONFIRMACIÓN</t>
  </si>
  <si>
    <t xml:space="preserve">MARCOS GUERRERO GUERRERO </t>
  </si>
  <si>
    <t>JESUS LOPEZ TAPIA</t>
  </si>
  <si>
    <t>PRIMARIO DESCONOCIDO MT HEPATICA</t>
  </si>
  <si>
    <t>MARTA CONTRERAS ARANCIBIA</t>
  </si>
  <si>
    <t xml:space="preserve">CANCER DE LA VESICULA BILIAR </t>
  </si>
  <si>
    <t xml:space="preserve">JUAN RIVERA CORTES </t>
  </si>
  <si>
    <t>SEGUIMIENTO</t>
  </si>
  <si>
    <t>VICTOR COLLAO HERNANDEZ</t>
  </si>
  <si>
    <t>SE DECIDE BP Y REPRESENTAR</t>
  </si>
  <si>
    <t>ELSA DUBO BUGUEÑO</t>
  </si>
  <si>
    <t xml:space="preserve">CARLOS NUÑEZ RUEDA </t>
  </si>
  <si>
    <t>SE SOLICITA EVALUACIÓN EN ONCOLOGIA MEDICA PARA TRATAMIENTO DE QMT</t>
  </si>
  <si>
    <t>SE REALIZA DERIVACIÓN EN HOSPITAL DE LA SERENA EN TRATAMIENTO DE QMT</t>
  </si>
  <si>
    <t>2 MESES</t>
  </si>
  <si>
    <t>ENFERMERA</t>
  </si>
  <si>
    <t>MOISÉS DE LAS MERCED ALFARO ALFARO</t>
  </si>
  <si>
    <t>RT</t>
  </si>
  <si>
    <t>16-08 EL DR SALAS SOLICITA EDA Y TAC TAP CONTROL CON RESULTADOS //tac listo, falta eda</t>
  </si>
  <si>
    <t>DR ROMERO</t>
  </si>
  <si>
    <t>SIEGMUND HAGEN ALFARO</t>
  </si>
  <si>
    <t>Se presentará caso en reunión del comité oncológico regional digestivo bajo. 
Se entrega receta medica por Zopiclona. 
Se solicita nueva TAC de tórax contrastada. 
Control con decisión el comité.</t>
  </si>
  <si>
    <t>1 MES</t>
  </si>
  <si>
    <t xml:space="preserve">DR RODRIGUEZ </t>
  </si>
  <si>
    <t>AGUSTINA GARCIA ALEGRE</t>
  </si>
  <si>
    <t>EN  CUIDADOS PALIATIVOS EXCLUSIVOS</t>
  </si>
  <si>
    <t>3 MESES</t>
  </si>
  <si>
    <t xml:space="preserve">ENFERMERA </t>
  </si>
  <si>
    <t xml:space="preserve">ITALIA DEL CARMEN RAMIREZ GOMEZ </t>
  </si>
  <si>
    <t xml:space="preserve">CORRSPONDE IQ </t>
  </si>
  <si>
    <t>ALTA POR POLI DE ONCOLOGIA POR CUMPLIMIENTO DE 5 AÑOS DE SEGUIMIENTO</t>
  </si>
  <si>
    <t>26-08 DR MIRANDA SOLICITA ESTUDIOS DE SEGUIMIENTO COLONO , TAC TAP Y EXA</t>
  </si>
  <si>
    <t xml:space="preserve">DR. RODRIGUEZ </t>
  </si>
  <si>
    <t>BERNARDITA FERNANDEZ CUELLO</t>
  </si>
  <si>
    <t xml:space="preserve">CUIDADOS PALIATIVOS EXCLUSIVOS </t>
  </si>
  <si>
    <t xml:space="preserve">USUARIA EN CUIDADOS PALIATIVOS EXCLUSIVOS POR CONDICIONES DE SALUD </t>
  </si>
  <si>
    <t>3 MES</t>
  </si>
  <si>
    <t xml:space="preserve">AMADOR PASTEN ROBLES </t>
  </si>
  <si>
    <t xml:space="preserve">USUARIO HOSPITALIZADO, PENDIENTE BP POST OPERATORIA DE CIRUGIA DE URGENCIA CA DE COLON </t>
  </si>
  <si>
    <t>MONICA CAMUS MANZANO</t>
  </si>
  <si>
    <t>CORRESPONDE DERIVAR A ONCOLOGIA MEDICA PARA QMT ADYUVANTE UNA VEZ DADO DE ALTA</t>
  </si>
  <si>
    <t xml:space="preserve">USUARIA CON HD, DR MANUEL INDICA EXAMENES DE LAB Y CONTROL EN 3 MESES </t>
  </si>
  <si>
    <t xml:space="preserve">RAUL VALENZUELA VALENZUELA </t>
  </si>
  <si>
    <t xml:space="preserve">INTERVENCIIÓN QUIRURGICA EN HOSPITAL DE LA SERENA </t>
  </si>
  <si>
    <t xml:space="preserve">SE DERIVA AL HLS PARA EVALUACIÓN POR CIRUGIA DIGESTIVA </t>
  </si>
  <si>
    <t>LLAMAR A PACIENTE</t>
  </si>
  <si>
    <t>MARIO OLIVARES CASTILLO</t>
  </si>
  <si>
    <t>EN CUIDADOS PALIATIVOS EXCLUSIVOS POR RECHAZO DE PACIENTE A IQ</t>
  </si>
  <si>
    <t>HÉCTOR LUIS CORTÉS MUÑOZ</t>
  </si>
  <si>
    <t>DIGESTIVO ALTO</t>
  </si>
  <si>
    <t xml:space="preserve">CORRESPONDE CUIDADOS PALIATIVOS EXCLUSIVOS </t>
  </si>
  <si>
    <t>COMITÉ CUIDADOS PALIATIVOS EXCLUSIVOS, POR ECOG Y RECHAZO DE TRATAMIENTO.</t>
  </si>
  <si>
    <t xml:space="preserve">MANUELA DE JESUS JUICA LOPEZ </t>
  </si>
  <si>
    <t>DIGESTIVO BAJO</t>
  </si>
  <si>
    <t xml:space="preserve">REEVALUACION + SEGUIMIENTO </t>
  </si>
  <si>
    <t>USUARIA EN EVALUACIONES POR CARDIO PARA PASE PARA QMT. SOLITA ESTUDIOS Y LUEGO CONTROL</t>
  </si>
  <si>
    <t>ESTUDIO EN GESTIONES</t>
  </si>
  <si>
    <t>BERLIN GUERRERO CARVAJAL</t>
  </si>
  <si>
    <t>DERIVACION A ONCO PARA QUIMIO PERIOPERATORIA</t>
  </si>
  <si>
    <t xml:space="preserve">SE CITARA A POLI PARA ENTREGA DE RESOLUCION DE COMITÉ </t>
  </si>
  <si>
    <t>DR SALAS</t>
  </si>
  <si>
    <t>LEONEL VILLALOBOS BARRAZA</t>
  </si>
  <si>
    <t xml:space="preserve">LOS VILOS </t>
  </si>
  <si>
    <t>TUMOR DE PANCREAS</t>
  </si>
  <si>
    <t>ETAPIFICACION</t>
  </si>
  <si>
    <t xml:space="preserve">SE ENCUENTRA GESTIONES ESTUDIOS DE EXTENSIÓN </t>
  </si>
  <si>
    <t>ANA LAZO ARAYA</t>
  </si>
  <si>
    <t xml:space="preserve">TU PERIAMPULAR </t>
  </si>
  <si>
    <t>SOSPECHA</t>
  </si>
  <si>
    <t xml:space="preserve">CONTROL CON ESTUDIOS </t>
  </si>
  <si>
    <t xml:space="preserve">NANCY CHOQUE MONTES </t>
  </si>
  <si>
    <t xml:space="preserve">FALLECIDA AUN NO HAY REGISTRO </t>
  </si>
  <si>
    <t>LUISA MERY GARCIA</t>
  </si>
  <si>
    <t xml:space="preserve">DIGESTIVO BAJO </t>
  </si>
  <si>
    <t xml:space="preserve">PENDIENTE ETAPIFICACION , PENDIENTE REALIZACION DE TAC DE TORAX </t>
  </si>
  <si>
    <t>MARIO LEIVA ALVARADO</t>
  </si>
  <si>
    <t>CORRESPONDE CUIDADOS PALIATIVOS EXCLUSIVOS, COLOSTOMIA EN ASA</t>
  </si>
  <si>
    <t>SE ENTREGA SET QUIRURGICO A PREQUIRURGICA</t>
  </si>
  <si>
    <t xml:space="preserve">MIGUEL CORTES JAIME </t>
  </si>
  <si>
    <t xml:space="preserve">DERIVAR A ONCOLOGIA MEDICA PARA EVALUAR QMT PALIATIVA </t>
  </si>
  <si>
    <t xml:space="preserve">USUARIA HOSPITALIZADO AÚN, SE DERIVA AL HLS </t>
  </si>
  <si>
    <t xml:space="preserve">ENFERMERIA </t>
  </si>
  <si>
    <t>CARLOS PONCE ANDRADE</t>
  </si>
  <si>
    <t xml:space="preserve">CANCER DE COLON MT HEPATICA </t>
  </si>
  <si>
    <t xml:space="preserve">PACIENTE EN CUIDADOS PALIATIVOS EXCLUSIVOS </t>
  </si>
  <si>
    <t>COSME LOPEZ DIAZ</t>
  </si>
  <si>
    <t xml:space="preserve">CANCER DE COLON SIGMOIDE + ILEON DISTAL </t>
  </si>
  <si>
    <t>TRAS DECISIÓN DE ULTIMO COMITÉ ONCOLOGICO PACIENTE SE MANTIENE CON CUIDADOS PALIATIVOS</t>
  </si>
  <si>
    <t>GUILLERMO ANTONIO SEGOVIA</t>
  </si>
  <si>
    <t xml:space="preserve">SE INDICA COLOSTOMIA </t>
  </si>
  <si>
    <t>USUARIO RECHAZA INTERVENCIÓN QUIRURGICA</t>
  </si>
  <si>
    <t>ALBERTO CORTES CORTES</t>
  </si>
  <si>
    <t>OBS CANCER DE PANCREAS</t>
  </si>
  <si>
    <t xml:space="preserve">SE SOLICITA PET-CT FDF Y EXAMEN IGG4 Y REPRESENTAR CON ESTUDIOS </t>
  </si>
  <si>
    <t xml:space="preserve">SE DESCARTA NEOPLASIA </t>
  </si>
  <si>
    <t xml:space="preserve">PENDIENTE AGENDAMIENTO PARA PET-CT Y LUEGO PRESENTAR CON RESULTADOS </t>
  </si>
  <si>
    <t>YOLANDA RODRIGUEZ CARVAJAL</t>
  </si>
  <si>
    <t xml:space="preserve">CORRESPONDE QMT 1 LINEA PALIATIVA CON CATETER FOLFOX </t>
  </si>
  <si>
    <t xml:space="preserve">SE SUSPENDE TRATAMIENTO DE QMT POR INFECCION URINARIA </t>
  </si>
  <si>
    <t>NORMA ALFARO ALFARO</t>
  </si>
  <si>
    <t>CORRESPONDE CUIDADOS PALIATIVOS EXCLUSIVOS</t>
  </si>
  <si>
    <t xml:space="preserve">USUARIA EN CUIDADOS PALIATIVOS EXCLUSIVOS </t>
  </si>
  <si>
    <t xml:space="preserve">AURORA OLMOS ROJAS </t>
  </si>
  <si>
    <t>SANTIAGO</t>
  </si>
  <si>
    <t>SIN  PRESENTAR</t>
  </si>
  <si>
    <t xml:space="preserve">SANTIAGO </t>
  </si>
  <si>
    <t xml:space="preserve">USUARIA ATENNDIENDOSE EN CLINICA EN SANTIAGO POR SU CANCER DE VESICULA, EN CUIDADOS PALIATIVOS POR HOV </t>
  </si>
  <si>
    <t xml:space="preserve">3 MESES </t>
  </si>
  <si>
    <t>MIRTA ALVARADO CORTES</t>
  </si>
  <si>
    <t>COMPLETAR 8 CICLOS DE QMT Y CONTINUAR EN CPYAD</t>
  </si>
  <si>
    <t xml:space="preserve">SE ENVIA PROTOCOLO OPERATORIO A HLS PARA COMIENZO DE TTO DE QMT </t>
  </si>
  <si>
    <t>JOSE FIGUEROA CAAMAÑO</t>
  </si>
  <si>
    <t xml:space="preserve">SE INDICA CUIDADOS PALIATIVOS POR RECHAZO DE CIRUGIA </t>
  </si>
  <si>
    <t xml:space="preserve">SE INDICA CUIDADOS PALIATIVOS Y ALIVIO DE DOLOR POR RECHAZO DE PACIENTE A CIRUGIA EN HLS </t>
  </si>
  <si>
    <t xml:space="preserve">AMADIEL PIÑONES PIÑONES </t>
  </si>
  <si>
    <t xml:space="preserve">SE PRESENTARA A COMITÉ ONCOLOGICO/ ACTUALMENTE HOSPITALIZADO </t>
  </si>
  <si>
    <t>NAIDA CORTES CORTES</t>
  </si>
  <si>
    <t>TUMOR HEPATICO</t>
  </si>
  <si>
    <t>18-12 DR AZUA SOLICITA EXAMENES DE LAB Y TAC TAP</t>
  </si>
  <si>
    <t>HERMAN DEL ROSARIO BUGUEÑO RIVERA</t>
  </si>
  <si>
    <t xml:space="preserve">CORRESPONDE CUIDADOS PALIATIVOS EXCLUSIVOS POR ECOG </t>
  </si>
  <si>
    <t xml:space="preserve">EN CUIDADOS PALIATIVOS EXCLUSIVOS </t>
  </si>
  <si>
    <t>ITALO PIZARRO CARVAJAL</t>
  </si>
  <si>
    <t>SEGUIMIENTO POR CIRUGIA DIGESTIVA</t>
  </si>
  <si>
    <t>SE CAMBIO DE DOMICILIO A HSP</t>
  </si>
  <si>
    <t>USUARIO EN CONTROLES POR HOSPITAL DE COQUIMBO</t>
  </si>
  <si>
    <t>4 MESES</t>
  </si>
  <si>
    <t>JUAN ARAYA GALLARDO</t>
  </si>
  <si>
    <t>SE DECIDE DERIVACIÓN A ONCOLOGIA HLS PARA QMT</t>
  </si>
  <si>
    <t xml:space="preserve">USUARIO SE DERIVA A HLS PARA CONTROL POR ONCOLOGIA MEDICA, SE ENVIAN ANTECEDENTES </t>
  </si>
  <si>
    <t>MERCEDES RAMIREZ MUÑOZ</t>
  </si>
  <si>
    <t>CITADA AL POLI EL 12-11-2024</t>
  </si>
  <si>
    <t>MIRNA RAMOS SANTANDER</t>
  </si>
  <si>
    <t>SEGUMIENTO</t>
  </si>
  <si>
    <t>CORRESPONDE CUDIADOS PALIATIVOS EXCLUSIVOS</t>
  </si>
  <si>
    <t>ADRIANA AVALOS GONZALEZ</t>
  </si>
  <si>
    <t xml:space="preserve">11-2023 PACIENTE RECHAZA TODO TIPO DE EXAMENES Y NO SE PRESENTA A CITACION DE TAC </t>
  </si>
  <si>
    <t xml:space="preserve">TERESA ROJAS MARIN </t>
  </si>
  <si>
    <t>PACIENTE RECHAZA TRATAMIENTO QX, CUIDADOS PALIATIVOS EXCLUSIVOS</t>
  </si>
  <si>
    <t>LUIS ARAYA TAPIA</t>
  </si>
  <si>
    <t xml:space="preserve">SEGUIMIENTO Y CUIDADOS PALIATIVOS EXCLUSIVOS </t>
  </si>
  <si>
    <t>USUARIO PRESENTADO EN COMITÉ POR HLS, SE DECIDE SEGUIMIENTO Y CUIDADOS PALIATIVOS EXCLUSIVOS</t>
  </si>
  <si>
    <t>MARINA LUNA DIAZ</t>
  </si>
  <si>
    <t xml:space="preserve">USUARIA EN ATENCIONES POR OTRO CENTRO RECHAZA ATENCIONES EN HOV/ SE DEJA ESCRITO EN FICHA </t>
  </si>
  <si>
    <t xml:space="preserve">ENFEMERA </t>
  </si>
  <si>
    <t>MARIO CRUZ COX</t>
  </si>
  <si>
    <t>ECOG 2 Y EVALUACION POR SALUD MENTAL</t>
  </si>
  <si>
    <t xml:space="preserve">USUARIO SE TRASLADO A HOSPITAL DE ANTOFAGASTA </t>
  </si>
  <si>
    <t>OLGA CASTILLO ZAPATA</t>
  </si>
  <si>
    <t xml:space="preserve">SE SOLICITA ENDOSONORGRAFIA Y LUEGO DERIVAR A QMT </t>
  </si>
  <si>
    <t xml:space="preserve">PENDIENTE ESTUDIO DE ENDOSONAGRAFIA </t>
  </si>
  <si>
    <t>LUIS PEREZ CANIBILO</t>
  </si>
  <si>
    <t>CITOADENOMA BILIAR</t>
  </si>
  <si>
    <t xml:space="preserve">INTERVENCIÓN QUIRURGICA EN HOSPITAL DE LA SERENA </t>
  </si>
  <si>
    <t xml:space="preserve">USUARIO SE DERIVA A HLS PARA CONTROL POR CIRUGIA DIGESTIVA ALTO </t>
  </si>
  <si>
    <t>LUIS PIZARRO BARRAZA</t>
  </si>
  <si>
    <t>SE DERIVA A HLS PARA TTO DE QMT PALIATIVA</t>
  </si>
  <si>
    <t>USUARIO EN CONTROLES DE QUIMIOTERAPIA EN HLS</t>
  </si>
  <si>
    <t>ROSA INELIA ACUÑA</t>
  </si>
  <si>
    <t xml:space="preserve">CUIDADOS PALIATVOS EXCLUSIVOS Y SEGUIMIENTO EN HOSPITAL DE OVALLE </t>
  </si>
  <si>
    <t xml:space="preserve">USUARIA EN CUIDADOS PALIATIVOS EXCLUSIVOS Y SEGUIMIENTO EN HOV </t>
  </si>
  <si>
    <t>ELIANA ARAYA CARMONA</t>
  </si>
  <si>
    <t>DERIVAR A CIRUGIA DE LA SERENA PARA EVENTUAL CIRUGIA</t>
  </si>
  <si>
    <t xml:space="preserve">USUARIA INTERVENIDA QUIRURGICAMENTE EN HLS CON RESULTADO DE BP, PENDIENTE PRESENTACION A COMITÉ POR HLS </t>
  </si>
  <si>
    <t>CARLOS JIMENEZ GONZALEZ</t>
  </si>
  <si>
    <t xml:space="preserve">PENDIENTE BIOPSIA POST OPERATORIO </t>
  </si>
  <si>
    <t>DR RODRIGUEZ</t>
  </si>
  <si>
    <t>OLIVIA VARGAS GONZÁLEZ</t>
  </si>
  <si>
    <t xml:space="preserve">SEGUIMIENTO  </t>
  </si>
  <si>
    <t>ALTA POR CIRUGIA ONCO</t>
  </si>
  <si>
    <t xml:space="preserve">02-2024 SIN SIGNOS DE RECIDIVA // CONTROLES ANUALES </t>
  </si>
  <si>
    <t>ANUAL</t>
  </si>
  <si>
    <t xml:space="preserve">SEGUNDO LEON GUTIERREZ </t>
  </si>
  <si>
    <t>USUARIO RECHAZA INTERVENCIÓN QUIRURGICA/ EN CUIDADOS PALIATIVOS EXCLUSIVOS/ ULTIMA ATENCION EN NOV 2024</t>
  </si>
  <si>
    <t>ROSA MALUENDA ADONES</t>
  </si>
  <si>
    <t>EN CUIDADOS PALIATIVOS EXCLUSIVOS</t>
  </si>
  <si>
    <t>15-04-2025</t>
  </si>
  <si>
    <t>16-07-2025</t>
  </si>
  <si>
    <t>PEDRO ANDRADES ANDRADES</t>
  </si>
  <si>
    <t>TRATAMIENTO DE QMT EN HLS</t>
  </si>
  <si>
    <t xml:space="preserve">USUARIO EN ATENCIONES POR ONCOLOGIA MEDICA Y EN TRATAMIENTO DE QMT </t>
  </si>
  <si>
    <t>ZUNILDA GARCÍA MUÑOZ</t>
  </si>
  <si>
    <t>QMT ADYUDANTE</t>
  </si>
  <si>
    <t xml:space="preserve">SE REALIZA TAC TAP Y EXAMENES DE LABORATORIO, COLONOSCOPIA </t>
  </si>
  <si>
    <t xml:space="preserve">PENDIENTE CITAR A POLICLINICO </t>
  </si>
  <si>
    <t>MARTA LAGUNAS MARTINEZ</t>
  </si>
  <si>
    <t>TUMOR NEUROENDOCRINO INTESTINAL</t>
  </si>
  <si>
    <t xml:space="preserve">MARIA GODOY VELASQUEZ </t>
  </si>
  <si>
    <t xml:space="preserve">SE DECIDE CUIDADOS PALIATIVOS EXCLUSIVOS </t>
  </si>
  <si>
    <t>MARCIA PONCE ARAYA</t>
  </si>
  <si>
    <t>TRATAMIEMTO</t>
  </si>
  <si>
    <t xml:space="preserve">CORRESPONDE TRATAMIENTO DE QMT PALIATIVO </t>
  </si>
  <si>
    <t xml:space="preserve">USUARIA EN TRATAMIENTO DE QUIMIOTERAPIA EN HOSPITAL DE LA SERENA </t>
  </si>
  <si>
    <t>ANGÉLICA  CAIMANQUE CASTILLO</t>
  </si>
  <si>
    <t xml:space="preserve">25-01 SE SOLICITA ESTUDIOS DE SEGUIMIENTO EN ABRIL SE GESTIONARA YA QUE SE ENCUENTRA EN IQUIQUE </t>
  </si>
  <si>
    <t>JUAN AGUIRRE ARREDONDO</t>
  </si>
  <si>
    <t>10-2023 PCTE EN ATENCIONES POR HLS</t>
  </si>
  <si>
    <t>JOSE BARRAZA HONORES</t>
  </si>
  <si>
    <t xml:space="preserve">SE INDICA CUIDADOS PALIATIVOS EXCLUSIVOS Y CONTROL EN 1 MES </t>
  </si>
  <si>
    <t xml:space="preserve">SE GESTIONARA CONTROL MEDICO </t>
  </si>
  <si>
    <t>PILAR BUGUEÑO ALUCEMA</t>
  </si>
  <si>
    <t xml:space="preserve">RADIOTERAPIA PALIATIVA Y QMT Y EVALUACION POR UROLOGIA </t>
  </si>
  <si>
    <t>FALLECIDA</t>
  </si>
  <si>
    <t xml:space="preserve">SE REPRESENTARA EN COMITÉ DE RADIOTERAPIA CON NUEVOS ANTECEDENTES. </t>
  </si>
  <si>
    <t>SERGIO DEL ROSARIO CARVAJAL</t>
  </si>
  <si>
    <t xml:space="preserve">CONFIRMACICÓN </t>
  </si>
  <si>
    <t xml:space="preserve">PENDIENTE AGENDAR POR UNIDAD GES </t>
  </si>
  <si>
    <t>GLADYS VEGA BARRAZA</t>
  </si>
  <si>
    <t>MONTE PATRIA</t>
  </si>
  <si>
    <t xml:space="preserve">PRESENTAR EN COMITÉ DE RADIOTERAPIA </t>
  </si>
  <si>
    <t xml:space="preserve">SE PRESENTARA A COMITÉ DE RADIOTERAPIA </t>
  </si>
  <si>
    <t>DR MIRANDA</t>
  </si>
  <si>
    <t>MANUELA VARGAS VEGA</t>
  </si>
  <si>
    <t xml:space="preserve">SIN BIOPSIA </t>
  </si>
  <si>
    <t>CORRESPONDE CUIDADOS PALIATIVOZ EXCLUSIVOS</t>
  </si>
  <si>
    <t xml:space="preserve">09-07 CORRESPONDE CUIDADOS PALIATIVOS EXCLUSIVOS </t>
  </si>
  <si>
    <t>ANDRES MOYA ANGEL</t>
  </si>
  <si>
    <t xml:space="preserve">USUARIO CORRESPONDE CUIDADOS PALIATIVOS EXCLUSIVOS </t>
  </si>
  <si>
    <t>TERESA ASTUDILLO GALLARDO</t>
  </si>
  <si>
    <t>JUAN BECERRA ARAYA</t>
  </si>
  <si>
    <t>TUMOR DE COLA DEL PANCREAS</t>
  </si>
  <si>
    <t xml:space="preserve">SE DERIVA A LA SERENA PARA TOMA DE BP DE METASTASIS HEPATICA </t>
  </si>
  <si>
    <t xml:space="preserve">SE DERIVA A HLS PARA  TOMA DE BIOPSIA DE METASTASIS HEPATICA, PENDIENTE RESULTADO DE BP / TAC REALIZADO </t>
  </si>
  <si>
    <t>EDITH  ORREGO PARRA</t>
  </si>
  <si>
    <t>ALBERTINA MUÑOZ MARQUEZ</t>
  </si>
  <si>
    <t>EVALUACION POR CIRUGIA DIGESTIVA</t>
  </si>
  <si>
    <t>OSCAR SEGOVIA ORTIZ</t>
  </si>
  <si>
    <t>TRATAMIENTO DE QMT PERIOPERATORIA</t>
  </si>
  <si>
    <t xml:space="preserve">02-04 DR SALAS INDICA NUEVA EDA Y TAC TAP PARA PRESENTAR EN COMITÉ </t>
  </si>
  <si>
    <t>MARIELA PUJADO SALAS</t>
  </si>
  <si>
    <t xml:space="preserve">DERIVAR A ONCOLOGIA MEDICA </t>
  </si>
  <si>
    <t>USUARIA EN ATENCIONES POR ONCOLOGIA MEDICA Y EN TTO DE QMT</t>
  </si>
  <si>
    <t xml:space="preserve">MARÍA IBET ANGEL GÓMEZ </t>
  </si>
  <si>
    <t xml:space="preserve">USUARIA RECHAZA COLONOSCOPIA // PERO SE REALIZARA TAC Y EXAMENES </t>
  </si>
  <si>
    <t>HERNAN CARVAJAL OLIVARES</t>
  </si>
  <si>
    <t xml:space="preserve">PACIENTE RECHAZA QMT// CUIDADOS PALIATIVOS EXCLUSIVOS </t>
  </si>
  <si>
    <t>RAMIRO CASTILLO CASTILLO</t>
  </si>
  <si>
    <t>DERIVAR A ONCOLOGIA PARA TTO DE QMT</t>
  </si>
  <si>
    <t xml:space="preserve">27/06: SE REALIZA GESTION DE IC A HLS PARA INICIAR QMT CON FOLFINIROX Y REEVALUACION CON IMÁGENES AL CUMPLIR EL 6TO CICLO. </t>
  </si>
  <si>
    <t>LUIS ACUÑA LEIVA</t>
  </si>
  <si>
    <t>QMT PALIATIVA</t>
  </si>
  <si>
    <t>EN TRATAMIENTO ONCOLOGICO POR ESTUDIO CLINICO EN SANTIAGO Y CUIDADOS PALIATIVOS. HOV</t>
  </si>
  <si>
    <t xml:space="preserve">MIGUEL VEGA VEGA </t>
  </si>
  <si>
    <t xml:space="preserve">USUARIO DERIVADO SEGUNDO PRESTADOR A CLINICA DEL MAR, CULMINO TRATAMIENTO DE QMT, A LA ESPERA DE INTERVENCION QUIRURGICA. </t>
  </si>
  <si>
    <t xml:space="preserve">ADAN CONTRERAS CONTRERAS </t>
  </si>
  <si>
    <t>PENDIENTE AGENDAMIENTO POR GES</t>
  </si>
  <si>
    <t>PEDRO RODRIGUEZ -</t>
  </si>
  <si>
    <t>JUAN MIRANDA VILLALOBOS</t>
  </si>
  <si>
    <t>30-04-2025</t>
  </si>
  <si>
    <t xml:space="preserve">DERIVAR ONCOLOGIA PARA QMT NEOADYUVANTE, PREVIO INSTALACION DE CATETER </t>
  </si>
  <si>
    <t xml:space="preserve">EN PREPARACIÓN DE INSTALACION DE CATETER </t>
  </si>
  <si>
    <t xml:space="preserve">DR SALAS </t>
  </si>
  <si>
    <t>30-0-5-2025</t>
  </si>
  <si>
    <t xml:space="preserve">HECTOR ARDILES RODRIGUEZ </t>
  </si>
  <si>
    <t xml:space="preserve">IRMA VEGA VEGA </t>
  </si>
  <si>
    <t xml:space="preserve">CORRESPONDE INSTALACION DE PROTESIS Y DERIVAR A ONCOLOGIA MEDICA </t>
  </si>
  <si>
    <t xml:space="preserve">PENDIENTE INSTALACION DE CATETER  EN HOV + INSTALACION DE PROTESIS ESOFAGICA </t>
  </si>
  <si>
    <t>CESAR LUNA YAÑEZ</t>
  </si>
  <si>
    <t xml:space="preserve">MARIA CORTES RIVADENEIRA </t>
  </si>
  <si>
    <t>COMBARBALA</t>
  </si>
  <si>
    <t>NORMA  TORRES MARÍN</t>
  </si>
  <si>
    <t xml:space="preserve">EVALUACION POR CX </t>
  </si>
  <si>
    <t xml:space="preserve">USUARIA EN ESPERA DE DRENAJE EN LA FALP </t>
  </si>
  <si>
    <t xml:space="preserve">DR CALDERA </t>
  </si>
  <si>
    <t>5/202/2025</t>
  </si>
  <si>
    <t xml:space="preserve">LUIS VEGA ARAYA </t>
  </si>
  <si>
    <t>CESAR ARAYA VERA</t>
  </si>
  <si>
    <t xml:space="preserve">COMPLETAR QMT  EN HOSPITAL DE  LA SERENA </t>
  </si>
  <si>
    <t xml:space="preserve">SE AGENDARA A CONTROL CON CIRUGIA DIGESTIVA </t>
  </si>
  <si>
    <t xml:space="preserve">NICANOR BUGUEÑO ROJAS </t>
  </si>
  <si>
    <t xml:space="preserve">OVALLE </t>
  </si>
  <si>
    <t xml:space="preserve">TUMOR DE LA VIA BILIAR </t>
  </si>
  <si>
    <t xml:space="preserve">SE PRESENTARA A COMITÉ ONCOLOGICO / SE CITARA A CONTROL CON CIRUGIA </t>
  </si>
  <si>
    <t xml:space="preserve">DR REY </t>
  </si>
  <si>
    <t xml:space="preserve">BAIRON CARVAJAL ROJAS </t>
  </si>
  <si>
    <t xml:space="preserve">TUMOR DE PANCREAS </t>
  </si>
  <si>
    <t>CORRESPONDE REALIZAR RNM Y REPRESENTAR</t>
  </si>
  <si>
    <t>MANEJO POR HEMATOLOGIA</t>
  </si>
  <si>
    <t xml:space="preserve">CORRESPONDE REALZIAR RNM DE ABDOMEN Y REPRESENTAR </t>
  </si>
  <si>
    <t xml:space="preserve">ALEXIS MARIN VILLALOBOS </t>
  </si>
  <si>
    <t>QUIMIOTERAPIA PRIMERA LINEA FOLFIRI</t>
  </si>
  <si>
    <t>USUARIO EN TRATAMIENTO DE QMT EN HOSPITAL DE LA SERENA</t>
  </si>
  <si>
    <t>NELA PALACIOS MARTINEZ</t>
  </si>
  <si>
    <t xml:space="preserve">CORRRESPONDE CUIDADOS PALIATIVOS EXCLUSIVOS </t>
  </si>
  <si>
    <t>CRISTIAN CORTES PASTEN</t>
  </si>
  <si>
    <t xml:space="preserve">SE REPRESENTARA A COMITR ONCOLOGICO </t>
  </si>
  <si>
    <t>DR REY</t>
  </si>
  <si>
    <t>DIAGNOSTICO</t>
  </si>
  <si>
    <t>ESPECIALIDAD</t>
  </si>
  <si>
    <t xml:space="preserve">SEGUIMIENTO ENFERMERIA </t>
  </si>
  <si>
    <t xml:space="preserve">PERIODICIDAD DE SEGUIMIENTO </t>
  </si>
  <si>
    <t xml:space="preserve">PROFESIONAL </t>
  </si>
  <si>
    <t>Fecha ultimo Control</t>
  </si>
  <si>
    <t xml:space="preserve">Fecha proximo Control </t>
  </si>
  <si>
    <t>Dias Disponibles</t>
  </si>
  <si>
    <t>Estado</t>
  </si>
  <si>
    <t>ESTER  ROBLEDO ALFARO</t>
  </si>
  <si>
    <t xml:space="preserve">CORRESPONDE CONTROL ANUAL  </t>
  </si>
  <si>
    <t>GUSTAVO CORTEZ ROJAS</t>
  </si>
  <si>
    <t xml:space="preserve">SEGUIMIENTO Y CONTROL EN 1 AÑO </t>
  </si>
  <si>
    <t>ROSSANA CELIS LORCA</t>
  </si>
  <si>
    <t>USUARIA EN TRATAMIENTO DE QUIMIOTERAPIA EN HLS</t>
  </si>
  <si>
    <t>HUGO  TEJADA TEJADA</t>
  </si>
  <si>
    <t xml:space="preserve">04-11 DR SALAS INDICA SEGUIMIENTO CON ESTUDIOS ANUAL </t>
  </si>
  <si>
    <t>MAGDALENA  ROJAS MATUZ</t>
  </si>
  <si>
    <t xml:space="preserve">15-12 DR REY INDICA CONTROL CON EXAMENES Y TAC TAP </t>
  </si>
  <si>
    <t>11 MESES</t>
  </si>
  <si>
    <t>GABRIEL LARA GALLEGUILLOS</t>
  </si>
  <si>
    <t>USUARIO AGENDADO A CONTROL A CON CIRUGIA EN HLS AGENDADO PARA EL 28-10-2025</t>
  </si>
  <si>
    <t xml:space="preserve">JUAN VEGA HIDALGO </t>
  </si>
  <si>
    <t xml:space="preserve">COMPLETAR QMT </t>
  </si>
  <si>
    <t xml:space="preserve">PENDIENTE EDA </t>
  </si>
  <si>
    <t xml:space="preserve">CONTROL EN 1 AÑO CON EDA Y TAC TAP/ SE SOLICITAN EXAMENES DE SEGUIMIENTO PARA CONTROL </t>
  </si>
  <si>
    <t>CARLOS MILLA OLIVARES</t>
  </si>
  <si>
    <t xml:space="preserve">RADIOQUIMIOTERAPIA </t>
  </si>
  <si>
    <t xml:space="preserve">USUARIO ATENDIENDOSE DE FORMA PARTICULAR POR SU SEGUIMIENTO DE CANCER DE ESOFAGO </t>
  </si>
  <si>
    <t xml:space="preserve">CAROLA  MONTALBÁN ALUCEMA </t>
  </si>
  <si>
    <t>AGENDAR A CONTROL</t>
  </si>
  <si>
    <t xml:space="preserve">28-11 CONTROL EN 3 MESES CON EVALUACIÓN POR NUTRICIONISTA  Y 6 MESES POR CIRUGIA DIGESTIVA </t>
  </si>
  <si>
    <t>6 MESES</t>
  </si>
  <si>
    <t xml:space="preserve">HECTOR CORTES OLIVARES </t>
  </si>
  <si>
    <t>DR REY  INDICA CONTROL CON ESTUDIOS DE EXAMENES Y TAC TAP EN OCTUBRE 2026</t>
  </si>
  <si>
    <t>10 MESES</t>
  </si>
  <si>
    <t xml:space="preserve">DOMINGA TABILO TABILO	</t>
  </si>
  <si>
    <t xml:space="preserve">03-11 DR REY INDICA CONTROL EN 6 MESES  PARA EVALUACIÓN Y POSIBLE ESTUDIO IMAGENOLOGICO </t>
  </si>
  <si>
    <t>JUAN CARVAJAL ÓRDENES</t>
  </si>
  <si>
    <t xml:space="preserve">QMT </t>
  </si>
  <si>
    <t xml:space="preserve">CORRESPONDE CONTROL ANUAL CON ESTUDIOS DE SEGUIMIENTO </t>
  </si>
  <si>
    <t>SERGIO PIZARRO ROBLES</t>
  </si>
  <si>
    <t>15-09 DR SALAS INDICA EDA, TAC TAP Y EXAMENES CONTROL EN 1 AÑO</t>
  </si>
  <si>
    <t>1 AÑO</t>
  </si>
  <si>
    <t>RUTH CASTILLO FLORES</t>
  </si>
  <si>
    <t xml:space="preserve">DERIVAR A CIRUGIA PARA EVALUACION DE CIRUGIA </t>
  </si>
  <si>
    <t>ULTIMO CONTROL EN SEPTIEMBRE CON DR FRANCISCO RODRIGUEZ EN HLS, CONTROL EN ENERO 2027</t>
  </si>
  <si>
    <t>MIGUELINA BARRAZA BARRAZA</t>
  </si>
  <si>
    <t xml:space="preserve">07-08 DR CALDERA INDICA EXAMENES DE LABORATORIO Y TAC TAP CONTROL EN 1 AÑO  </t>
  </si>
  <si>
    <t>ANTONIO  MILLA ASTUDILLO</t>
  </si>
  <si>
    <t xml:space="preserve">08-09 CONTROL EN 1 AÑO CON EDA Y TAC TAP </t>
  </si>
  <si>
    <t xml:space="preserve">ALBERTINA VILLALOBOS VILLALOBOS </t>
  </si>
  <si>
    <t xml:space="preserve">CORRESPONDE SEGUIMIENTO POR CIRUGIA DIGESTIVA </t>
  </si>
  <si>
    <t xml:space="preserve">EN SEGUIMIENTO POR EL HOSPITAL DE LA SERENA </t>
  </si>
  <si>
    <t>JUAN CARLOS TABALI SEGOVIA</t>
  </si>
  <si>
    <t xml:space="preserve">CORRESPONDE SEGUIMIENTO POR EQUIPO DE CIRUGIA </t>
  </si>
  <si>
    <t xml:space="preserve">CORRESPONDE SEGUIMIENTO POR CIRUGIA EN HOSPITAL DE LA SERENA </t>
  </si>
  <si>
    <t xml:space="preserve">DR MIRANDA </t>
  </si>
  <si>
    <t xml:space="preserve">TITO AVILEZ LEDEZMA </t>
  </si>
  <si>
    <t xml:space="preserve">CORRESPONDE CUIDADOS PALIATIVOS EXCLUSIVOS, ULTIMO CONTROL EN JULIO 2025
</t>
  </si>
  <si>
    <t>LORENA VILLALOBOS BARRAZA</t>
  </si>
  <si>
    <t xml:space="preserve">22-07 DR CALDERA INDICA CONTROL EN 1 AÑO OCN EDA + TAC TAP </t>
  </si>
  <si>
    <t xml:space="preserve">CAMILA CAMPUSANO URQUIETA </t>
  </si>
  <si>
    <t xml:space="preserve">OBS CANCER DE VESICULA </t>
  </si>
  <si>
    <t>CONFIRMACION</t>
  </si>
  <si>
    <t xml:space="preserve">SE DERIVA A CIRUGIA DIGESTIVO A HOSPITAL DE LA SERENA  </t>
  </si>
  <si>
    <t xml:space="preserve">USUARIA OPERADA EN HLS EL 22-04-2025, CON RESULTADO DE BIOPSIA , USUARIA AGENDADA EN 2 OPORTUNIDADES CON DR BELTRAN Y NO ASISTIO </t>
  </si>
  <si>
    <t xml:space="preserve">ANA ARAYA CORTES </t>
  </si>
  <si>
    <t xml:space="preserve">CORRESPONDE SEGUIMIENTO POR CIRUGIA  </t>
  </si>
  <si>
    <t>USUARIA EVALUADA POR CIRUJANO EN HLS EN ABRIL, CORRESPONDE CONTROL EN 6 MESES, OCTUBRE 2025</t>
  </si>
  <si>
    <t xml:space="preserve">NOLVIA SEGOVIA DIAZ </t>
  </si>
  <si>
    <t>16-04-2025</t>
  </si>
  <si>
    <t xml:space="preserve">SE DECIDE CUIDADOS PALIATIVOS EXCLUSIV0S </t>
  </si>
  <si>
    <t>ESPERANZA CASTRO CASTRO</t>
  </si>
  <si>
    <t xml:space="preserve">CORRESPONDE SEGUIMIENTO POR CIRUGIA EN HLS </t>
  </si>
  <si>
    <t xml:space="preserve">USUARIA EN SEGUIMIENTO POR CIRUGIA EN HOSPITAL DE LA SERENA </t>
  </si>
  <si>
    <t>REBECA  RODRÍGUEZ VÉLIZ</t>
  </si>
  <si>
    <t>CA DE PERIAMPULAR DE VATER</t>
  </si>
  <si>
    <t xml:space="preserve">AGENDAR A CONTROL </t>
  </si>
  <si>
    <t xml:space="preserve">USUARIA EN ATENCIONES POR LA FALP/ SEGUIMIENTO EN HOV </t>
  </si>
  <si>
    <t>1  MES</t>
  </si>
  <si>
    <t xml:space="preserve">RODRIGO SANTANDER SANTANDER </t>
  </si>
  <si>
    <t>CORRESPONDE SEGUIMIENTO ONCOLOGIA Y CIRUGIA DIGESTIVA</t>
  </si>
  <si>
    <t xml:space="preserve">USUARIO EN SEGUIMIENTO POR ONCOLOGIA Y CIRUGIA DIGESTIVA ALTA EN HLS </t>
  </si>
  <si>
    <t>JAIME SEURA VERA</t>
  </si>
  <si>
    <t xml:space="preserve">SEGUIMIENTO POR CIRUGIA EN HOSPITAL DE LA SERENA </t>
  </si>
  <si>
    <t>USUARIO CORRESPONDE SEGUIMIENTO POR HOSPITAL DE LA SERENA</t>
  </si>
  <si>
    <t>ERNESTO RAMOS CAQUEO</t>
  </si>
  <si>
    <t>TUMO NEUROENDOCRINO GASTRICO</t>
  </si>
  <si>
    <t xml:space="preserve">CORRESPONDE SEGUIMIENTO POR CIRUGIA DIGESTIVA EN HLS </t>
  </si>
  <si>
    <t>MARIA NUÑEZ NUÑEZ</t>
  </si>
  <si>
    <t>PRESENTAR EN COMITE DE TELEMEDICINA CON PET- CT, VIA DE ALIMENTACION Y PASE DENTAL</t>
  </si>
  <si>
    <t xml:space="preserve">USUARIA CON ESTUDIO DE PET CT REALIZADO </t>
  </si>
  <si>
    <t>REBECA TAPIA ARAYA</t>
  </si>
  <si>
    <t xml:space="preserve">COMPLETAR QMT Y DERIVACIÓN A CIRUGIA DE TORAX </t>
  </si>
  <si>
    <t xml:space="preserve">DR REY INDICA CONTROL EN FEBRERO CON TAC TAP Y EXAMENES </t>
  </si>
  <si>
    <t>MARGARITA ROJAS ORTIZ</t>
  </si>
  <si>
    <t xml:space="preserve">13-05 DR CALDERA INDICA CONTROL EN 1 AÑO CON TAC TAP Y EDA </t>
  </si>
  <si>
    <t>SALVADOR GALLEGUILLOS</t>
  </si>
  <si>
    <t xml:space="preserve">CORRESPONDE CUIDADOS PALIATIVOS EXCLUSIVOS 
</t>
  </si>
  <si>
    <t>EDITA CAJALES OLIVARES</t>
  </si>
  <si>
    <t>EDUARDO ANTONIO ROBLES</t>
  </si>
  <si>
    <t xml:space="preserve">CORRESPONDE SEGUIMIENTO POR CIRUGIA </t>
  </si>
  <si>
    <t xml:space="preserve">USUARIO EVALUADO EN HLS POR DR FSCO RODRIGUEZ EN SEPTIEMBRE 2024 /PENDIENTE AGENDAMIENTO CON HLS CON EDA </t>
  </si>
  <si>
    <t>GABRIELA  BUGUEÑO CISTERNAS</t>
  </si>
  <si>
    <t xml:space="preserve">POR DETERIORO DEL ECOG, CUIDADOS PALIATIVOS EXCLUSIVOS </t>
  </si>
  <si>
    <t xml:space="preserve">LUIS CUELLO DIAZ </t>
  </si>
  <si>
    <t xml:space="preserve">CORRESPONDE CONTINUAR TRATAMIENTO ADYVANTE FLOT </t>
  </si>
  <si>
    <t>PRESENTADO A COMITÉ EL 02-07, CORRESPONDE COMPLETAR QMT ADYUVANTE FLOT EN HLS  SE ENCUENTRA EN SU 8 CICLO</t>
  </si>
  <si>
    <t>RAUL CARVAJAL ESPINOSA</t>
  </si>
  <si>
    <t xml:space="preserve">CORRESPONDE SEGUIMIENTO POR CIRUGIA DE HOSPITAL DE LA SERENA </t>
  </si>
  <si>
    <t xml:space="preserve">CORRESPONDE SEGUIMIENTO POR CIRUGIA EN EL HOSPITAL DE LA SERENA </t>
  </si>
  <si>
    <t>MANUELA ARAYA ARAYA</t>
  </si>
  <si>
    <t xml:space="preserve">CORRESPONDE SEGUIMIENTO EN HOV CON CIRUGIA </t>
  </si>
  <si>
    <t>30-07 DR CALDERA INDICA CONTROL EN 1 AÑO CON EDA Y TAC TAP</t>
  </si>
  <si>
    <t>ALEJANDRO MIRANDA RAMÍREZ</t>
  </si>
  <si>
    <t xml:space="preserve">22-09 DR CALDERA INDICA EDA, EXAMENES Y TAC TAP PARA NOVIEMBRE </t>
  </si>
  <si>
    <t xml:space="preserve">DAVID LARRONDO CORDERO </t>
  </si>
  <si>
    <t xml:space="preserve">CORRESPONDE DERIVAR A ONCOLOGIA MEDICA EN HLS </t>
  </si>
  <si>
    <t>USUARIO EVALUADO EN ONCOLOGIA DE HLS EL 10-10-2025, DEJA CONTROL CON EXAMENES Y CONTROL EL 17-10-25</t>
  </si>
  <si>
    <t>MEDELY MUÑOZ GALLARDO</t>
  </si>
  <si>
    <t>TUMOR NEUROENDOCRINO DE ESTOMAGO</t>
  </si>
  <si>
    <t xml:space="preserve">CORRESPONDE SEGUIMIENTO POR CIRUGIA DEL HOSPITAL DE LA SERENA </t>
  </si>
  <si>
    <t xml:space="preserve">USUARIA EN SEGUIMIENTO POR CIRUGIA DE HOSPITAL DE LA SERENA </t>
  </si>
  <si>
    <t>MARLENE CORTEZ CASTILLO</t>
  </si>
  <si>
    <t xml:space="preserve">DERIVAR A ONCOLOGIA MEDICA PARA QMT PALIATIVA </t>
  </si>
  <si>
    <t xml:space="preserve">USUARIA EN TRATAMIENTO DE QUIMIOTERAPIA EN HLS, EN SU 2 CICLO </t>
  </si>
  <si>
    <t>BERTINA  FERNANDEZ CUELLO</t>
  </si>
  <si>
    <t>EN CUIDADOS PALIATIVOS EXCLUSIVOS / SE SOLICITA CONTROL A LA UNIDAD DE CUIDADOS PALIATIVOS</t>
  </si>
  <si>
    <t>MARCO LUCERO YOVANOVICH</t>
  </si>
  <si>
    <t>15-05-2025</t>
  </si>
  <si>
    <t>POR RECHAZO A CIRUGIA CORRESPONDE CUIDADOS PALIATIVOS EXCLUSIVOS</t>
  </si>
  <si>
    <t xml:space="preserve">14-05: CORRESPONDE CUIDADOS PALIATIVOS EXCLUSIVOS POR RECHAZO A CIRUGIA </t>
  </si>
  <si>
    <t>SONIA NARANJO GALLEGUILLOS</t>
  </si>
  <si>
    <t>USUARIA DECIDE SEGUIR CON TRATAMIENTO EN EXTRASISTEMA</t>
  </si>
  <si>
    <t xml:space="preserve">USUARIA REFIERE CONTINUAR TRATAMIENTO DE QUIMIOTERAPIA EN EXTRASISTEMA SANTIAGO. </t>
  </si>
  <si>
    <t xml:space="preserve">BELTRAN VALDIVIA </t>
  </si>
  <si>
    <t xml:space="preserve">10-2023 PCTE EN CONDICION ESTABLE SEGÚN TENS DE HOGAR "ELIAM HUANA". REFIERE QUE FAMILIARES NO QUIEREN MAS ETENCIONES ONCOLOGICAS, SOLO ALIVIO DEL DOLOR. </t>
  </si>
  <si>
    <t>5 MESES</t>
  </si>
  <si>
    <t>DOMINGA CARVAJAL</t>
  </si>
  <si>
    <t>HORA DE CONTROL</t>
  </si>
  <si>
    <t xml:space="preserve">PENDIENTE RNM DE ABDOMEN, USUARIA NO SE LA PUDO REALIZAR </t>
  </si>
  <si>
    <t xml:space="preserve">NORMA ROJAS MUÑOZ </t>
  </si>
  <si>
    <t>POR RECHAZO AL TTO CORRESPONDE CUIDADOS PALIATIVOS EXCLUSIVOS</t>
  </si>
  <si>
    <t xml:space="preserve">USUARIA RECHAZA IQ, CORRESPONDE CUIDADOS PALIATIVOS EXCLUSIVOS </t>
  </si>
  <si>
    <t>LUCRECIA FLORES DÍAZ</t>
  </si>
  <si>
    <t xml:space="preserve">EVALUAR QMT </t>
  </si>
  <si>
    <t xml:space="preserve">09-05 DR. CALDERA INDICA CONTROL EN 1 AÑO CON ESTUDIOS DE SEGUIMIENTOS </t>
  </si>
  <si>
    <t>MARITZA CARRILLO REYNOSO</t>
  </si>
  <si>
    <t>SEGUIMIENTO ONCOLOGICO</t>
  </si>
  <si>
    <t xml:space="preserve">29-10 DR SALAS INDICA CONTROL ENDOSCOPICO </t>
  </si>
  <si>
    <t>GABRIEL SEGOVIA TABILO</t>
  </si>
  <si>
    <t>HEPATOCARCIONOMA</t>
  </si>
  <si>
    <t>CORRESPONDE SEGUIMIENTO</t>
  </si>
  <si>
    <t xml:space="preserve">USUARIO CONRRESPONDE SEGUIMIENTO EN HOSPITAL DE LA SERENA </t>
  </si>
  <si>
    <t>DANIEL CORTES CORTES</t>
  </si>
  <si>
    <t xml:space="preserve">ERASMO ZEPEDA ZEPEDA </t>
  </si>
  <si>
    <t xml:space="preserve">DERIVAR A ONCOLOGIA MEDICA EN HLS </t>
  </si>
  <si>
    <t xml:space="preserve">09-05 DR CALDERA INDICA CONTROL EN 6 MESES </t>
  </si>
  <si>
    <t>BLANCA IRRAZABAL LOPEZ</t>
  </si>
  <si>
    <t xml:space="preserve">POR RECHAZO DE TTO DE QMT CORRESPONDE CUIDADOS PALIATIVOS EXCLUSIVOS, ULTIMO CONTROL EN AGOSTO </t>
  </si>
  <si>
    <t>NELSON DIAZ CISTERNAS</t>
  </si>
  <si>
    <t xml:space="preserve">AMADIEL PEÑA CISTERNAS </t>
  </si>
  <si>
    <t xml:space="preserve">DERIVAR A CIRUGIA PARA EVENTUAL INTERVENCION QUIRURGICA </t>
  </si>
  <si>
    <t xml:space="preserve">PENDIENTE CIRUGIA EN HLS POR FALTA DE PABELLON/ PROGRAMABLE DESDE SEPTIEMBRE 2025 </t>
  </si>
  <si>
    <t xml:space="preserve">SILVIA SEGOVIA JUICA </t>
  </si>
  <si>
    <t xml:space="preserve">DR SALAS INDICA CONTROL DE SEGUIMIENTO </t>
  </si>
  <si>
    <t>ARMANDO TALAMILLA GUERRA</t>
  </si>
  <si>
    <t xml:space="preserve">EVALUACIÓN POR CIRUGIA </t>
  </si>
  <si>
    <t xml:space="preserve">24-07 DR SALAS INDICA CONTROL Y SEGUIMIENTO CORRESPONDE EN 6 MESES </t>
  </si>
  <si>
    <t xml:space="preserve">DOMINGA SEGOVIA ARAYA </t>
  </si>
  <si>
    <t>OBS CANCER DE ESOFAGO</t>
  </si>
  <si>
    <t xml:space="preserve">04/06 DR CALDERA INDICA ANTE DESICIÓN DE FAMILIARES A NO REALIZAR NINGUN ESTUDIO MAS, CORRESPONDE CUIDADOS PALIATIVOS EXCLUSIVOS </t>
  </si>
  <si>
    <t>ENFEMERA</t>
  </si>
  <si>
    <t>ALBA ARAYA BUGUEÑO</t>
  </si>
  <si>
    <t>TU NEUROENDOCRINO DEL PANCREAS</t>
  </si>
  <si>
    <t xml:space="preserve">CORRESPONDE SEGUIMIENTO POR HOSPITAL DE LA SERENA </t>
  </si>
  <si>
    <t xml:space="preserve">SE ENVIAN EDA Y RESULTADO A HLS PARA CONTROL POR CIRUGIA DIGESTIVA HLS / PENDIENTE AGENDAMIENTO POR CIRUGIA </t>
  </si>
  <si>
    <t xml:space="preserve">2 MESES </t>
  </si>
  <si>
    <t>ARMANDO RIVERA ARAYA</t>
  </si>
  <si>
    <t xml:space="preserve">INTERVENCION QUIRURGICA EN HOSPITAL DE LA SERENA </t>
  </si>
  <si>
    <t xml:space="preserve">USUARIO EN ATENCIONES POR EL HOSPITAL DE LA SERENA </t>
  </si>
  <si>
    <t>LEONCIO MUNDACA TAPIA</t>
  </si>
  <si>
    <t xml:space="preserve">CORRESPONDE SEGUIMIENTO </t>
  </si>
  <si>
    <t xml:space="preserve">USUARIO EN SEGUIMIENTO POR CIRUGIA EN HLS </t>
  </si>
  <si>
    <t>ALFREDO CASTILLO OLIVARES</t>
  </si>
  <si>
    <t>SE DEFINE COMPLETAR QMT EN HLS Y SEGUIMIENTO EN HLS</t>
  </si>
  <si>
    <t xml:space="preserve">SE ENVIA RESULTADO DE EDA A HLS PARA CONTROL MEDICO </t>
  </si>
  <si>
    <t>MEDELIZ ECHEVERRIA OLVARES</t>
  </si>
  <si>
    <t>DERIVAR A CIRUGIA DE HLS Y REPRESENTAR CON BIOPSIA</t>
  </si>
  <si>
    <t xml:space="preserve">HIJO Y USUARIA RECHAZAN INTERVENCIÓN QUIRURGICA EN HLS, SE AGENDARA A CONTROL </t>
  </si>
  <si>
    <t>ELBA SEGOVIA MUÑOZ</t>
  </si>
  <si>
    <t xml:space="preserve">SE DICIDE INTERVENCION QUIRURGICA EN HOPISTAL DE LA SERENA </t>
  </si>
  <si>
    <t xml:space="preserve">USUARIA EN ATENCIONES POR CIRUGIA EN HOSPITAL DE LA SERENA, EL 16-02 SE COORDINA EXAMENES DE LAB PARA CONTROL/ PENDIENTE AGENDAMIENTO EN HLS  </t>
  </si>
  <si>
    <t xml:space="preserve">JOSÉ CONTADOR GUZMAN </t>
  </si>
  <si>
    <t>CORRESPONDE QMT, PREVIA INSTALCION DE CATETER</t>
  </si>
  <si>
    <t>CORRESPONDE QMT EN HOSPITAL DE LA SERENA</t>
  </si>
  <si>
    <t>JUANA JULIO PIZARRO</t>
  </si>
  <si>
    <t xml:space="preserve">CORRESPONDE QMT ADYVANTE </t>
  </si>
  <si>
    <t>USUARIA EN TRATAMIENTO DE QMT EN HLS</t>
  </si>
  <si>
    <t xml:space="preserve">LUIS PEREZ TAPIA </t>
  </si>
  <si>
    <t>SE DEFINE DERIVAR A CIRUGIA A HLS PARA TOMA DE BP</t>
  </si>
  <si>
    <t xml:space="preserve">09-05 DR CALDERA TRAS TIEMPO TRANSCURRRIDO SE ACTUALIZAN IMAGENES PARA PRESENTAR EN COMITE </t>
  </si>
  <si>
    <t xml:space="preserve">SILVIA PIZARRO PLAZA </t>
  </si>
  <si>
    <t>ELIANA ALVAREZ RIVERA</t>
  </si>
  <si>
    <t xml:space="preserve">SEGUIMIENTO ENDOSCOPICO </t>
  </si>
  <si>
    <t>DR CALDERA INDICA CONTROL CON EDA + TAC TAP + EXAMENS DE LAB</t>
  </si>
  <si>
    <t>SILVIA  ALFARO ROCO</t>
  </si>
  <si>
    <t xml:space="preserve">08-09 CONTROL EN 1 AÑO CON TAC TAP Y EXAMENES </t>
  </si>
  <si>
    <t xml:space="preserve">JOSE CORTES VALDIVIA </t>
  </si>
  <si>
    <t xml:space="preserve">EVALUACION POR CIRUGIA </t>
  </si>
  <si>
    <t>MANUEL GOMEZ LAYANA</t>
  </si>
  <si>
    <t xml:space="preserve">PAPILA DE VATER </t>
  </si>
  <si>
    <t xml:space="preserve">CORRESPONDE DERIVAR A ONCOLOGIA MEDICA PARA QUIMIOTERAPIA ADYUVANTE </t>
  </si>
  <si>
    <t xml:space="preserve">USUARIO A LA ESPERA DE COMIENZO DE TRATAMIENTO DE QMT </t>
  </si>
  <si>
    <t>GREGORIA FARIDE LEYTON</t>
  </si>
  <si>
    <t xml:space="preserve">CUIDADOS PALIATIVOS Y ONCOLOGIA MEDICA </t>
  </si>
  <si>
    <t xml:space="preserve">USUARIA EN ATENCIONES POR CUIDADOS PALIATIVOS Y ALIVIO DEL DOLOR EN HLS </t>
  </si>
  <si>
    <t xml:space="preserve">SILVESTRE CORTES CORTES </t>
  </si>
  <si>
    <t>PACIENTE EN CUIDADOS PALIATIVOS EXCLUSIVOS</t>
  </si>
  <si>
    <t>CARLOS ELGUETA BARRAZA</t>
  </si>
  <si>
    <t xml:space="preserve">CORRESPONDE COMPLETAR QMT ADYUVANTE FLOT </t>
  </si>
  <si>
    <t xml:space="preserve">USUARIA EN TRATAMIENTO DE QMT EN HOSPITAL DE LA SERENA </t>
  </si>
  <si>
    <t>HUGO  ANDRADE CARVAJAL</t>
  </si>
  <si>
    <t xml:space="preserve">ESOFAGECTOMIA </t>
  </si>
  <si>
    <t xml:space="preserve">USUARIO EVALUANDOSE POR CIRUGIA EN HOSPITAL DE LA SERENA PARA CONTROL POR CIRUGIA </t>
  </si>
  <si>
    <t>MANUEL ALVARADO CORTÉS</t>
  </si>
  <si>
    <t>NOV 2024 DR SALAS INDICA CONTROL ANUAL CORRESPONDE EN NOV 2025</t>
  </si>
  <si>
    <t>FLORENTINA ROMAN YAÑEZ</t>
  </si>
  <si>
    <t xml:space="preserve">CORRESPONDE EVALUACIÓN POR CIRUGIA DIGESTIVA </t>
  </si>
  <si>
    <t xml:space="preserve">18-11 DR REY INDICA CONTROL EN 6 MESES CON EDA Y TAC TAP </t>
  </si>
  <si>
    <t>FRANCISCO  LOPEZ NUÑEZ</t>
  </si>
  <si>
    <t>DERIVAR CIRUGIA  PARA EVALUACION</t>
  </si>
  <si>
    <t xml:space="preserve">10-2024 MEDICO INDICA CONTROLES ANUALES // SE SOLICITA TAC TAP </t>
  </si>
  <si>
    <t>HERNA TAPIA GALLARDO</t>
  </si>
  <si>
    <t xml:space="preserve">USUARIA EN ECOG 4 EN CUIDADOS PALIATIVOS </t>
  </si>
  <si>
    <t>MARIO ARAYA CORTES</t>
  </si>
  <si>
    <t xml:space="preserve">CORRESPONDE DERIVAR A POLICLINICO DE CIRUGIA Y EVALUACIÓN POR GASTRO </t>
  </si>
  <si>
    <t xml:space="preserve">PENDIENTE EVALUACIÓN POR GASTROENTEROLOGIA Y PARA LIGADURAS ESOFAGICAS </t>
  </si>
  <si>
    <t xml:space="preserve">GUSTAVO GUERRERO RAMIREZ </t>
  </si>
  <si>
    <t xml:space="preserve">DERIVAR A HLS PARA EVALUACION POR CIRUGIA </t>
  </si>
  <si>
    <t xml:space="preserve">usuario rechaza tratamiento quirurgico en HLS EL 24-06-2024// EN CUIDADOS PALIATIVOS EXCLUSIVOS </t>
  </si>
  <si>
    <t>EDMUNDO ARAYA JULIO</t>
  </si>
  <si>
    <t xml:space="preserve">SE DECIDE CUIDADOS PALIATIVOS EXCLUSIVOS  Y SEGUIMIENTO EN HOV </t>
  </si>
  <si>
    <t>EN CUIDADOS PALIATIVOS EXCLUSIVOS/ CONTROL CON EDA Y TAC TAP EN 1 MES</t>
  </si>
  <si>
    <t xml:space="preserve">ALICIA ANGEL ARAYA </t>
  </si>
  <si>
    <t>HORAS DE CONTROL</t>
  </si>
  <si>
    <t>no tiene tacta, no tiene orden? , gestionar</t>
  </si>
  <si>
    <t xml:space="preserve">1 MES </t>
  </si>
  <si>
    <t>RAMÓN  ARAYA CONTRERAS</t>
  </si>
  <si>
    <t xml:space="preserve">RESULTADOS DE EXAMENES </t>
  </si>
  <si>
    <t>02-24 PCTE EVALUADO POR DR. ROSENDO // SE SOLICITA EDA // CONTROLES ANUELES (?</t>
  </si>
  <si>
    <t>DR ROSENDO</t>
  </si>
  <si>
    <t xml:space="preserve">MARIA GUERRERO VILCHES </t>
  </si>
  <si>
    <t>10-2023 SE SOLICITA TAC TAP + EXA LAB  POSTERIOR RNM + COLANGIOGRAFIA // SE REALIZA CONTACTO PERO PCTE NO PUEDE ASISTIR A CITA CON DR POR LOCOMOCION</t>
  </si>
  <si>
    <t>DANIEL RUBIO LEIVA</t>
  </si>
  <si>
    <t>TU NEUROENDOCRINO HEPATICO</t>
  </si>
  <si>
    <t xml:space="preserve">TERAPIA SISTEMICA EN HOSPITAL DE LA SERENA </t>
  </si>
  <si>
    <t xml:space="preserve">11-2023 SE ENTREGA RESOLUCION DE COMITÉ // SE REFIERE A HLS CON CARPETA DE ANTECEDENTES PARA TERAPIA SISTEMICA </t>
  </si>
  <si>
    <t>ERNESTO TELLO ROJAS</t>
  </si>
  <si>
    <t xml:space="preserve">FAMILIAR DE PCTE REFIERE QUE ESTA EN ATENCIONES EN HLS, PERO DESEA CONTROLEWS POR HOV POR CERCANIA // CITAR PARA SEGUIMIENTO, SIN SEGUIMIENTO POSTERIOR A SU CX </t>
  </si>
  <si>
    <t xml:space="preserve">ESLINDA ARAYA </t>
  </si>
  <si>
    <t xml:space="preserve">TRATAMIENTO DE QMT </t>
  </si>
  <si>
    <t xml:space="preserve">PENDIENTE CONTROL LLAMAR </t>
  </si>
  <si>
    <t xml:space="preserve">ESMERALDA SOLAR ARANCIBIA </t>
  </si>
  <si>
    <t xml:space="preserve">DERIVAR A CONCOLOGIA MEDICA  PARA TTO DE QMT </t>
  </si>
  <si>
    <t>22-12 DR CALDERA INDICA TAC TAP, EXAMENES Y LAB EN OCTUBRE 2026</t>
  </si>
  <si>
    <t xml:space="preserve">GABRIEL CORTES CORTES </t>
  </si>
  <si>
    <t>JUVENAL ROJAS ALCAYAGA</t>
  </si>
  <si>
    <t xml:space="preserve">DERIVAR A CIRUGIA EN HOSPITAL DE LA SERENA </t>
  </si>
  <si>
    <t xml:space="preserve">11-2023 EN ATENCIONES POR HLS </t>
  </si>
  <si>
    <t>PEDRO BORQUEZ LOPEZ</t>
  </si>
  <si>
    <t>SEGUIMIENTO POR CIRUGIA</t>
  </si>
  <si>
    <t xml:space="preserve">08-09 DR CALDERA INDICA CONTROL CON EDA Y TAC TAP </t>
  </si>
  <si>
    <t>VIVIANA RAMIREZ CUELLO</t>
  </si>
  <si>
    <t xml:space="preserve">USUARIA EN SEGUIMIENTO POR EL HOSPITAL DE LA SERENA, CONTROL EL 26-08 EN HLS, PROXIMO CONTROL ANUAL </t>
  </si>
  <si>
    <t xml:space="preserve">ROBERTO ADAROS DIAZ </t>
  </si>
  <si>
    <t xml:space="preserve">DERIVAR A HOSPITAL DE LA SERENA PARA CIRUGIA </t>
  </si>
  <si>
    <t xml:space="preserve">16-05 DR CALDERA INDICA CONTROL EN 6 MESES EN POLI DIGESTIVO ALTO </t>
  </si>
  <si>
    <t xml:space="preserve">NOLBERTO TAPIA BARRAZA </t>
  </si>
  <si>
    <t xml:space="preserve">CORRESPONDE INTERVENCION QUIRURGICA EN HLS </t>
  </si>
  <si>
    <t xml:space="preserve">USUARIO EN EVALUACION POR CIRUGIA EN HLS PARA INTERVENCIÓN QUIRURGICA </t>
  </si>
  <si>
    <t xml:space="preserve">MARTINA URQUETA RIVERA </t>
  </si>
  <si>
    <t xml:space="preserve">DERIVAR A ONCOLOGIA MEDICA PARA QMT FOLFOX PREVIA INSTALACION DE CATETER </t>
  </si>
  <si>
    <t xml:space="preserve">USUARIA EN TRATAMIENTO DE QMT EN HOSPITAL DE LA SERENA A TITULO PALIATIVO/ 07-07 EN SU SEGUNDO CICLO </t>
  </si>
  <si>
    <t xml:space="preserve">JUAN GALLEGUILLOS RODRIGUEZ </t>
  </si>
  <si>
    <t xml:space="preserve">TUMOR MALIGNO DEL HIGADO </t>
  </si>
  <si>
    <t>CORRESPONDE QMT PALIATIVA FOLFOX</t>
  </si>
  <si>
    <t xml:space="preserve">USUARIO EN ESPERA DE INSTALACION DE CATETER PARA TRATAMIENTO DE QMT </t>
  </si>
  <si>
    <t xml:space="preserve">ADOLFO ACUÑA ARGANDOÑA </t>
  </si>
  <si>
    <t>CORRESPONDE CUIDADOS PALIATIVOS EXCLUSIVOS / SE HOSPITALIZA PARA ASEGURAR VIA DE ALIMENTACIÓN.</t>
  </si>
  <si>
    <t xml:space="preserve">MARIA CHACANA TAPIA </t>
  </si>
  <si>
    <t>DERIVAR A CIRUGIA ADULTO HOSPITAL DE LA SERENA</t>
  </si>
  <si>
    <t xml:space="preserve">USAURIA OPERADA EL 22-08-2025, PENDIENTE RESULTADO DE BIOPSIA EN HLS </t>
  </si>
  <si>
    <t>HUMBERTO GALLARDO VALDIVIA</t>
  </si>
  <si>
    <t>15/04/2025</t>
  </si>
  <si>
    <t>TRATAMIETO</t>
  </si>
  <si>
    <t xml:space="preserve">CORRESPONDE CIRUGIA EN HLS </t>
  </si>
  <si>
    <t>PROGRAMABLE EN HLS, PENDIENTE PABELLON POR CUPO</t>
  </si>
  <si>
    <t>ANTONIO ARAYA BUGUEÑO</t>
  </si>
  <si>
    <t xml:space="preserve">PENDIENTE CIRUGIA, PREVIO SE SOLICITA RNM </t>
  </si>
  <si>
    <t xml:space="preserve">CARLA BRUNA SANTANDER </t>
  </si>
  <si>
    <t xml:space="preserve">OBS CANCER DE PANCREAS </t>
  </si>
  <si>
    <t xml:space="preserve">VERONICA OLIVARES OLIVARES </t>
  </si>
  <si>
    <t xml:space="preserve">EVALUACION POR ONCOGERIATRIA PARA FLOT, REPRESENTAR </t>
  </si>
  <si>
    <t xml:space="preserve">PENDIENE EVALUACIÓN POR ONCOGERIATRIA </t>
  </si>
  <si>
    <t xml:space="preserve">LEZME VELIZ PEREIRA </t>
  </si>
  <si>
    <t xml:space="preserve">RODOLFO VALDIVIA ARAYA </t>
  </si>
  <si>
    <t xml:space="preserve">ADC DE PAPILA DE VATER </t>
  </si>
  <si>
    <t xml:space="preserve">CORRESPONDE DERIVAR A ONCOLOGIA MEDICA </t>
  </si>
  <si>
    <t xml:space="preserve">USUARIO EN ATENCIONES POR ONCOLOGIA MEDICA PARA QMT ADYUVANTE </t>
  </si>
  <si>
    <t>AUDILIA ALFARO ALFARO</t>
  </si>
  <si>
    <t>GLADYS HIDALGO SCHULTZ</t>
  </si>
  <si>
    <t>SERGIO MENESES MARIN</t>
  </si>
  <si>
    <t xml:space="preserve">CORRESPONDE TTO DE QMT FLOT, PREVIA INSTALACION DE CATETER </t>
  </si>
  <si>
    <t xml:space="preserve">MANUEL ROJAS VALDES </t>
  </si>
  <si>
    <t xml:space="preserve">CA CABEZA DEL PANCREAS </t>
  </si>
  <si>
    <t xml:space="preserve">CONFIRMACION </t>
  </si>
  <si>
    <t xml:space="preserve">CORRESPONDE SOLICITAR ENDOSONOGRAFIA </t>
  </si>
  <si>
    <t xml:space="preserve">11-09 DR CALDERA SOLICITA ENDOSONOGRAFIA </t>
  </si>
  <si>
    <t>FERNANDO CONTRERAS ADAOS</t>
  </si>
  <si>
    <t>CANCER CARDIAL/ ESOFAGICA</t>
  </si>
  <si>
    <t xml:space="preserve">CUIDADOS PALIATIVOS EXCLUSIVOS Y ASEGURAR VIA DE ALIMENTACIÓN </t>
  </si>
  <si>
    <t xml:space="preserve">ELEN ROJAS GARCIA </t>
  </si>
  <si>
    <t xml:space="preserve">CORRESPONDE SEGUIMIENTO POR HOSPITAL DE OVALLE </t>
  </si>
  <si>
    <t xml:space="preserve">CORRESPONDE EDA EN SEPTIEMBRE PARA CONTROL </t>
  </si>
  <si>
    <t>RAMON LOPEZ CASTRO</t>
  </si>
  <si>
    <t xml:space="preserve">TUMOR PRIMARIA MT HEPATICA Y PULMONAR </t>
  </si>
  <si>
    <t xml:space="preserve">DR SALAS SOLICITA COLONO + EDA+ Y EXAMENES </t>
  </si>
  <si>
    <t>MIGUEL CARVAJAL CORTES</t>
  </si>
  <si>
    <t>OBS TUMOR CABEZA DEL PANCREAS</t>
  </si>
  <si>
    <t xml:space="preserve">20-08 PENDIENTE RESULTADO DE BIOPSIA </t>
  </si>
  <si>
    <t>ANGELA CAMPOS ROJAS</t>
  </si>
  <si>
    <t xml:space="preserve">TUMOR NEUROENDOCRINO DEL CABEZA DEL PANCREAS </t>
  </si>
  <si>
    <t xml:space="preserve">DERIVAR  CIRUGIA DE HOSPITAL DE LA SERENA </t>
  </si>
  <si>
    <t xml:space="preserve">SE DERIVA A HOSPITAL DE LA SERENA PARA EVALUACION POR CIRUGIA </t>
  </si>
  <si>
    <t xml:space="preserve">MARIO VARGAS VILLALOBOS </t>
  </si>
  <si>
    <t>DERIVAR A ONCOLOGIA MEDICA PARA QMT PALIATIVA</t>
  </si>
  <si>
    <t xml:space="preserve">SE DERIVA A HLS PARA EVALUACION POR ONCOLOGIA MEDICA </t>
  </si>
  <si>
    <t>ROSA ALARCON MUÑOZ</t>
  </si>
  <si>
    <t xml:space="preserve">CORRESPONDE CIRUGIA EN HOSPITAL DE LA SERENA </t>
  </si>
  <si>
    <t xml:space="preserve">USUARIA EN EVALUACIÓN POR EL HLS , CORRESPONDE CIRUGIA </t>
  </si>
  <si>
    <t>OLGA ARAYA GARCIA</t>
  </si>
  <si>
    <t>TUMOR NEUROENDOCRINO GASTRICO</t>
  </si>
  <si>
    <t xml:space="preserve">REPRESENTAR CON PET CT DOTATATE </t>
  </si>
  <si>
    <t>25-11 DR REY SOLICITA PET- CT DOTATATE</t>
  </si>
  <si>
    <t xml:space="preserve">PEDRO SEGOVIA VALDIVIA </t>
  </si>
  <si>
    <t>DERIVAR A HOSPITAL SAN PABLO PARA EVALUACION POR CIRUGIA</t>
  </si>
  <si>
    <t xml:space="preserve">SE DERIVA A HSP PARA EVALUACIÓN POR CIRUGIA </t>
  </si>
  <si>
    <t>ANA SAPIAINS BARRAZA</t>
  </si>
  <si>
    <t xml:space="preserve">22-09 DR SALAS INDICA ETAPIFICACION PARA PRESENTAR EN COMITÉ </t>
  </si>
  <si>
    <t xml:space="preserve">ANGELINA ALVAREZ ARAYA </t>
  </si>
  <si>
    <t>TU NEUTOENDOCRINO GASTRICO</t>
  </si>
  <si>
    <t>06-11 CORRESPONDE CONTROL EN 3 MESES</t>
  </si>
  <si>
    <t>DIGNA CARVAJAL MUNDACA</t>
  </si>
  <si>
    <t>DERIVAR A ONCOLOGIA MEDICA PARA TRATAMIENTO</t>
  </si>
  <si>
    <t xml:space="preserve">SE DERIVA A HLS PARA EVALUACIÓN POR CIRUGIA </t>
  </si>
  <si>
    <t>EDGAR CONTRERAS SALAS</t>
  </si>
  <si>
    <t>TU NEUROENDOCRINO GASTRICO</t>
  </si>
  <si>
    <t>CORRESPONDE SEGUIMIENTO POR CIRUGIA EN HOSPITAL DE OVALLE</t>
  </si>
  <si>
    <t>27-11-2025 DR SALAS INDICA SEGUIMIENTO EN HOV</t>
  </si>
  <si>
    <t xml:space="preserve">GABRIEL CACERES CERECEDA </t>
  </si>
  <si>
    <t xml:space="preserve">REALIZAR VIA DE ALIMENTACIÓN </t>
  </si>
  <si>
    <t xml:space="preserve">SE PRESENTARA COMITE ONCOLOGICO </t>
  </si>
  <si>
    <t xml:space="preserve">GUACOLDA AHUMADA ARAYA </t>
  </si>
  <si>
    <t xml:space="preserve">TUMOR AMPOLLA DE VATER </t>
  </si>
  <si>
    <t>24-15-2025</t>
  </si>
  <si>
    <t xml:space="preserve">CORRESPONDE TRATAMIENTO DE QUIMIOTERAPIA </t>
  </si>
  <si>
    <t xml:space="preserve">USUARIA PRESENTADA POR COMITE DE HLS CORRESPONDE TRATAMIENTO DE QMT </t>
  </si>
  <si>
    <t xml:space="preserve">GUMERCINDO ARAYA OLIVARES </t>
  </si>
  <si>
    <t xml:space="preserve">DELFIN RODRIGUEZ RODRIGUEZ </t>
  </si>
  <si>
    <t xml:space="preserve">DARINKA AGUIRRE GONZALEZ </t>
  </si>
  <si>
    <t xml:space="preserve">SI </t>
  </si>
  <si>
    <t>PRESENTADA A COMITE, CORRESPONDE QMT PALIATIVA FOLFOX EN HOSPITAL DE LA SERENA</t>
  </si>
  <si>
    <t xml:space="preserve">SERGIO PEREIRA ARRIEGADA </t>
  </si>
  <si>
    <t xml:space="preserve">CORRESPONDE TTO DE QMT PERIOPERATORIA, PREVIA INSTALACION DE CATETER </t>
  </si>
  <si>
    <t xml:space="preserve">SE DERIVA A ONCOLOGIA MEDICA DE HLS PARA TRATAMIENTO DE QMT </t>
  </si>
  <si>
    <t>MARIA MATURANA BRAVO</t>
  </si>
  <si>
    <t xml:space="preserve">PENDIENTE AGENDAR POR GES O ALTA HOSPITALIZADO </t>
  </si>
  <si>
    <t xml:space="preserve">DOMINGO CASTILLO CHACANA </t>
  </si>
  <si>
    <t xml:space="preserve">DERIVAR A CIRUGIA DE HOSPITAL LA SERENA PARA CIRUGIA </t>
  </si>
  <si>
    <t xml:space="preserve">SE DERIVA A  CIRUGIA DE HLS PARA INTERVENCIÓN QUIRURGICA </t>
  </si>
  <si>
    <t xml:space="preserve">OMAR RAMIREZ LAZO </t>
  </si>
  <si>
    <t>USUARIO HOSPITALIZADO SE DERIVARA A HOSPITAL DE LA SERENA PARA INTERVENCIÓN QUIRURGICO.</t>
  </si>
  <si>
    <t>ANDREA CARVAJAL GALLARDO</t>
  </si>
  <si>
    <t xml:space="preserve">USUARIA CORRESPONDE CUIDADOS PALIATIVOS EXCLUSIVOS POR STATUS PERFOMANCE </t>
  </si>
  <si>
    <t>PRUDENCIO VEGA ALVAREZ</t>
  </si>
  <si>
    <t xml:space="preserve">SE DECIDE QMT PERIOPERATORIA PREVIO INSTALACION DE CATETER </t>
  </si>
  <si>
    <t xml:space="preserve">SE DERIVA A ONCOLOGIA DE HLS PARA TRATAMIENTO DE QMT </t>
  </si>
  <si>
    <t xml:space="preserve">HERNAN SIERRA MOYA </t>
  </si>
  <si>
    <t>AVELINO LOPEZ GUERRA</t>
  </si>
  <si>
    <t xml:space="preserve">CORRESPONDE DERIVAR A ONCOLOGIA MEDICA PREVIO CATETER DE QMT </t>
  </si>
  <si>
    <t xml:space="preserve">TOMAS ARAYA SANTANDER </t>
  </si>
  <si>
    <t xml:space="preserve">TUMOR NEUROENDODRINO GASTRICO </t>
  </si>
  <si>
    <t>CORRESPONDE SEGUIMIENTO POR SERVICIO DE ORIGEN</t>
  </si>
  <si>
    <t xml:space="preserve">CORRESPONDE SEGUIMIENTO POR CIRUGIA EN HOSPITAL DE OVALLE </t>
  </si>
  <si>
    <t xml:space="preserve">CECILIA CAMPUSANO MIRANDA </t>
  </si>
  <si>
    <t>AGENDADO CON DR SALAS PARA EL 03-12</t>
  </si>
  <si>
    <t>HAYDEE CANIBILO LOPEZ</t>
  </si>
  <si>
    <t>CORRESPONDE SEGUIMIENTO ENDOSCOPICO ESTRICTO</t>
  </si>
  <si>
    <t xml:space="preserve">CORRESPONDE SEGUIMIENTO ENDOSCOPICO ESTRICTO </t>
  </si>
  <si>
    <t>JUAN NAVARRO CONTRERAS</t>
  </si>
  <si>
    <t xml:space="preserve">REPRESENTAR CON PASE CARDIOLOGICO </t>
  </si>
  <si>
    <t xml:space="preserve">PENDIENTE PASE CARDIOLOGICO PARA QMT Y CIRUGIA </t>
  </si>
  <si>
    <t xml:space="preserve">ANA BARRAZA BOLBARAN </t>
  </si>
  <si>
    <t xml:space="preserve">CORRESPONDE QUIMIOTERAPIA PREOPERATORIA,. PREVIA INSTALACION DE CATETER </t>
  </si>
  <si>
    <t xml:space="preserve">XIMENA PIZARRO DELGADO </t>
  </si>
  <si>
    <t xml:space="preserve">TUMOR NEUROENDOCRINO GASTRICO </t>
  </si>
  <si>
    <t xml:space="preserve">JUAN RIVERA CARDENAS </t>
  </si>
  <si>
    <t xml:space="preserve">PENDIENTE PRESENTAR A COMITE </t>
  </si>
  <si>
    <t>DR CALDERA</t>
  </si>
  <si>
    <t>FELIPE PALACIOS CAMPUSANO</t>
  </si>
  <si>
    <t xml:space="preserve">YOLY ROJAS ROJAS </t>
  </si>
  <si>
    <t xml:space="preserve">CORRESPONDE QMT PALIATIVA FOLFOX </t>
  </si>
  <si>
    <t xml:space="preserve">PENDIENTE INSTALACION DE CATATER PARA TRATAMIENTO DE QMT </t>
  </si>
  <si>
    <t xml:space="preserve">BERTA PIÑONES ROJAS </t>
  </si>
  <si>
    <t xml:space="preserve">PENDIENTE INSTALACION DE CATETER PARA QMT </t>
  </si>
  <si>
    <t xml:space="preserve">OMAR ROJAS SALINAS </t>
  </si>
  <si>
    <t>PUNITAQUI</t>
  </si>
  <si>
    <t xml:space="preserve">FERNANDA BARRAZA BARRAZA </t>
  </si>
  <si>
    <t xml:space="preserve">CORRESPONDE DERIVAR A ONCOLOGIA MEDICA PARA QMT PALIATIVA </t>
  </si>
  <si>
    <t>PENDIENTE INSTALACIÓN DE CATETER DE QMT</t>
  </si>
  <si>
    <t xml:space="preserve">MARINO GONZALEZ GONZALEZ </t>
  </si>
  <si>
    <t xml:space="preserve">CORRESPONDE DERIVAR A CIRUGIA DE HOSPITAL DE LA SERENA </t>
  </si>
  <si>
    <t xml:space="preserve">SE DERIVA A HOSPITAL DE LA SERENA PARA EVALUACIÓN POR CIRUGIA </t>
  </si>
  <si>
    <t xml:space="preserve">MARGARITA CARVAJAL AGUILERA </t>
  </si>
  <si>
    <t xml:space="preserve">COLANGIOCARCINOMA </t>
  </si>
  <si>
    <t>SIN BP</t>
  </si>
  <si>
    <t xml:space="preserve">CORRESPONDE DERIVAR A CIRUGIA DEL HOSPITAL DEL SAN PABLO </t>
  </si>
  <si>
    <t xml:space="preserve">SE DERIVA A HOSPITRAL SAN PABLO PARA EVALUACION POR CIRUGIA </t>
  </si>
  <si>
    <t>BLANCA IRIS CARMONA</t>
  </si>
  <si>
    <t xml:space="preserve">PENDIENTE EVALUACION POR CIRUGIA </t>
  </si>
  <si>
    <t xml:space="preserve">LÁZARO PIZARRO YAÑEZ </t>
  </si>
  <si>
    <t>PENDIENTE EVALUACION POR CIRUGIA</t>
  </si>
  <si>
    <t>MIGDALEL ALFARO GUERRERO</t>
  </si>
  <si>
    <t xml:space="preserve">DERIVAR A ONCOLOGIA MEDICA PARA TRATAMIENTO DE QMT PERIOPERATORIA </t>
  </si>
  <si>
    <t xml:space="preserve">USUARIA PENDIENTE INSTALACIÓN DE CATETER </t>
  </si>
  <si>
    <t xml:space="preserve">JUAN PACHECO ELGUETA </t>
  </si>
  <si>
    <t xml:space="preserve">ANA CORTES SEGOVIA </t>
  </si>
  <si>
    <t xml:space="preserve">SOSPECHA CA GASTRICO </t>
  </si>
  <si>
    <t xml:space="preserve">LUIS PIZARRO ROJAS </t>
  </si>
  <si>
    <t>RIO HURTADO</t>
  </si>
  <si>
    <t>LAZARO PIZARRO YAÑEZ</t>
  </si>
  <si>
    <t>JUAN BARRAZA CODOCEO</t>
  </si>
  <si>
    <t>CORRESPONDE DERIVAR A CIRUGIA DE HOSPITAL DE LA SERENA PARA EVALUACIÓN</t>
  </si>
  <si>
    <t xml:space="preserve">PENDIENTE REALIZACION DE NUEVA RESONANCIA DE ABDOMEN </t>
  </si>
  <si>
    <t xml:space="preserve">JUAN CISTERNAS MALUENDA </t>
  </si>
  <si>
    <t xml:space="preserve">DERIVAR A ONCOLOGICA MEDICA PARA TRATAMIENTO DE QMT PERIOPERATORIA </t>
  </si>
  <si>
    <t xml:space="preserve">PENDIENTE INSTALACION DE CATETER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</si>
</sst>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rgb="FFDAE3F3"/>
      </patternFill>
    </fill>
    <fill>
      <patternFill patternType="solid">
        <fgColor rgb="FFFFCCCC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rgb="FF00A933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1" fillId="16" borderId="8" applyNumberFormat="0" applyFont="0" applyAlignment="0" applyProtection="0"/>
    <xf numFmtId="0" fontId="11" fillId="0" borderId="0"/>
    <xf numFmtId="0" fontId="11" fillId="0" borderId="0"/>
  </cellStyleXfs>
  <cellXfs count="201">
    <xf numFmtId="0" fontId="0" fillId="0" borderId="0" xfId="0"/>
    <xf numFmtId="0" fontId="0" fillId="2" borderId="0" xfId="0" applyFill="1" applyAlignment="1">
      <alignment vertical="center"/>
    </xf>
    <xf numFmtId="0" fontId="0" fillId="4" borderId="0" xfId="0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right" vertical="center"/>
      <protection locked="0"/>
    </xf>
    <xf numFmtId="1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right" vertical="center"/>
    </xf>
    <xf numFmtId="0" fontId="0" fillId="4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14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4" fontId="0" fillId="4" borderId="1" xfId="1" applyNumberFormat="1" applyFont="1" applyFill="1" applyBorder="1" applyAlignment="1">
      <alignment wrapText="1"/>
    </xf>
    <xf numFmtId="0" fontId="0" fillId="4" borderId="1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6" xfId="0" applyFill="1" applyBorder="1" applyAlignment="1">
      <alignment horizontal="right" vertical="center"/>
    </xf>
    <xf numFmtId="0" fontId="0" fillId="4" borderId="7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0" xfId="1" applyFont="1" applyFill="1" applyBorder="1" applyAlignment="1">
      <alignment vertical="center" wrapText="1"/>
    </xf>
    <xf numFmtId="17" fontId="6" fillId="4" borderId="1" xfId="1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16" fontId="0" fillId="0" borderId="1" xfId="0" applyNumberFormat="1" applyBorder="1"/>
    <xf numFmtId="0" fontId="0" fillId="4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righ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12" borderId="1" xfId="0" applyFill="1" applyBorder="1" applyAlignment="1">
      <alignment horizontal="right" vertical="center" wrapText="1"/>
    </xf>
    <xf numFmtId="0" fontId="0" fillId="12" borderId="2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14" fontId="0" fillId="12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right" vertical="center" wrapText="1"/>
    </xf>
    <xf numFmtId="0" fontId="0" fillId="6" borderId="2" xfId="0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right" vertical="center" wrapText="1"/>
      <protection locked="0"/>
    </xf>
    <xf numFmtId="0" fontId="0" fillId="0" borderId="2" xfId="0" applyBorder="1" applyAlignment="1">
      <alignment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14" borderId="0" xfId="0" applyFill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3" applyBorder="1" applyAlignment="1">
      <alignment horizontal="right" vertical="center" wrapText="1"/>
    </xf>
    <xf numFmtId="0" fontId="9" fillId="9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" xfId="0" applyFont="1" applyBorder="1" applyAlignment="1" applyProtection="1">
      <alignment horizontal="right" vertical="center" wrapText="1"/>
      <protection locked="0"/>
    </xf>
    <xf numFmtId="1" fontId="10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4" fontId="10" fillId="0" borderId="1" xfId="0" applyNumberFormat="1" applyFont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14" borderId="1" xfId="1" applyFont="1" applyFill="1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0" fillId="12" borderId="3" xfId="0" applyFill="1" applyBorder="1" applyAlignment="1">
      <alignment horizontal="right" vertical="center" wrapText="1"/>
    </xf>
    <xf numFmtId="0" fontId="0" fillId="12" borderId="4" xfId="0" applyFill="1" applyBorder="1" applyAlignment="1">
      <alignment horizontal="left" vertical="center" wrapText="1"/>
    </xf>
    <xf numFmtId="0" fontId="0" fillId="12" borderId="9" xfId="0" applyFill="1" applyBorder="1" applyAlignment="1">
      <alignment vertical="center" wrapText="1"/>
    </xf>
    <xf numFmtId="0" fontId="0" fillId="8" borderId="1" xfId="0" applyFill="1" applyBorder="1"/>
    <xf numFmtId="0" fontId="0" fillId="15" borderId="1" xfId="0" applyFill="1" applyBorder="1"/>
    <xf numFmtId="0" fontId="0" fillId="13" borderId="1" xfId="0" applyFill="1" applyBorder="1"/>
    <xf numFmtId="0" fontId="0" fillId="17" borderId="1" xfId="0" applyFill="1" applyBorder="1" applyAlignment="1">
      <alignment vertical="center" wrapText="1"/>
    </xf>
    <xf numFmtId="0" fontId="0" fillId="17" borderId="1" xfId="0" applyFill="1" applyBorder="1" applyAlignment="1">
      <alignment horizontal="right" vertical="center"/>
    </xf>
    <xf numFmtId="0" fontId="0" fillId="17" borderId="2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17" borderId="1" xfId="0" applyFill="1" applyBorder="1" applyAlignment="1">
      <alignment horizontal="center" vertical="center"/>
    </xf>
    <xf numFmtId="14" fontId="0" fillId="17" borderId="1" xfId="0" applyNumberFormat="1" applyFill="1" applyBorder="1" applyAlignment="1">
      <alignment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/>
    </xf>
    <xf numFmtId="0" fontId="0" fillId="17" borderId="0" xfId="0" applyFill="1"/>
    <xf numFmtId="14" fontId="0" fillId="17" borderId="1" xfId="0" applyNumberFormat="1" applyFill="1" applyBorder="1" applyAlignment="1">
      <alignment horizontal="center" vertical="center"/>
    </xf>
    <xf numFmtId="0" fontId="13" fillId="4" borderId="1" xfId="1" applyFont="1" applyFill="1" applyBorder="1" applyAlignment="1">
      <alignment vertical="center" wrapText="1"/>
    </xf>
    <xf numFmtId="0" fontId="0" fillId="17" borderId="1" xfId="1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/>
    <xf numFmtId="0" fontId="0" fillId="0" borderId="3" xfId="0" applyBorder="1" applyAlignment="1">
      <alignment vertical="center"/>
    </xf>
    <xf numFmtId="14" fontId="0" fillId="0" borderId="10" xfId="0" applyNumberFormat="1" applyBorder="1"/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13" xfId="0" applyBorder="1"/>
    <xf numFmtId="0" fontId="0" fillId="4" borderId="11" xfId="0" applyFill="1" applyBorder="1" applyAlignment="1">
      <alignment horizontal="center" vertical="center"/>
    </xf>
    <xf numFmtId="0" fontId="0" fillId="0" borderId="12" xfId="0" applyBorder="1"/>
    <xf numFmtId="0" fontId="0" fillId="0" borderId="11" xfId="0" applyBorder="1" applyAlignment="1">
      <alignment wrapText="1"/>
    </xf>
    <xf numFmtId="0" fontId="0" fillId="6" borderId="3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indent="1"/>
    </xf>
    <xf numFmtId="14" fontId="0" fillId="0" borderId="11" xfId="0" applyNumberFormat="1" applyBorder="1"/>
  </cellXfs>
  <cellStyles count="4">
    <cellStyle name="Normal" xfId="0" builtinId="0"/>
    <cellStyle name="Normal 2" xfId="2" xr:uid="{00000000-0005-0000-0000-000031000000}"/>
    <cellStyle name="Normal 3" xfId="3" xr:uid="{00000000-0005-0000-0000-000032000000}"/>
    <cellStyle name="Notas" xfId="1" builtinId="10"/>
  </cellStyles>
  <dxfs count="340"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2" defaultPivotStyle="PivotStyleLight16"/>
  <colors>
    <mruColors>
      <color rgb="FFFFCCCC"/>
      <color rgb="FFCCCCFF"/>
      <color rgb="FFFF9999"/>
      <color rgb="FFCCECFF"/>
      <color rgb="FFFFCCFF"/>
      <color rgb="FFFF99FF"/>
      <color rgb="FFC3B9FF"/>
      <color rgb="FFFFCC99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1295400</xdr:colOff>
      <xdr:row>0</xdr:row>
      <xdr:rowOff>76200</xdr:rowOff>
    </xdr:from>
    <xdr:to>
      <xdr:col>10</xdr:col>
      <xdr:colOff>1314450</xdr:colOff>
      <xdr:row>2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477250" y="76200"/>
          <a:ext cx="4562475" cy="457200"/>
        </a:xfrm>
        <a:prstGeom prst="rect">
          <a:avLst/>
        </a:prstGeom>
        <a:solidFill>
          <a:srgbClr val="00336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>
              <a:solidFill>
                <a:schemeClr val="bg1"/>
              </a:solidFill>
            </a:rPr>
            <a:t>DIGESTIVO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116418</xdr:colOff>
      <xdr:row>0</xdr:row>
      <xdr:rowOff>65617</xdr:rowOff>
    </xdr:from>
    <xdr:to>
      <xdr:col>14</xdr:col>
      <xdr:colOff>142876</xdr:colOff>
      <xdr:row>1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1755755" y="65405"/>
          <a:ext cx="4836795" cy="570865"/>
        </a:xfrm>
        <a:prstGeom prst="rect">
          <a:avLst/>
        </a:prstGeom>
        <a:solidFill>
          <a:srgbClr val="00336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>
              <a:solidFill>
                <a:schemeClr val="bg1"/>
              </a:solidFill>
            </a:rPr>
            <a:t>GASTROINTESTINAL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6"/>
  <sheetViews>
    <sheetView workbookViewId="0">
      <selection activeCell="C6" sqref="C6"/>
    </sheetView>
  </sheetViews>
  <sheetFormatPr defaultColWidth="11" defaultRowHeight="15"/>
  <cols>
    <col min="3" max="3" width="14.625" customWidth="1"/>
    <col min="4" max="4" width="39.375" customWidth="1"/>
  </cols>
  <sheetData>
    <row r="2" spans="3:4">
      <c r="C2" s="35" t="s">
        <v>0</v>
      </c>
      <c r="D2" s="35" t="s">
        <v>1</v>
      </c>
    </row>
    <row r="3" spans="3:4">
      <c r="C3" s="28" t="s">
        <v>2</v>
      </c>
      <c r="D3" s="35" t="s">
        <v>3</v>
      </c>
    </row>
    <row r="4" spans="3:4">
      <c r="C4" s="152"/>
      <c r="D4" s="35" t="s">
        <v>4</v>
      </c>
    </row>
    <row r="5" spans="3:4">
      <c r="C5" s="153"/>
      <c r="D5" s="37" t="s">
        <v>5</v>
      </c>
    </row>
    <row r="6" spans="3:4">
      <c r="C6" s="154"/>
      <c r="D6" s="35" t="s">
        <v>6</v>
      </c>
    </row>
  </sheetData>
  <conditionalFormatting sqref="C3">
    <cfRule type="containsText" dxfId="339" priority="1" operator="containsText" text="HOV">
      <formula>NOT(ISERROR(SEARCH("HOV",C3)))</formula>
    </cfRule>
    <cfRule type="containsText" dxfId="338" priority="2" operator="containsText" text="HSP">
      <formula>NOT(ISERROR(SEARCH("HSP",C3)))</formula>
    </cfRule>
    <cfRule type="containsText" dxfId="337" priority="3" operator="containsText" text="HLS">
      <formula>NOT(ISERROR(SEARCH("HLS",C3)))</formula>
    </cfRule>
    <cfRule type="containsText" dxfId="336" priority="4" operator="containsText" text="HOV">
      <formula>NOT(ISERROR(SEARCH("HOV",C3)))</formula>
    </cfRule>
    <cfRule type="containsText" dxfId="335" priority="5" operator="containsText" text="STGO">
      <formula>NOT(ISERROR(SEARCH("STGO",C3)))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5"/>
  <sheetViews>
    <sheetView topLeftCell="A228" zoomScale="90" zoomScaleNormal="90" workbookViewId="0">
      <selection activeCell="P237" sqref="P237"/>
    </sheetView>
  </sheetViews>
  <sheetFormatPr defaultColWidth="11.375" defaultRowHeight="40.5" customHeight="1"/>
  <cols>
    <col min="1" max="1" width="14.625" style="51" customWidth="1"/>
    <col min="2" max="2" width="32.125" style="51" customWidth="1"/>
    <col min="3" max="3" width="20.75" style="71" customWidth="1"/>
    <col min="4" max="4" width="7" style="72" customWidth="1"/>
    <col min="5" max="5" width="12.625" style="73" customWidth="1"/>
    <col min="6" max="6" width="20.75" style="73" customWidth="1"/>
    <col min="7" max="7" width="22.375" style="73" customWidth="1"/>
    <col min="8" max="8" width="11" style="73" customWidth="1"/>
    <col min="9" max="9" width="20.75" style="73" customWidth="1"/>
    <col min="10" max="10" width="14" style="73" customWidth="1"/>
    <col min="11" max="11" width="20.75" style="73" customWidth="1"/>
    <col min="12" max="13" width="20.75" style="51" customWidth="1"/>
    <col min="14" max="14" width="20.75" style="73" customWidth="1"/>
    <col min="15" max="15" width="20.75" style="51" customWidth="1"/>
    <col min="16" max="16" width="30.875" style="51" customWidth="1"/>
    <col min="17" max="16384" width="11.375" style="51"/>
  </cols>
  <sheetData>
    <row r="1" spans="1:16" ht="15">
      <c r="A1" s="6"/>
      <c r="B1" s="6"/>
      <c r="C1" s="75"/>
      <c r="D1" s="76"/>
      <c r="E1" s="77"/>
      <c r="F1" s="77"/>
      <c r="G1" s="77"/>
      <c r="H1" s="77"/>
      <c r="I1" s="77"/>
      <c r="J1" s="77"/>
      <c r="K1" s="77"/>
      <c r="L1" s="6"/>
      <c r="M1" s="6"/>
      <c r="N1" s="77"/>
      <c r="O1" s="6"/>
      <c r="P1" s="6"/>
    </row>
    <row r="2" spans="1:16" ht="15">
      <c r="A2" s="6"/>
      <c r="B2" s="6"/>
      <c r="C2" s="75"/>
      <c r="D2" s="76"/>
      <c r="E2" s="77"/>
      <c r="F2" s="77"/>
      <c r="G2" s="77"/>
      <c r="H2" s="77"/>
      <c r="I2" s="77"/>
      <c r="J2" s="77"/>
      <c r="K2" s="77"/>
      <c r="L2" s="6"/>
      <c r="M2" s="6"/>
      <c r="N2" s="77"/>
      <c r="O2" s="6"/>
      <c r="P2" s="6"/>
    </row>
    <row r="3" spans="1:16" ht="15">
      <c r="A3" s="6"/>
      <c r="B3" s="6"/>
      <c r="C3" s="75"/>
      <c r="D3" s="76"/>
      <c r="E3" s="77"/>
      <c r="F3" s="77"/>
      <c r="G3" s="77"/>
      <c r="H3" s="77"/>
      <c r="I3" s="77"/>
      <c r="J3" s="77"/>
      <c r="K3" s="77"/>
      <c r="L3" s="6"/>
      <c r="M3" s="6"/>
      <c r="N3" s="77"/>
      <c r="O3" s="6"/>
      <c r="P3" s="6"/>
    </row>
    <row r="4" spans="1:16" ht="40.5" customHeight="1">
      <c r="A4" s="116" t="s">
        <v>7</v>
      </c>
      <c r="B4" s="116" t="s">
        <v>8</v>
      </c>
      <c r="C4" s="117" t="s">
        <v>9</v>
      </c>
      <c r="D4" s="118" t="s">
        <v>10</v>
      </c>
      <c r="E4" s="119" t="s">
        <v>11</v>
      </c>
      <c r="F4" s="119" t="s">
        <v>12</v>
      </c>
      <c r="G4" s="119" t="s">
        <v>13</v>
      </c>
      <c r="H4" s="119" t="s">
        <v>14</v>
      </c>
      <c r="I4" s="119" t="s">
        <v>15</v>
      </c>
      <c r="J4" s="119" t="s">
        <v>16</v>
      </c>
      <c r="K4" s="119" t="s">
        <v>17</v>
      </c>
      <c r="L4" s="116" t="s">
        <v>18</v>
      </c>
      <c r="M4" s="116" t="s">
        <v>19</v>
      </c>
      <c r="N4" s="119" t="s">
        <v>20</v>
      </c>
      <c r="O4" s="116" t="s">
        <v>21</v>
      </c>
      <c r="P4" s="125" t="s">
        <v>22</v>
      </c>
    </row>
    <row r="5" spans="1:16" ht="40.5" customHeight="1">
      <c r="A5" s="12" t="s">
        <v>23</v>
      </c>
      <c r="B5" s="12" t="s">
        <v>24</v>
      </c>
      <c r="C5" s="80">
        <v>5441995</v>
      </c>
      <c r="D5" s="26">
        <v>3</v>
      </c>
      <c r="E5" s="90">
        <v>75.435616438356206</v>
      </c>
      <c r="F5" s="28" t="s">
        <v>25</v>
      </c>
      <c r="G5" s="28" t="s">
        <v>26</v>
      </c>
      <c r="H5" s="28">
        <v>2022</v>
      </c>
      <c r="I5" s="93">
        <v>44770</v>
      </c>
      <c r="J5" s="28" t="s">
        <v>27</v>
      </c>
      <c r="K5" s="28" t="s">
        <v>28</v>
      </c>
      <c r="L5" s="95">
        <v>44801</v>
      </c>
      <c r="M5" s="12" t="s">
        <v>29</v>
      </c>
      <c r="N5" s="28" t="s">
        <v>30</v>
      </c>
      <c r="P5" s="12" t="s">
        <v>31</v>
      </c>
    </row>
    <row r="6" spans="1:16" ht="40.5" customHeight="1">
      <c r="A6" s="12"/>
      <c r="B6" s="12" t="s">
        <v>32</v>
      </c>
      <c r="C6" s="80">
        <v>5416009</v>
      </c>
      <c r="D6" s="26">
        <v>7</v>
      </c>
      <c r="E6" s="28">
        <v>91</v>
      </c>
      <c r="F6" s="28" t="s">
        <v>33</v>
      </c>
      <c r="G6" s="28" t="s">
        <v>26</v>
      </c>
      <c r="H6" s="28"/>
      <c r="I6" s="28"/>
      <c r="J6" s="28"/>
      <c r="K6" s="28"/>
      <c r="L6" s="12"/>
      <c r="M6" s="12"/>
      <c r="N6" s="28"/>
      <c r="O6" s="12" t="s">
        <v>34</v>
      </c>
      <c r="P6" s="12" t="s">
        <v>35</v>
      </c>
    </row>
    <row r="7" spans="1:16" ht="40.5" customHeight="1">
      <c r="A7" s="12" t="s">
        <v>23</v>
      </c>
      <c r="B7" s="12" t="s">
        <v>36</v>
      </c>
      <c r="C7" s="80">
        <v>3381575</v>
      </c>
      <c r="D7" s="26">
        <v>1</v>
      </c>
      <c r="E7" s="28">
        <v>91</v>
      </c>
      <c r="F7" s="28" t="s">
        <v>25</v>
      </c>
      <c r="G7" s="28" t="s">
        <v>26</v>
      </c>
      <c r="H7" s="28">
        <v>2023</v>
      </c>
      <c r="I7" s="93">
        <v>45041</v>
      </c>
      <c r="J7" s="28" t="s">
        <v>27</v>
      </c>
      <c r="K7" s="28" t="s">
        <v>28</v>
      </c>
      <c r="L7" s="95">
        <v>45082</v>
      </c>
      <c r="M7" s="12" t="s">
        <v>29</v>
      </c>
      <c r="N7" s="28" t="s">
        <v>30</v>
      </c>
      <c r="O7" s="12"/>
      <c r="P7" s="12" t="s">
        <v>31</v>
      </c>
    </row>
    <row r="8" spans="1:16" ht="40.5" customHeight="1">
      <c r="A8" s="12" t="s">
        <v>23</v>
      </c>
      <c r="B8" s="12" t="s">
        <v>37</v>
      </c>
      <c r="C8" s="80">
        <v>10337455</v>
      </c>
      <c r="D8" s="26">
        <v>3</v>
      </c>
      <c r="E8" s="90">
        <v>60.4876712328767</v>
      </c>
      <c r="F8" s="28" t="s">
        <v>25</v>
      </c>
      <c r="G8" s="28" t="s">
        <v>26</v>
      </c>
      <c r="H8" s="28">
        <v>2020</v>
      </c>
      <c r="I8" s="93">
        <v>44019</v>
      </c>
      <c r="J8" s="28" t="s">
        <v>38</v>
      </c>
      <c r="K8" s="28" t="s">
        <v>39</v>
      </c>
      <c r="L8" s="95">
        <v>44053</v>
      </c>
      <c r="M8" s="12" t="s">
        <v>40</v>
      </c>
      <c r="N8" s="28" t="s">
        <v>2</v>
      </c>
      <c r="O8" s="12"/>
      <c r="P8" s="12" t="s">
        <v>31</v>
      </c>
    </row>
    <row r="9" spans="1:16" ht="40.5" customHeight="1">
      <c r="A9" s="12" t="s">
        <v>23</v>
      </c>
      <c r="B9" s="12" t="s">
        <v>41</v>
      </c>
      <c r="C9" s="80">
        <v>4905907</v>
      </c>
      <c r="D9" s="26">
        <v>8</v>
      </c>
      <c r="E9" s="90">
        <v>77.608219178082194</v>
      </c>
      <c r="F9" s="28" t="s">
        <v>33</v>
      </c>
      <c r="G9" s="28" t="s">
        <v>26</v>
      </c>
      <c r="H9" s="28">
        <v>2022</v>
      </c>
      <c r="I9" s="93">
        <v>44714</v>
      </c>
      <c r="J9" s="28" t="s">
        <v>27</v>
      </c>
      <c r="K9" s="28" t="s">
        <v>28</v>
      </c>
      <c r="L9" s="95">
        <v>44893</v>
      </c>
      <c r="M9" s="12" t="s">
        <v>29</v>
      </c>
      <c r="N9" s="28" t="s">
        <v>30</v>
      </c>
      <c r="O9" s="12"/>
      <c r="P9" s="12" t="s">
        <v>31</v>
      </c>
    </row>
    <row r="10" spans="1:16" ht="40.5" customHeight="1">
      <c r="A10" s="12" t="s">
        <v>23</v>
      </c>
      <c r="B10" s="12" t="s">
        <v>42</v>
      </c>
      <c r="C10" s="107">
        <v>2968531</v>
      </c>
      <c r="D10" s="26">
        <v>2</v>
      </c>
      <c r="E10" s="90">
        <v>93</v>
      </c>
      <c r="F10" s="28" t="s">
        <v>43</v>
      </c>
      <c r="G10" s="28" t="s">
        <v>26</v>
      </c>
      <c r="H10" s="28">
        <v>2023</v>
      </c>
      <c r="I10" s="93">
        <v>44930</v>
      </c>
      <c r="J10" s="28" t="s">
        <v>27</v>
      </c>
      <c r="K10" s="28" t="s">
        <v>28</v>
      </c>
      <c r="L10" s="95">
        <v>44991</v>
      </c>
      <c r="M10" s="12" t="s">
        <v>29</v>
      </c>
      <c r="N10" s="28" t="s">
        <v>30</v>
      </c>
      <c r="O10" s="12"/>
      <c r="P10" s="12" t="s">
        <v>31</v>
      </c>
    </row>
    <row r="11" spans="1:16" ht="40.5" customHeight="1">
      <c r="A11" s="12" t="s">
        <v>23</v>
      </c>
      <c r="B11" s="108" t="s">
        <v>44</v>
      </c>
      <c r="C11" s="80">
        <v>12426199</v>
      </c>
      <c r="D11" s="26">
        <v>6</v>
      </c>
      <c r="E11" s="90">
        <v>50.736986301369903</v>
      </c>
      <c r="F11" s="28" t="s">
        <v>25</v>
      </c>
      <c r="G11" s="28" t="s">
        <v>26</v>
      </c>
      <c r="H11" s="28">
        <v>2022</v>
      </c>
      <c r="I11" s="93">
        <v>44572</v>
      </c>
      <c r="J11" s="28" t="s">
        <v>27</v>
      </c>
      <c r="K11" s="28" t="s">
        <v>39</v>
      </c>
      <c r="L11" s="95">
        <v>44585</v>
      </c>
      <c r="M11" s="12" t="s">
        <v>45</v>
      </c>
      <c r="N11" s="28" t="s">
        <v>46</v>
      </c>
      <c r="O11" s="12"/>
      <c r="P11" s="12" t="s">
        <v>31</v>
      </c>
    </row>
    <row r="12" spans="1:16" ht="40.5" customHeight="1">
      <c r="A12" s="12" t="s">
        <v>23</v>
      </c>
      <c r="B12" s="108" t="s">
        <v>47</v>
      </c>
      <c r="C12" s="80">
        <v>6568379</v>
      </c>
      <c r="D12" s="26">
        <v>2</v>
      </c>
      <c r="E12" s="90">
        <v>70.197260273972603</v>
      </c>
      <c r="F12" s="28" t="s">
        <v>43</v>
      </c>
      <c r="G12" s="28" t="s">
        <v>26</v>
      </c>
      <c r="H12" s="28">
        <v>2022</v>
      </c>
      <c r="I12" s="93">
        <v>44572</v>
      </c>
      <c r="J12" s="28" t="s">
        <v>38</v>
      </c>
      <c r="K12" s="28" t="s">
        <v>28</v>
      </c>
      <c r="L12" s="95">
        <v>44585</v>
      </c>
      <c r="M12" s="12" t="s">
        <v>48</v>
      </c>
      <c r="N12" s="28" t="s">
        <v>49</v>
      </c>
      <c r="O12" s="12"/>
      <c r="P12" s="12" t="s">
        <v>50</v>
      </c>
    </row>
    <row r="13" spans="1:16" ht="40.5" customHeight="1">
      <c r="A13" s="12" t="s">
        <v>23</v>
      </c>
      <c r="B13" s="108" t="s">
        <v>51</v>
      </c>
      <c r="C13" s="80">
        <v>12717745</v>
      </c>
      <c r="D13" s="26">
        <v>7</v>
      </c>
      <c r="E13" s="28">
        <v>48</v>
      </c>
      <c r="F13" s="28" t="s">
        <v>43</v>
      </c>
      <c r="G13" s="28" t="s">
        <v>26</v>
      </c>
      <c r="H13" s="28">
        <v>2020</v>
      </c>
      <c r="I13" s="93">
        <v>44126</v>
      </c>
      <c r="J13" s="28" t="s">
        <v>38</v>
      </c>
      <c r="K13" s="28" t="s">
        <v>28</v>
      </c>
      <c r="L13" s="95">
        <v>44140</v>
      </c>
      <c r="M13" s="12"/>
      <c r="N13" s="28" t="s">
        <v>49</v>
      </c>
      <c r="O13" s="12"/>
      <c r="P13" s="12" t="s">
        <v>50</v>
      </c>
    </row>
    <row r="14" spans="1:16" ht="40.5" customHeight="1">
      <c r="A14" s="12" t="s">
        <v>23</v>
      </c>
      <c r="B14" s="108" t="s">
        <v>52</v>
      </c>
      <c r="C14" s="120">
        <v>14310892</v>
      </c>
      <c r="D14" s="26">
        <v>9</v>
      </c>
      <c r="E14" s="28">
        <v>46</v>
      </c>
      <c r="F14" s="28" t="s">
        <v>25</v>
      </c>
      <c r="G14" s="28" t="s">
        <v>26</v>
      </c>
      <c r="H14" s="28">
        <v>2023</v>
      </c>
      <c r="I14" s="93">
        <v>45054</v>
      </c>
      <c r="J14" s="28" t="s">
        <v>38</v>
      </c>
      <c r="K14" s="28" t="s">
        <v>39</v>
      </c>
      <c r="L14" s="95">
        <v>45068</v>
      </c>
      <c r="M14" s="12" t="s">
        <v>53</v>
      </c>
      <c r="N14" s="28" t="s">
        <v>49</v>
      </c>
      <c r="O14" s="12"/>
      <c r="P14" s="12" t="s">
        <v>50</v>
      </c>
    </row>
    <row r="15" spans="1:16" ht="40.5" customHeight="1">
      <c r="A15" s="12" t="s">
        <v>23</v>
      </c>
      <c r="B15" s="108" t="s">
        <v>54</v>
      </c>
      <c r="C15" s="80">
        <v>6073427</v>
      </c>
      <c r="D15" s="26">
        <v>5</v>
      </c>
      <c r="E15" s="28">
        <v>75</v>
      </c>
      <c r="F15" s="28"/>
      <c r="G15" s="28" t="s">
        <v>26</v>
      </c>
      <c r="H15" s="28">
        <v>2020</v>
      </c>
      <c r="I15" s="93">
        <v>44168</v>
      </c>
      <c r="J15" s="28" t="s">
        <v>55</v>
      </c>
      <c r="K15" s="28" t="s">
        <v>28</v>
      </c>
      <c r="L15" s="12"/>
      <c r="M15" s="12"/>
      <c r="N15" s="28" t="s">
        <v>2</v>
      </c>
      <c r="O15" s="12" t="s">
        <v>34</v>
      </c>
      <c r="P15" s="12" t="s">
        <v>31</v>
      </c>
    </row>
    <row r="16" spans="1:16" ht="40.5" customHeight="1">
      <c r="A16" s="12" t="s">
        <v>23</v>
      </c>
      <c r="B16" s="108" t="s">
        <v>56</v>
      </c>
      <c r="C16" s="80">
        <v>19770322</v>
      </c>
      <c r="D16" s="26">
        <v>9</v>
      </c>
      <c r="E16" s="90">
        <v>26</v>
      </c>
      <c r="F16" s="28" t="s">
        <v>57</v>
      </c>
      <c r="G16" s="28" t="s">
        <v>26</v>
      </c>
      <c r="H16" s="28">
        <v>2023</v>
      </c>
      <c r="I16" s="93">
        <v>45271</v>
      </c>
      <c r="J16" s="28" t="s">
        <v>55</v>
      </c>
      <c r="K16" s="28" t="s">
        <v>58</v>
      </c>
      <c r="L16" s="95"/>
      <c r="M16" s="12"/>
      <c r="N16" s="28" t="s">
        <v>46</v>
      </c>
      <c r="O16" s="12" t="s">
        <v>34</v>
      </c>
      <c r="P16" s="12" t="s">
        <v>50</v>
      </c>
    </row>
    <row r="17" spans="1:16" ht="40.5" customHeight="1">
      <c r="A17" s="12" t="s">
        <v>23</v>
      </c>
      <c r="B17" s="12" t="s">
        <v>59</v>
      </c>
      <c r="C17" s="80">
        <v>10305663</v>
      </c>
      <c r="D17" s="26">
        <v>2</v>
      </c>
      <c r="E17" s="28">
        <v>55</v>
      </c>
      <c r="F17" s="28" t="s">
        <v>33</v>
      </c>
      <c r="G17" s="28" t="s">
        <v>60</v>
      </c>
      <c r="H17" s="28">
        <v>2020</v>
      </c>
      <c r="I17" s="93">
        <v>44123</v>
      </c>
      <c r="J17" s="28" t="s">
        <v>38</v>
      </c>
      <c r="K17" s="28" t="s">
        <v>28</v>
      </c>
      <c r="L17" s="12"/>
      <c r="M17" s="12"/>
      <c r="N17" s="28" t="s">
        <v>49</v>
      </c>
      <c r="O17" s="12" t="s">
        <v>34</v>
      </c>
      <c r="P17" s="12" t="s">
        <v>50</v>
      </c>
    </row>
    <row r="18" spans="1:16" ht="40.5" customHeight="1">
      <c r="A18" s="12" t="s">
        <v>23</v>
      </c>
      <c r="B18" s="12" t="s">
        <v>61</v>
      </c>
      <c r="C18" s="80">
        <v>5791284</v>
      </c>
      <c r="D18" s="26">
        <v>7</v>
      </c>
      <c r="E18" s="28">
        <v>76</v>
      </c>
      <c r="F18" s="28" t="s">
        <v>25</v>
      </c>
      <c r="G18" s="28" t="s">
        <v>60</v>
      </c>
      <c r="H18" s="28"/>
      <c r="I18" s="28"/>
      <c r="J18" s="28"/>
      <c r="K18" s="28"/>
      <c r="L18" s="12"/>
      <c r="M18" s="12"/>
      <c r="N18" s="28"/>
      <c r="O18" s="12" t="s">
        <v>34</v>
      </c>
      <c r="P18" s="12" t="s">
        <v>31</v>
      </c>
    </row>
    <row r="19" spans="1:16" ht="40.5" customHeight="1">
      <c r="A19" s="12" t="s">
        <v>23</v>
      </c>
      <c r="B19" s="12" t="s">
        <v>62</v>
      </c>
      <c r="C19" s="80">
        <v>9102190</v>
      </c>
      <c r="D19" s="26">
        <v>0</v>
      </c>
      <c r="E19" s="28">
        <v>63</v>
      </c>
      <c r="F19" s="28" t="s">
        <v>25</v>
      </c>
      <c r="G19" s="28" t="s">
        <v>60</v>
      </c>
      <c r="H19" s="28">
        <v>2022</v>
      </c>
      <c r="I19" s="93">
        <v>44736</v>
      </c>
      <c r="J19" s="28" t="s">
        <v>27</v>
      </c>
      <c r="K19" s="28" t="s">
        <v>39</v>
      </c>
      <c r="L19" s="12"/>
      <c r="M19" s="12"/>
      <c r="N19" s="28" t="s">
        <v>2</v>
      </c>
      <c r="O19" s="12" t="s">
        <v>34</v>
      </c>
      <c r="P19" s="12" t="s">
        <v>31</v>
      </c>
    </row>
    <row r="20" spans="1:16" ht="40.5" customHeight="1">
      <c r="A20" s="12" t="s">
        <v>23</v>
      </c>
      <c r="B20" s="12" t="s">
        <v>63</v>
      </c>
      <c r="C20" s="80">
        <v>5887164</v>
      </c>
      <c r="D20" s="26">
        <v>8</v>
      </c>
      <c r="E20" s="28">
        <v>75</v>
      </c>
      <c r="F20" s="28" t="s">
        <v>33</v>
      </c>
      <c r="G20" s="28" t="s">
        <v>60</v>
      </c>
      <c r="H20" s="28"/>
      <c r="I20" s="28"/>
      <c r="J20" s="28" t="s">
        <v>27</v>
      </c>
      <c r="K20" s="28" t="s">
        <v>58</v>
      </c>
      <c r="L20" s="12"/>
      <c r="M20" s="12"/>
      <c r="N20" s="28" t="s">
        <v>64</v>
      </c>
      <c r="O20" s="12" t="s">
        <v>34</v>
      </c>
      <c r="P20" s="12" t="s">
        <v>31</v>
      </c>
    </row>
    <row r="21" spans="1:16" ht="40.5" customHeight="1">
      <c r="A21" s="12" t="s">
        <v>65</v>
      </c>
      <c r="B21" s="121" t="s">
        <v>66</v>
      </c>
      <c r="C21" s="80">
        <v>6051320</v>
      </c>
      <c r="D21" s="26">
        <v>1</v>
      </c>
      <c r="E21" s="28">
        <v>77</v>
      </c>
      <c r="F21" s="28" t="s">
        <v>25</v>
      </c>
      <c r="G21" s="28" t="s">
        <v>67</v>
      </c>
      <c r="H21" s="28">
        <v>2023</v>
      </c>
      <c r="I21" s="93">
        <v>45133</v>
      </c>
      <c r="J21" s="28" t="s">
        <v>68</v>
      </c>
      <c r="K21" s="28" t="s">
        <v>28</v>
      </c>
      <c r="L21" s="12"/>
      <c r="M21" s="12"/>
      <c r="N21" s="28" t="s">
        <v>30</v>
      </c>
      <c r="O21" s="12" t="s">
        <v>34</v>
      </c>
      <c r="P21" s="12" t="s">
        <v>31</v>
      </c>
    </row>
    <row r="22" spans="1:16" ht="40.5" customHeight="1">
      <c r="A22" s="12" t="s">
        <v>65</v>
      </c>
      <c r="B22" s="121" t="s">
        <v>69</v>
      </c>
      <c r="C22" s="120">
        <v>7657546</v>
      </c>
      <c r="D22" s="122">
        <v>0</v>
      </c>
      <c r="E22" s="123">
        <v>67</v>
      </c>
      <c r="F22" s="28" t="s">
        <v>70</v>
      </c>
      <c r="G22" s="28" t="s">
        <v>67</v>
      </c>
      <c r="H22" s="28">
        <v>2022</v>
      </c>
      <c r="I22" s="126">
        <v>44782</v>
      </c>
      <c r="J22" s="123" t="s">
        <v>27</v>
      </c>
      <c r="K22" s="123" t="s">
        <v>28</v>
      </c>
      <c r="L22" s="12"/>
      <c r="M22" s="12"/>
      <c r="N22" s="123" t="s">
        <v>30</v>
      </c>
      <c r="O22" s="12" t="s">
        <v>34</v>
      </c>
      <c r="P22" s="12" t="s">
        <v>31</v>
      </c>
    </row>
    <row r="23" spans="1:16" ht="40.5" customHeight="1">
      <c r="A23" s="12" t="s">
        <v>65</v>
      </c>
      <c r="B23" s="12" t="s">
        <v>71</v>
      </c>
      <c r="C23" s="124">
        <v>5793673</v>
      </c>
      <c r="D23" s="26">
        <v>8</v>
      </c>
      <c r="E23" s="28">
        <v>75</v>
      </c>
      <c r="F23" s="28" t="s">
        <v>25</v>
      </c>
      <c r="G23" s="28" t="s">
        <v>67</v>
      </c>
      <c r="H23" s="28">
        <v>2023</v>
      </c>
      <c r="I23" s="93">
        <v>45180</v>
      </c>
      <c r="J23" s="28" t="s">
        <v>27</v>
      </c>
      <c r="K23" s="28" t="s">
        <v>28</v>
      </c>
      <c r="L23" s="12"/>
      <c r="M23" s="12"/>
      <c r="N23" s="28" t="s">
        <v>30</v>
      </c>
      <c r="O23" s="12" t="s">
        <v>34</v>
      </c>
      <c r="P23" s="12" t="s">
        <v>31</v>
      </c>
    </row>
    <row r="24" spans="1:16" ht="40.5" customHeight="1">
      <c r="A24" s="12" t="s">
        <v>65</v>
      </c>
      <c r="B24" s="12" t="s">
        <v>72</v>
      </c>
      <c r="C24" s="80">
        <v>3829662</v>
      </c>
      <c r="D24" s="26">
        <v>0</v>
      </c>
      <c r="E24" s="28">
        <v>88</v>
      </c>
      <c r="F24" s="28" t="s">
        <v>25</v>
      </c>
      <c r="G24" s="28" t="s">
        <v>67</v>
      </c>
      <c r="H24" s="28">
        <v>2023</v>
      </c>
      <c r="I24" s="93">
        <v>45244</v>
      </c>
      <c r="J24" s="28" t="s">
        <v>27</v>
      </c>
      <c r="K24" s="28" t="s">
        <v>28</v>
      </c>
      <c r="L24" s="12"/>
      <c r="M24" s="12"/>
      <c r="N24" s="28" t="s">
        <v>64</v>
      </c>
      <c r="O24" s="12" t="s">
        <v>34</v>
      </c>
      <c r="P24" s="12" t="s">
        <v>31</v>
      </c>
    </row>
    <row r="25" spans="1:16" ht="40.5" customHeight="1">
      <c r="A25" s="12" t="s">
        <v>23</v>
      </c>
      <c r="B25" s="12" t="s">
        <v>73</v>
      </c>
      <c r="C25" s="80">
        <v>6127805</v>
      </c>
      <c r="D25" s="26">
        <v>2</v>
      </c>
      <c r="E25" s="90">
        <v>72.589041095890394</v>
      </c>
      <c r="F25" s="28" t="s">
        <v>43</v>
      </c>
      <c r="G25" s="28" t="s">
        <v>74</v>
      </c>
      <c r="H25" s="28">
        <v>2012</v>
      </c>
      <c r="I25" s="93">
        <v>41099</v>
      </c>
      <c r="J25" s="28" t="s">
        <v>38</v>
      </c>
      <c r="K25" s="28" t="s">
        <v>28</v>
      </c>
      <c r="L25" s="12"/>
      <c r="M25" s="12"/>
      <c r="N25" s="28" t="s">
        <v>30</v>
      </c>
      <c r="O25" s="12" t="s">
        <v>34</v>
      </c>
      <c r="P25" s="12" t="s">
        <v>75</v>
      </c>
    </row>
    <row r="26" spans="1:16" ht="40.5" customHeight="1">
      <c r="A26" s="12" t="s">
        <v>23</v>
      </c>
      <c r="B26" s="12" t="s">
        <v>76</v>
      </c>
      <c r="C26" s="80">
        <v>6250827</v>
      </c>
      <c r="D26" s="26">
        <v>2</v>
      </c>
      <c r="E26" s="28">
        <v>74</v>
      </c>
      <c r="F26" s="28"/>
      <c r="G26" s="28" t="s">
        <v>77</v>
      </c>
      <c r="H26" s="28"/>
      <c r="I26" s="28"/>
      <c r="J26" s="28"/>
      <c r="K26" s="28"/>
      <c r="L26" s="12"/>
      <c r="M26" s="12"/>
      <c r="N26" s="28"/>
      <c r="O26" s="12" t="s">
        <v>34</v>
      </c>
      <c r="P26" s="12" t="s">
        <v>31</v>
      </c>
    </row>
    <row r="27" spans="1:16" ht="40.5" customHeight="1">
      <c r="A27" s="12" t="s">
        <v>23</v>
      </c>
      <c r="B27" s="12" t="s">
        <v>78</v>
      </c>
      <c r="C27" s="80">
        <v>5252902</v>
      </c>
      <c r="D27" s="26">
        <v>6</v>
      </c>
      <c r="E27" s="90">
        <v>80</v>
      </c>
      <c r="F27" s="28" t="s">
        <v>70</v>
      </c>
      <c r="G27" s="28" t="s">
        <v>60</v>
      </c>
      <c r="H27" s="28">
        <v>2024</v>
      </c>
      <c r="I27" s="93">
        <v>45299</v>
      </c>
      <c r="J27" s="28"/>
      <c r="K27" s="28" t="s">
        <v>79</v>
      </c>
      <c r="L27" s="12"/>
      <c r="M27" s="12"/>
      <c r="N27" s="28"/>
      <c r="O27" s="12" t="s">
        <v>34</v>
      </c>
      <c r="P27" s="12" t="s">
        <v>35</v>
      </c>
    </row>
    <row r="28" spans="1:16" ht="40.5" customHeight="1">
      <c r="A28" s="12" t="s">
        <v>23</v>
      </c>
      <c r="B28" s="12" t="s">
        <v>80</v>
      </c>
      <c r="C28" s="80">
        <v>10337455</v>
      </c>
      <c r="D28" s="26">
        <v>3</v>
      </c>
      <c r="E28" s="28">
        <v>60</v>
      </c>
      <c r="F28" s="28" t="s">
        <v>25</v>
      </c>
      <c r="G28" s="28" t="s">
        <v>74</v>
      </c>
      <c r="H28" s="28">
        <v>2023</v>
      </c>
      <c r="I28" s="93">
        <v>44931</v>
      </c>
      <c r="J28" s="28"/>
      <c r="K28" s="28" t="s">
        <v>28</v>
      </c>
      <c r="L28" s="12"/>
      <c r="M28" s="12"/>
      <c r="N28" s="28" t="s">
        <v>64</v>
      </c>
      <c r="O28" s="12" t="s">
        <v>34</v>
      </c>
      <c r="P28" s="12" t="s">
        <v>31</v>
      </c>
    </row>
    <row r="29" spans="1:16" ht="40.5" customHeight="1">
      <c r="A29" s="12" t="s">
        <v>23</v>
      </c>
      <c r="B29" s="12" t="s">
        <v>81</v>
      </c>
      <c r="C29" s="80">
        <v>4725923</v>
      </c>
      <c r="D29" s="26">
        <v>1</v>
      </c>
      <c r="E29" s="90">
        <v>81.115068493150702</v>
      </c>
      <c r="F29" s="28" t="s">
        <v>25</v>
      </c>
      <c r="G29" s="28" t="s">
        <v>74</v>
      </c>
      <c r="H29" s="28">
        <v>2022</v>
      </c>
      <c r="I29" s="112">
        <v>44790</v>
      </c>
      <c r="J29" s="28" t="s">
        <v>27</v>
      </c>
      <c r="K29" s="73" t="s">
        <v>39</v>
      </c>
      <c r="L29" s="12"/>
      <c r="M29" s="12"/>
      <c r="N29" s="73" t="s">
        <v>2</v>
      </c>
      <c r="O29" s="12" t="s">
        <v>34</v>
      </c>
      <c r="P29" s="12" t="s">
        <v>31</v>
      </c>
    </row>
    <row r="30" spans="1:16" ht="40.5" customHeight="1">
      <c r="A30" s="12" t="s">
        <v>23</v>
      </c>
      <c r="B30" s="12" t="s">
        <v>82</v>
      </c>
      <c r="C30" s="80">
        <v>10796485</v>
      </c>
      <c r="D30" s="26">
        <v>1</v>
      </c>
      <c r="E30" s="28"/>
      <c r="F30" s="28" t="s">
        <v>57</v>
      </c>
      <c r="G30" s="28" t="s">
        <v>74</v>
      </c>
      <c r="H30" s="28"/>
      <c r="I30" s="83"/>
      <c r="J30" s="83"/>
      <c r="K30" s="83"/>
      <c r="L30" s="12"/>
      <c r="M30" s="12"/>
      <c r="N30" s="83"/>
      <c r="O30" s="12" t="s">
        <v>34</v>
      </c>
      <c r="P30" s="12" t="s">
        <v>50</v>
      </c>
    </row>
    <row r="31" spans="1:16" ht="40.5" customHeight="1">
      <c r="A31" s="12" t="s">
        <v>23</v>
      </c>
      <c r="B31" s="12" t="s">
        <v>83</v>
      </c>
      <c r="C31" s="80">
        <v>7964017</v>
      </c>
      <c r="D31" s="26">
        <v>4</v>
      </c>
      <c r="E31" s="28">
        <v>64</v>
      </c>
      <c r="F31" s="28" t="s">
        <v>70</v>
      </c>
      <c r="G31" s="28" t="s">
        <v>74</v>
      </c>
      <c r="H31" s="28">
        <v>2023</v>
      </c>
      <c r="I31" s="93">
        <v>45078</v>
      </c>
      <c r="J31" s="28" t="s">
        <v>27</v>
      </c>
      <c r="K31" s="28" t="s">
        <v>39</v>
      </c>
      <c r="L31" s="12"/>
      <c r="M31" s="12"/>
      <c r="N31" s="28" t="s">
        <v>2</v>
      </c>
      <c r="O31" s="12" t="s">
        <v>34</v>
      </c>
      <c r="P31" s="12" t="s">
        <v>31</v>
      </c>
    </row>
    <row r="32" spans="1:16" s="70" customFormat="1" ht="40.5" customHeight="1">
      <c r="A32" s="86" t="s">
        <v>65</v>
      </c>
      <c r="B32" s="86" t="s">
        <v>84</v>
      </c>
      <c r="C32" s="84">
        <v>7357784</v>
      </c>
      <c r="D32" s="114">
        <v>5</v>
      </c>
      <c r="E32" s="97"/>
      <c r="F32" s="97"/>
      <c r="G32" s="97"/>
      <c r="H32" s="97"/>
      <c r="I32" s="97"/>
      <c r="J32" s="97"/>
      <c r="K32" s="97"/>
      <c r="L32" s="86"/>
      <c r="M32" s="86"/>
      <c r="N32" s="97"/>
      <c r="O32" s="12" t="s">
        <v>34</v>
      </c>
      <c r="P32" s="12" t="s">
        <v>31</v>
      </c>
    </row>
    <row r="33" spans="1:16" ht="40.5" customHeight="1">
      <c r="A33" s="12" t="s">
        <v>65</v>
      </c>
      <c r="B33" s="12" t="s">
        <v>85</v>
      </c>
      <c r="C33" s="80">
        <v>12571807</v>
      </c>
      <c r="D33" s="26">
        <v>8</v>
      </c>
      <c r="E33" s="28"/>
      <c r="F33" s="28" t="s">
        <v>25</v>
      </c>
      <c r="G33" s="28" t="s">
        <v>86</v>
      </c>
      <c r="H33" s="28"/>
      <c r="I33" s="28"/>
      <c r="J33" s="28"/>
      <c r="K33" s="28"/>
      <c r="L33" s="12"/>
      <c r="M33" s="12"/>
      <c r="N33" s="28"/>
      <c r="O33" s="12" t="s">
        <v>34</v>
      </c>
      <c r="P33" s="12" t="s">
        <v>31</v>
      </c>
    </row>
    <row r="34" spans="1:16" ht="40.5" customHeight="1">
      <c r="A34" s="12" t="s">
        <v>65</v>
      </c>
      <c r="B34" s="12" t="s">
        <v>62</v>
      </c>
      <c r="C34" s="80">
        <v>9102190</v>
      </c>
      <c r="D34" s="26">
        <v>0</v>
      </c>
      <c r="E34" s="28"/>
      <c r="F34" s="28" t="s">
        <v>25</v>
      </c>
      <c r="G34" s="28" t="s">
        <v>60</v>
      </c>
      <c r="H34" s="28"/>
      <c r="I34" s="28"/>
      <c r="J34" s="28"/>
      <c r="K34" s="28"/>
      <c r="L34" s="12"/>
      <c r="M34" s="12"/>
      <c r="N34" s="28"/>
      <c r="O34" s="12" t="s">
        <v>34</v>
      </c>
      <c r="P34" s="12" t="s">
        <v>31</v>
      </c>
    </row>
    <row r="35" spans="1:16" ht="40.5" customHeight="1">
      <c r="A35" s="12" t="s">
        <v>65</v>
      </c>
      <c r="B35" s="12" t="s">
        <v>87</v>
      </c>
      <c r="C35" s="80">
        <v>3691515</v>
      </c>
      <c r="D35" s="26">
        <v>3</v>
      </c>
      <c r="E35" s="28"/>
      <c r="F35" s="28" t="s">
        <v>70</v>
      </c>
      <c r="G35" s="28" t="s">
        <v>88</v>
      </c>
      <c r="H35" s="28"/>
      <c r="I35" s="28"/>
      <c r="J35" s="28"/>
      <c r="K35" s="28"/>
      <c r="L35" s="12"/>
      <c r="M35" s="12"/>
      <c r="N35" s="28"/>
      <c r="O35" s="12" t="s">
        <v>34</v>
      </c>
      <c r="P35" s="12" t="s">
        <v>31</v>
      </c>
    </row>
    <row r="36" spans="1:16" ht="40.5" customHeight="1">
      <c r="A36" s="12" t="s">
        <v>65</v>
      </c>
      <c r="B36" s="12" t="s">
        <v>89</v>
      </c>
      <c r="C36" s="80">
        <v>8364590</v>
      </c>
      <c r="D36" s="26">
        <v>3</v>
      </c>
      <c r="E36" s="28"/>
      <c r="F36" s="28" t="s">
        <v>25</v>
      </c>
      <c r="G36" s="28"/>
      <c r="H36" s="28"/>
      <c r="I36" s="28"/>
      <c r="J36" s="28"/>
      <c r="K36" s="28"/>
      <c r="L36" s="12"/>
      <c r="M36" s="12"/>
      <c r="N36" s="28"/>
      <c r="O36" s="12" t="s">
        <v>34</v>
      </c>
      <c r="P36" s="12" t="s">
        <v>31</v>
      </c>
    </row>
    <row r="37" spans="1:16" ht="40.5" customHeight="1">
      <c r="A37" s="12" t="s">
        <v>65</v>
      </c>
      <c r="B37" s="12" t="s">
        <v>90</v>
      </c>
      <c r="C37" s="80">
        <v>3998593</v>
      </c>
      <c r="D37" s="26">
        <v>4</v>
      </c>
      <c r="E37" s="28"/>
      <c r="F37" s="28" t="s">
        <v>25</v>
      </c>
      <c r="G37" s="28" t="s">
        <v>88</v>
      </c>
      <c r="H37" s="28"/>
      <c r="I37" s="28"/>
      <c r="J37" s="28"/>
      <c r="K37" s="28"/>
      <c r="L37" s="12"/>
      <c r="M37" s="12"/>
      <c r="N37" s="28"/>
      <c r="O37" s="12" t="s">
        <v>34</v>
      </c>
      <c r="P37" s="12" t="s">
        <v>31</v>
      </c>
    </row>
    <row r="38" spans="1:16" ht="40.5" customHeight="1">
      <c r="A38" s="12" t="s">
        <v>65</v>
      </c>
      <c r="B38" s="12" t="s">
        <v>91</v>
      </c>
      <c r="C38" s="80">
        <v>8995479</v>
      </c>
      <c r="D38" s="26">
        <v>7</v>
      </c>
      <c r="E38" s="28">
        <v>65</v>
      </c>
      <c r="F38" s="28" t="s">
        <v>70</v>
      </c>
      <c r="G38" s="28"/>
      <c r="H38" s="28"/>
      <c r="I38" s="28"/>
      <c r="J38" s="28"/>
      <c r="K38" s="28"/>
      <c r="L38" s="12"/>
      <c r="M38" s="12"/>
      <c r="N38" s="28"/>
      <c r="O38" s="12" t="s">
        <v>34</v>
      </c>
      <c r="P38" s="12" t="s">
        <v>31</v>
      </c>
    </row>
    <row r="39" spans="1:16" ht="40.5" customHeight="1">
      <c r="A39" s="12" t="s">
        <v>65</v>
      </c>
      <c r="B39" s="12" t="s">
        <v>92</v>
      </c>
      <c r="C39" s="80">
        <v>6549504</v>
      </c>
      <c r="D39" s="26" t="s">
        <v>93</v>
      </c>
      <c r="E39" s="28">
        <v>81</v>
      </c>
      <c r="F39" s="28" t="s">
        <v>94</v>
      </c>
      <c r="G39" s="28" t="s">
        <v>86</v>
      </c>
      <c r="H39" s="28"/>
      <c r="I39" s="28"/>
      <c r="J39" s="28"/>
      <c r="K39" s="28"/>
      <c r="L39" s="12"/>
      <c r="M39" s="12"/>
      <c r="N39" s="28"/>
      <c r="O39" s="12" t="s">
        <v>34</v>
      </c>
      <c r="P39" s="12" t="s">
        <v>31</v>
      </c>
    </row>
    <row r="40" spans="1:16" ht="40.5" customHeight="1">
      <c r="A40" s="12" t="s">
        <v>65</v>
      </c>
      <c r="B40" s="12" t="s">
        <v>95</v>
      </c>
      <c r="C40" s="80">
        <v>7317731</v>
      </c>
      <c r="D40" s="26">
        <v>6</v>
      </c>
      <c r="E40" s="28">
        <v>66</v>
      </c>
      <c r="F40" s="28" t="s">
        <v>25</v>
      </c>
      <c r="G40" s="28" t="s">
        <v>88</v>
      </c>
      <c r="H40" s="28"/>
      <c r="I40" s="28"/>
      <c r="J40" s="28"/>
      <c r="K40" s="28"/>
      <c r="L40" s="12"/>
      <c r="M40" s="12"/>
      <c r="N40" s="28"/>
      <c r="O40" s="12" t="s">
        <v>34</v>
      </c>
      <c r="P40" s="12" t="s">
        <v>31</v>
      </c>
    </row>
    <row r="41" spans="1:16" ht="40.5" customHeight="1">
      <c r="A41" s="12" t="s">
        <v>65</v>
      </c>
      <c r="B41" s="12" t="s">
        <v>96</v>
      </c>
      <c r="C41" s="80">
        <v>5500842</v>
      </c>
      <c r="D41" s="26">
        <v>6</v>
      </c>
      <c r="E41" s="28">
        <v>82</v>
      </c>
      <c r="F41" s="28" t="s">
        <v>70</v>
      </c>
      <c r="G41" s="28" t="s">
        <v>88</v>
      </c>
      <c r="H41" s="28"/>
      <c r="I41" s="28"/>
      <c r="J41" s="28"/>
      <c r="K41" s="28"/>
      <c r="L41" s="12"/>
      <c r="M41" s="12"/>
      <c r="N41" s="28"/>
      <c r="O41" s="12" t="s">
        <v>34</v>
      </c>
      <c r="P41" s="12" t="s">
        <v>31</v>
      </c>
    </row>
    <row r="42" spans="1:16" ht="40.5" customHeight="1">
      <c r="A42" s="12" t="s">
        <v>65</v>
      </c>
      <c r="B42" s="12" t="s">
        <v>97</v>
      </c>
      <c r="C42" s="80">
        <v>10531133</v>
      </c>
      <c r="D42" s="26">
        <v>8</v>
      </c>
      <c r="E42" s="28">
        <v>57</v>
      </c>
      <c r="F42" s="28" t="s">
        <v>25</v>
      </c>
      <c r="G42" s="28"/>
      <c r="H42" s="28">
        <v>2023</v>
      </c>
      <c r="I42" s="93">
        <v>45077</v>
      </c>
      <c r="J42" s="28" t="s">
        <v>38</v>
      </c>
      <c r="K42" s="28" t="s">
        <v>98</v>
      </c>
      <c r="L42" s="12"/>
      <c r="M42" s="12"/>
      <c r="N42" s="28" t="s">
        <v>64</v>
      </c>
      <c r="O42" s="12" t="s">
        <v>34</v>
      </c>
      <c r="P42" s="12" t="s">
        <v>99</v>
      </c>
    </row>
    <row r="43" spans="1:16" ht="40.5" customHeight="1">
      <c r="A43" s="12" t="s">
        <v>65</v>
      </c>
      <c r="B43" s="12" t="s">
        <v>100</v>
      </c>
      <c r="C43" s="80">
        <v>20713915</v>
      </c>
      <c r="D43" s="26">
        <v>7</v>
      </c>
      <c r="E43" s="28">
        <v>22</v>
      </c>
      <c r="F43" s="28" t="s">
        <v>25</v>
      </c>
      <c r="G43" s="28" t="s">
        <v>101</v>
      </c>
      <c r="H43" s="28">
        <v>2022</v>
      </c>
      <c r="I43" s="93">
        <v>44922</v>
      </c>
      <c r="J43" s="28" t="s">
        <v>38</v>
      </c>
      <c r="K43" s="28" t="s">
        <v>98</v>
      </c>
      <c r="L43" s="95">
        <v>45257</v>
      </c>
      <c r="M43" s="12" t="s">
        <v>102</v>
      </c>
      <c r="N43" s="28" t="s">
        <v>2</v>
      </c>
      <c r="O43" s="12" t="s">
        <v>34</v>
      </c>
      <c r="P43" s="12" t="s">
        <v>50</v>
      </c>
    </row>
    <row r="44" spans="1:16" ht="40.5" customHeight="1">
      <c r="A44" s="12" t="s">
        <v>65</v>
      </c>
      <c r="B44" s="12" t="s">
        <v>103</v>
      </c>
      <c r="C44" s="80">
        <v>3998588</v>
      </c>
      <c r="D44" s="26">
        <v>8</v>
      </c>
      <c r="E44" s="28">
        <v>86</v>
      </c>
      <c r="F44" s="28" t="s">
        <v>70</v>
      </c>
      <c r="G44" s="28" t="s">
        <v>104</v>
      </c>
      <c r="H44" s="28"/>
      <c r="I44" s="28"/>
      <c r="J44" s="28"/>
      <c r="K44" s="28"/>
      <c r="L44" s="12"/>
      <c r="M44" s="12"/>
      <c r="N44" s="28"/>
      <c r="O44" s="12" t="s">
        <v>34</v>
      </c>
      <c r="P44" s="12" t="s">
        <v>31</v>
      </c>
    </row>
    <row r="45" spans="1:16" ht="40.5" customHeight="1">
      <c r="A45" s="12" t="s">
        <v>65</v>
      </c>
      <c r="B45" s="12" t="s">
        <v>105</v>
      </c>
      <c r="C45" s="80">
        <v>6313667</v>
      </c>
      <c r="D45" s="26">
        <v>0</v>
      </c>
      <c r="E45" s="28">
        <v>71</v>
      </c>
      <c r="F45" s="28" t="s">
        <v>25</v>
      </c>
      <c r="G45" s="28" t="s">
        <v>106</v>
      </c>
      <c r="H45" s="28"/>
      <c r="I45" s="28"/>
      <c r="J45" s="28"/>
      <c r="K45" s="28"/>
      <c r="L45" s="12"/>
      <c r="M45" s="12"/>
      <c r="N45" s="28"/>
      <c r="O45" s="12" t="s">
        <v>34</v>
      </c>
      <c r="P45" s="12" t="s">
        <v>31</v>
      </c>
    </row>
    <row r="46" spans="1:16" ht="40.5" customHeight="1">
      <c r="A46" s="12" t="s">
        <v>65</v>
      </c>
      <c r="B46" s="12" t="s">
        <v>107</v>
      </c>
      <c r="C46" s="80">
        <v>13330273</v>
      </c>
      <c r="D46" s="26">
        <v>5</v>
      </c>
      <c r="E46" s="28">
        <v>45</v>
      </c>
      <c r="F46" s="28" t="s">
        <v>25</v>
      </c>
      <c r="G46" s="28"/>
      <c r="H46" s="28">
        <v>2023</v>
      </c>
      <c r="I46" s="93">
        <v>45057</v>
      </c>
      <c r="J46" s="28"/>
      <c r="K46" s="28"/>
      <c r="L46" s="12"/>
      <c r="M46" s="12"/>
      <c r="N46" s="28"/>
      <c r="O46" s="12" t="s">
        <v>34</v>
      </c>
      <c r="P46" s="12" t="s">
        <v>99</v>
      </c>
    </row>
    <row r="47" spans="1:16" ht="40.5" customHeight="1">
      <c r="A47" s="12" t="s">
        <v>65</v>
      </c>
      <c r="B47" s="12" t="s">
        <v>108</v>
      </c>
      <c r="C47" s="80">
        <v>6614459</v>
      </c>
      <c r="D47" s="26">
        <v>3</v>
      </c>
      <c r="E47" s="28">
        <v>72</v>
      </c>
      <c r="F47" s="28" t="s">
        <v>25</v>
      </c>
      <c r="G47" s="28" t="s">
        <v>88</v>
      </c>
      <c r="H47" s="28"/>
      <c r="I47" s="28"/>
      <c r="J47" s="28"/>
      <c r="K47" s="28"/>
      <c r="L47" s="12"/>
      <c r="M47" s="12"/>
      <c r="N47" s="28"/>
      <c r="O47" s="12" t="s">
        <v>34</v>
      </c>
      <c r="P47" s="12" t="s">
        <v>31</v>
      </c>
    </row>
    <row r="48" spans="1:16" ht="40.5" customHeight="1">
      <c r="A48" s="12" t="s">
        <v>65</v>
      </c>
      <c r="B48" s="12" t="s">
        <v>109</v>
      </c>
      <c r="C48" s="80">
        <v>12044014</v>
      </c>
      <c r="D48" s="26">
        <v>4</v>
      </c>
      <c r="E48" s="28">
        <v>53</v>
      </c>
      <c r="F48" s="28" t="s">
        <v>25</v>
      </c>
      <c r="G48" s="28" t="s">
        <v>110</v>
      </c>
      <c r="H48" s="28">
        <v>2022</v>
      </c>
      <c r="I48" s="93">
        <v>44756</v>
      </c>
      <c r="J48" s="28" t="s">
        <v>38</v>
      </c>
      <c r="K48" s="28"/>
      <c r="L48" s="12"/>
      <c r="M48" s="12"/>
      <c r="N48" s="28"/>
      <c r="O48" s="12" t="s">
        <v>34</v>
      </c>
      <c r="P48" s="12" t="s">
        <v>99</v>
      </c>
    </row>
    <row r="49" spans="1:16" ht="40.5" customHeight="1">
      <c r="A49" s="12" t="s">
        <v>65</v>
      </c>
      <c r="B49" s="12" t="s">
        <v>111</v>
      </c>
      <c r="C49" s="80">
        <v>7345059</v>
      </c>
      <c r="D49" s="26">
        <v>4</v>
      </c>
      <c r="E49" s="28">
        <v>69</v>
      </c>
      <c r="F49" s="28" t="s">
        <v>25</v>
      </c>
      <c r="G49" s="28" t="s">
        <v>86</v>
      </c>
      <c r="H49" s="28"/>
      <c r="I49" s="28"/>
      <c r="J49" s="28"/>
      <c r="K49" s="28"/>
      <c r="L49" s="12"/>
      <c r="M49" s="12"/>
      <c r="N49" s="28"/>
      <c r="O49" s="12" t="s">
        <v>34</v>
      </c>
      <c r="P49" s="12" t="s">
        <v>31</v>
      </c>
    </row>
    <row r="50" spans="1:16" ht="40.5" customHeight="1">
      <c r="A50" s="12" t="s">
        <v>65</v>
      </c>
      <c r="B50" s="12" t="s">
        <v>112</v>
      </c>
      <c r="C50" s="71">
        <v>10796485</v>
      </c>
      <c r="D50" s="26">
        <v>1</v>
      </c>
      <c r="E50" s="28">
        <v>58</v>
      </c>
      <c r="F50" s="28" t="s">
        <v>57</v>
      </c>
      <c r="G50" s="28" t="s">
        <v>113</v>
      </c>
      <c r="H50" s="28">
        <v>2020</v>
      </c>
      <c r="I50" s="93">
        <v>44167</v>
      </c>
      <c r="J50" s="28" t="s">
        <v>27</v>
      </c>
      <c r="K50" s="28" t="s">
        <v>98</v>
      </c>
      <c r="L50" s="12"/>
      <c r="M50" s="12"/>
      <c r="N50" s="28" t="s">
        <v>46</v>
      </c>
      <c r="O50" s="12" t="s">
        <v>34</v>
      </c>
      <c r="P50" s="12" t="s">
        <v>50</v>
      </c>
    </row>
    <row r="51" spans="1:16" ht="40.5" customHeight="1">
      <c r="A51" s="12" t="s">
        <v>65</v>
      </c>
      <c r="B51" s="12" t="s">
        <v>114</v>
      </c>
      <c r="C51" s="80">
        <v>5798908</v>
      </c>
      <c r="D51" s="26">
        <v>4</v>
      </c>
      <c r="E51" s="28">
        <v>76</v>
      </c>
      <c r="F51" s="28" t="s">
        <v>25</v>
      </c>
      <c r="G51" s="28" t="s">
        <v>86</v>
      </c>
      <c r="H51" s="28"/>
      <c r="I51" s="28"/>
      <c r="J51" s="28"/>
      <c r="K51" s="28"/>
      <c r="L51" s="12"/>
      <c r="M51" s="12"/>
      <c r="N51" s="28"/>
      <c r="O51" s="12" t="s">
        <v>34</v>
      </c>
      <c r="P51" s="12" t="s">
        <v>31</v>
      </c>
    </row>
    <row r="52" spans="1:16" ht="40.5" customHeight="1">
      <c r="A52" s="12" t="s">
        <v>65</v>
      </c>
      <c r="B52" s="12" t="s">
        <v>115</v>
      </c>
      <c r="C52" s="80">
        <v>4831270</v>
      </c>
      <c r="D52" s="26">
        <v>5</v>
      </c>
      <c r="E52" s="28">
        <v>79</v>
      </c>
      <c r="F52" s="28" t="s">
        <v>116</v>
      </c>
      <c r="G52" s="28" t="s">
        <v>88</v>
      </c>
      <c r="H52" s="28"/>
      <c r="I52" s="28"/>
      <c r="J52" s="28"/>
      <c r="K52" s="28"/>
      <c r="L52" s="12"/>
      <c r="M52" s="12"/>
      <c r="N52" s="28"/>
      <c r="O52" s="12" t="s">
        <v>34</v>
      </c>
      <c r="P52" s="12" t="s">
        <v>31</v>
      </c>
    </row>
    <row r="53" spans="1:16" ht="40.5" customHeight="1">
      <c r="A53" s="12" t="s">
        <v>65</v>
      </c>
      <c r="B53" s="12" t="s">
        <v>117</v>
      </c>
      <c r="C53" s="80">
        <v>5415606</v>
      </c>
      <c r="D53" s="26">
        <v>5</v>
      </c>
      <c r="E53" s="28">
        <v>87</v>
      </c>
      <c r="F53" s="28" t="s">
        <v>70</v>
      </c>
      <c r="G53" s="28" t="s">
        <v>104</v>
      </c>
      <c r="H53" s="28"/>
      <c r="I53" s="28"/>
      <c r="J53" s="28"/>
      <c r="K53" s="28"/>
      <c r="L53" s="12"/>
      <c r="M53" s="12"/>
      <c r="N53" s="28"/>
      <c r="O53" s="12" t="s">
        <v>34</v>
      </c>
      <c r="P53" s="12" t="s">
        <v>31</v>
      </c>
    </row>
    <row r="54" spans="1:16" ht="40.5" customHeight="1">
      <c r="A54" s="12" t="s">
        <v>65</v>
      </c>
      <c r="B54" s="12" t="s">
        <v>118</v>
      </c>
      <c r="C54" s="80">
        <v>27348162</v>
      </c>
      <c r="D54" s="26">
        <v>1</v>
      </c>
      <c r="E54" s="28">
        <v>70</v>
      </c>
      <c r="F54" s="28" t="s">
        <v>116</v>
      </c>
      <c r="G54" s="28" t="s">
        <v>88</v>
      </c>
      <c r="H54" s="28"/>
      <c r="I54" s="28"/>
      <c r="J54" s="28"/>
      <c r="K54" s="28"/>
      <c r="L54" s="12"/>
      <c r="M54" s="12"/>
      <c r="N54" s="28"/>
      <c r="O54" s="12" t="s">
        <v>34</v>
      </c>
      <c r="P54" s="12" t="s">
        <v>31</v>
      </c>
    </row>
    <row r="55" spans="1:16" ht="40.5" customHeight="1">
      <c r="A55" s="12" t="s">
        <v>23</v>
      </c>
      <c r="B55" s="108" t="s">
        <v>119</v>
      </c>
      <c r="C55" s="80">
        <v>3902891</v>
      </c>
      <c r="D55" s="26">
        <v>3</v>
      </c>
      <c r="E55" s="28">
        <v>87</v>
      </c>
      <c r="F55" s="28" t="s">
        <v>25</v>
      </c>
      <c r="G55" s="28" t="s">
        <v>74</v>
      </c>
      <c r="H55" s="28">
        <v>2020</v>
      </c>
      <c r="I55" s="111">
        <v>43992</v>
      </c>
      <c r="J55" s="28" t="s">
        <v>27</v>
      </c>
      <c r="K55" s="127" t="s">
        <v>28</v>
      </c>
      <c r="L55" s="12"/>
      <c r="M55" s="12"/>
      <c r="N55" s="28" t="s">
        <v>30</v>
      </c>
      <c r="O55" s="12" t="s">
        <v>34</v>
      </c>
      <c r="P55" s="12" t="s">
        <v>31</v>
      </c>
    </row>
    <row r="56" spans="1:16" ht="40.5" customHeight="1">
      <c r="A56" s="12" t="s">
        <v>23</v>
      </c>
      <c r="B56" s="12" t="s">
        <v>120</v>
      </c>
      <c r="C56" s="80">
        <v>10156878</v>
      </c>
      <c r="D56" s="26">
        <v>4</v>
      </c>
      <c r="E56" s="90">
        <v>58.904109589041099</v>
      </c>
      <c r="F56" s="28" t="s">
        <v>25</v>
      </c>
      <c r="G56" s="28" t="s">
        <v>74</v>
      </c>
      <c r="H56" s="28">
        <v>2022</v>
      </c>
      <c r="I56" s="111">
        <v>44817</v>
      </c>
      <c r="J56" s="28" t="s">
        <v>27</v>
      </c>
      <c r="K56" s="127" t="s">
        <v>28</v>
      </c>
      <c r="L56" s="12"/>
      <c r="M56" s="12"/>
      <c r="N56" s="28" t="s">
        <v>30</v>
      </c>
      <c r="O56" s="12" t="s">
        <v>34</v>
      </c>
      <c r="P56" s="12" t="s">
        <v>31</v>
      </c>
    </row>
    <row r="57" spans="1:16" ht="40.5" customHeight="1">
      <c r="A57" s="12" t="s">
        <v>65</v>
      </c>
      <c r="B57" s="121" t="s">
        <v>121</v>
      </c>
      <c r="C57" s="80">
        <v>5251766</v>
      </c>
      <c r="D57" s="26">
        <v>4</v>
      </c>
      <c r="E57" s="28">
        <v>89</v>
      </c>
      <c r="F57" s="28" t="s">
        <v>25</v>
      </c>
      <c r="G57" s="28" t="s">
        <v>67</v>
      </c>
      <c r="H57" s="28">
        <v>2024</v>
      </c>
      <c r="I57" s="93">
        <v>45295</v>
      </c>
      <c r="J57" s="28" t="s">
        <v>68</v>
      </c>
      <c r="K57" s="28" t="s">
        <v>58</v>
      </c>
      <c r="L57" s="12"/>
      <c r="M57" s="12"/>
      <c r="N57" s="28" t="s">
        <v>30</v>
      </c>
      <c r="O57" s="12" t="s">
        <v>34</v>
      </c>
      <c r="P57" s="12" t="s">
        <v>31</v>
      </c>
    </row>
    <row r="58" spans="1:16" ht="40.5" customHeight="1">
      <c r="A58" s="12" t="s">
        <v>65</v>
      </c>
      <c r="B58" s="12" t="s">
        <v>122</v>
      </c>
      <c r="C58" s="80">
        <v>7421868</v>
      </c>
      <c r="D58" s="26">
        <v>7</v>
      </c>
      <c r="E58" s="28">
        <v>67</v>
      </c>
      <c r="F58" s="28" t="s">
        <v>25</v>
      </c>
      <c r="G58" s="28" t="s">
        <v>67</v>
      </c>
      <c r="H58" s="28">
        <v>2020</v>
      </c>
      <c r="I58" s="93">
        <v>44155</v>
      </c>
      <c r="J58" s="28" t="s">
        <v>68</v>
      </c>
      <c r="K58" s="28" t="s">
        <v>28</v>
      </c>
      <c r="L58" s="12"/>
      <c r="M58" s="12"/>
      <c r="N58" s="28" t="s">
        <v>30</v>
      </c>
      <c r="O58" s="12" t="s">
        <v>34</v>
      </c>
      <c r="P58" s="12" t="s">
        <v>31</v>
      </c>
    </row>
    <row r="59" spans="1:16" ht="40.5" customHeight="1">
      <c r="A59" s="12" t="s">
        <v>65</v>
      </c>
      <c r="B59" s="12" t="s">
        <v>123</v>
      </c>
      <c r="C59" s="80">
        <v>4211369</v>
      </c>
      <c r="D59" s="26">
        <v>7</v>
      </c>
      <c r="E59" s="28">
        <v>83</v>
      </c>
      <c r="F59" s="28" t="s">
        <v>25</v>
      </c>
      <c r="G59" s="28" t="s">
        <v>67</v>
      </c>
      <c r="H59" s="28">
        <v>2023</v>
      </c>
      <c r="I59" s="93">
        <v>45161</v>
      </c>
      <c r="J59" s="28" t="s">
        <v>27</v>
      </c>
      <c r="K59" s="28" t="s">
        <v>39</v>
      </c>
      <c r="L59" s="12"/>
      <c r="M59" s="12"/>
      <c r="N59" s="28" t="s">
        <v>2</v>
      </c>
      <c r="O59" s="12" t="s">
        <v>34</v>
      </c>
      <c r="P59" s="12" t="s">
        <v>31</v>
      </c>
    </row>
    <row r="60" spans="1:16" ht="40.5" customHeight="1">
      <c r="A60" s="12"/>
      <c r="B60" s="12" t="s">
        <v>124</v>
      </c>
      <c r="C60" s="80">
        <v>27348162</v>
      </c>
      <c r="D60" s="26">
        <v>1</v>
      </c>
      <c r="E60" s="28">
        <v>70</v>
      </c>
      <c r="F60" s="28" t="s">
        <v>116</v>
      </c>
      <c r="G60" s="28"/>
      <c r="H60" s="28"/>
      <c r="I60" s="28"/>
      <c r="J60" s="28"/>
      <c r="K60" s="28"/>
      <c r="L60" s="12"/>
      <c r="M60" s="12"/>
      <c r="N60" s="28"/>
      <c r="O60" s="12" t="s">
        <v>34</v>
      </c>
      <c r="P60" s="12" t="s">
        <v>31</v>
      </c>
    </row>
    <row r="61" spans="1:16" ht="40.5" customHeight="1">
      <c r="A61" s="12"/>
      <c r="B61" s="51" t="s">
        <v>125</v>
      </c>
      <c r="C61" s="80">
        <v>2954257</v>
      </c>
      <c r="D61" s="26">
        <v>0</v>
      </c>
      <c r="E61" s="28">
        <v>79</v>
      </c>
      <c r="F61" s="28" t="s">
        <v>43</v>
      </c>
      <c r="G61" s="28"/>
      <c r="H61" s="28"/>
      <c r="I61" s="28"/>
      <c r="J61" s="28"/>
      <c r="K61" s="28"/>
      <c r="L61" s="12"/>
      <c r="M61" s="12"/>
      <c r="N61" s="28"/>
      <c r="O61" s="12" t="s">
        <v>34</v>
      </c>
      <c r="P61" s="12" t="s">
        <v>31</v>
      </c>
    </row>
    <row r="62" spans="1:16" ht="40.5" customHeight="1">
      <c r="A62" s="12"/>
      <c r="B62" s="12" t="s">
        <v>126</v>
      </c>
      <c r="C62" s="80">
        <v>9712504</v>
      </c>
      <c r="D62" s="26" t="s">
        <v>93</v>
      </c>
      <c r="E62" s="28">
        <v>85</v>
      </c>
      <c r="F62" s="28" t="s">
        <v>25</v>
      </c>
      <c r="G62" s="28"/>
      <c r="H62" s="28"/>
      <c r="I62" s="28"/>
      <c r="J62" s="28"/>
      <c r="K62" s="28" t="s">
        <v>127</v>
      </c>
      <c r="L62" s="12"/>
      <c r="M62" s="12"/>
      <c r="N62" s="28" t="s">
        <v>30</v>
      </c>
      <c r="O62" s="12" t="s">
        <v>34</v>
      </c>
      <c r="P62" s="12" t="s">
        <v>31</v>
      </c>
    </row>
    <row r="63" spans="1:16" ht="40.5" customHeight="1">
      <c r="A63" s="12"/>
      <c r="B63" s="12" t="s">
        <v>128</v>
      </c>
      <c r="C63" s="80">
        <v>6250827</v>
      </c>
      <c r="D63" s="26">
        <v>2</v>
      </c>
      <c r="E63" s="28">
        <v>74</v>
      </c>
      <c r="F63" s="28"/>
      <c r="G63" s="28"/>
      <c r="H63" s="28"/>
      <c r="I63" s="28"/>
      <c r="J63" s="28"/>
      <c r="K63" s="28" t="s">
        <v>127</v>
      </c>
      <c r="L63" s="12"/>
      <c r="M63" s="12"/>
      <c r="N63" s="28" t="s">
        <v>30</v>
      </c>
      <c r="O63" s="12" t="s">
        <v>34</v>
      </c>
      <c r="P63" s="12" t="s">
        <v>31</v>
      </c>
    </row>
    <row r="64" spans="1:16" ht="40.5" customHeight="1">
      <c r="A64" s="12"/>
      <c r="B64" s="12" t="s">
        <v>129</v>
      </c>
      <c r="C64" s="80">
        <v>4476412</v>
      </c>
      <c r="D64" s="26">
        <v>1</v>
      </c>
      <c r="E64" s="28">
        <v>81</v>
      </c>
      <c r="F64" s="28" t="s">
        <v>25</v>
      </c>
      <c r="G64" s="28"/>
      <c r="H64" s="28"/>
      <c r="I64" s="28"/>
      <c r="J64" s="28"/>
      <c r="K64" s="28" t="s">
        <v>127</v>
      </c>
      <c r="L64" s="12"/>
      <c r="M64" s="12"/>
      <c r="N64" s="28" t="s">
        <v>30</v>
      </c>
      <c r="O64" s="12" t="s">
        <v>34</v>
      </c>
      <c r="P64" s="12" t="s">
        <v>31</v>
      </c>
    </row>
    <row r="65" spans="1:16" ht="40.5" customHeight="1">
      <c r="A65" s="128"/>
      <c r="B65" s="128" t="s">
        <v>130</v>
      </c>
      <c r="C65" s="129">
        <v>4384933</v>
      </c>
      <c r="D65" s="130">
        <v>6</v>
      </c>
      <c r="E65" s="83">
        <v>89</v>
      </c>
      <c r="F65" s="83"/>
      <c r="G65" s="83"/>
      <c r="H65" s="83"/>
      <c r="I65" s="83"/>
      <c r="J65" s="83"/>
      <c r="K65" s="83" t="s">
        <v>127</v>
      </c>
      <c r="L65" s="128"/>
      <c r="M65" s="128"/>
      <c r="N65" s="83" t="s">
        <v>30</v>
      </c>
      <c r="O65" s="12" t="s">
        <v>34</v>
      </c>
      <c r="P65" s="12" t="s">
        <v>31</v>
      </c>
    </row>
    <row r="66" spans="1:16" s="12" customFormat="1" ht="40.5" customHeight="1">
      <c r="A66" s="12" t="s">
        <v>23</v>
      </c>
      <c r="B66" s="12" t="s">
        <v>131</v>
      </c>
      <c r="C66" s="80">
        <v>14370651</v>
      </c>
      <c r="D66" s="26">
        <v>6</v>
      </c>
      <c r="E66" s="28">
        <v>52</v>
      </c>
      <c r="F66" s="28" t="s">
        <v>25</v>
      </c>
      <c r="G66" s="28" t="s">
        <v>60</v>
      </c>
      <c r="H66" s="28">
        <v>2022</v>
      </c>
      <c r="I66" s="93">
        <v>44707</v>
      </c>
      <c r="J66" s="28" t="s">
        <v>27</v>
      </c>
      <c r="K66" s="28" t="s">
        <v>39</v>
      </c>
      <c r="L66" s="95">
        <v>45328</v>
      </c>
      <c r="M66" s="12" t="s">
        <v>29</v>
      </c>
      <c r="N66" s="28" t="s">
        <v>64</v>
      </c>
      <c r="O66" s="12" t="s">
        <v>34</v>
      </c>
      <c r="P66" s="12" t="s">
        <v>31</v>
      </c>
    </row>
    <row r="67" spans="1:16" ht="40.5" customHeight="1">
      <c r="A67" s="12" t="s">
        <v>23</v>
      </c>
      <c r="B67" s="12" t="s">
        <v>132</v>
      </c>
      <c r="C67" s="80">
        <v>4672516</v>
      </c>
      <c r="D67" s="26">
        <v>6</v>
      </c>
      <c r="E67" s="28">
        <v>79</v>
      </c>
      <c r="F67" s="28" t="s">
        <v>25</v>
      </c>
      <c r="G67" s="28" t="s">
        <v>26</v>
      </c>
      <c r="H67" s="28">
        <v>2018</v>
      </c>
      <c r="I67" s="93">
        <v>43434</v>
      </c>
      <c r="J67" s="28" t="s">
        <v>38</v>
      </c>
      <c r="K67" s="28" t="s">
        <v>39</v>
      </c>
      <c r="L67" s="95">
        <v>43226</v>
      </c>
      <c r="M67" s="12" t="s">
        <v>133</v>
      </c>
      <c r="N67" s="28" t="s">
        <v>64</v>
      </c>
      <c r="O67" s="12" t="s">
        <v>34</v>
      </c>
      <c r="P67" s="12" t="s">
        <v>75</v>
      </c>
    </row>
    <row r="68" spans="1:16" ht="40.5" customHeight="1">
      <c r="A68" s="12" t="s">
        <v>65</v>
      </c>
      <c r="B68" s="12" t="s">
        <v>134</v>
      </c>
      <c r="C68" s="80">
        <v>9314449</v>
      </c>
      <c r="D68" s="26" t="s">
        <v>135</v>
      </c>
      <c r="E68" s="28">
        <v>58</v>
      </c>
      <c r="F68" s="28" t="s">
        <v>25</v>
      </c>
      <c r="G68" s="28" t="s">
        <v>136</v>
      </c>
      <c r="H68" s="28">
        <v>2021</v>
      </c>
      <c r="I68" s="93">
        <v>44260</v>
      </c>
      <c r="J68" s="28" t="s">
        <v>38</v>
      </c>
      <c r="K68" s="28" t="s">
        <v>98</v>
      </c>
      <c r="L68" s="12"/>
      <c r="M68" s="12"/>
      <c r="N68" s="28" t="s">
        <v>64</v>
      </c>
      <c r="O68" s="12" t="s">
        <v>34</v>
      </c>
      <c r="P68" s="12"/>
    </row>
    <row r="69" spans="1:16" ht="40.5" customHeight="1">
      <c r="A69" s="12" t="s">
        <v>65</v>
      </c>
      <c r="B69" s="12" t="s">
        <v>137</v>
      </c>
      <c r="C69" s="80">
        <v>6413350</v>
      </c>
      <c r="D69" s="26">
        <v>0</v>
      </c>
      <c r="E69" s="90">
        <v>71.879452054794498</v>
      </c>
      <c r="F69" s="28" t="s">
        <v>25</v>
      </c>
      <c r="G69" s="28" t="s">
        <v>67</v>
      </c>
      <c r="H69" s="28"/>
      <c r="I69" s="28"/>
      <c r="J69" s="28" t="s">
        <v>27</v>
      </c>
      <c r="K69" s="28" t="s">
        <v>28</v>
      </c>
      <c r="L69" s="12"/>
      <c r="M69" s="12"/>
      <c r="N69" s="127" t="s">
        <v>49</v>
      </c>
      <c r="O69" s="12" t="s">
        <v>34</v>
      </c>
      <c r="P69" s="12"/>
    </row>
    <row r="70" spans="1:16" ht="40.5" customHeight="1">
      <c r="A70" s="12" t="s">
        <v>23</v>
      </c>
      <c r="B70" s="12" t="s">
        <v>138</v>
      </c>
      <c r="C70" s="80">
        <v>6998139</v>
      </c>
      <c r="D70" s="26">
        <v>9</v>
      </c>
      <c r="E70" s="90">
        <v>88.693150684931496</v>
      </c>
      <c r="F70" s="28" t="s">
        <v>25</v>
      </c>
      <c r="G70" s="28" t="s">
        <v>26</v>
      </c>
      <c r="H70" s="28">
        <v>2022</v>
      </c>
      <c r="I70" s="93">
        <v>44851</v>
      </c>
      <c r="J70" s="28" t="s">
        <v>27</v>
      </c>
      <c r="K70" s="28" t="s">
        <v>28</v>
      </c>
      <c r="L70" s="95">
        <v>44914</v>
      </c>
      <c r="M70" s="12" t="s">
        <v>28</v>
      </c>
      <c r="N70" s="28" t="s">
        <v>30</v>
      </c>
      <c r="O70" s="12" t="s">
        <v>34</v>
      </c>
      <c r="P70" s="12" t="s">
        <v>31</v>
      </c>
    </row>
    <row r="71" spans="1:16" ht="40.5" customHeight="1">
      <c r="A71" s="12" t="s">
        <v>65</v>
      </c>
      <c r="B71" s="108" t="s">
        <v>139</v>
      </c>
      <c r="C71" s="80">
        <v>7226693</v>
      </c>
      <c r="D71" s="26">
        <v>5</v>
      </c>
      <c r="E71" s="28">
        <v>69</v>
      </c>
      <c r="F71" s="28" t="s">
        <v>25</v>
      </c>
      <c r="G71" s="28" t="s">
        <v>88</v>
      </c>
      <c r="H71" s="28">
        <v>2022</v>
      </c>
      <c r="I71" s="93">
        <v>44669</v>
      </c>
      <c r="J71" s="28" t="s">
        <v>38</v>
      </c>
      <c r="K71" s="28" t="s">
        <v>28</v>
      </c>
      <c r="L71" s="95">
        <v>44977</v>
      </c>
      <c r="M71" s="12" t="s">
        <v>140</v>
      </c>
      <c r="N71" s="28" t="s">
        <v>64</v>
      </c>
      <c r="O71" s="12" t="s">
        <v>34</v>
      </c>
      <c r="P71" s="12" t="s">
        <v>50</v>
      </c>
    </row>
    <row r="72" spans="1:16" ht="40.5" customHeight="1">
      <c r="A72" s="121" t="s">
        <v>23</v>
      </c>
      <c r="B72" s="131" t="s">
        <v>141</v>
      </c>
      <c r="C72" s="132">
        <v>7908493</v>
      </c>
      <c r="D72" s="122" t="s">
        <v>135</v>
      </c>
      <c r="E72" s="133">
        <v>64</v>
      </c>
      <c r="F72" s="28" t="s">
        <v>70</v>
      </c>
      <c r="G72" s="28" t="s">
        <v>26</v>
      </c>
      <c r="H72" s="28">
        <v>2023</v>
      </c>
      <c r="I72" s="126">
        <v>45037</v>
      </c>
      <c r="J72" s="123" t="s">
        <v>27</v>
      </c>
      <c r="K72" s="123" t="s">
        <v>39</v>
      </c>
      <c r="L72" s="135">
        <v>45215</v>
      </c>
      <c r="M72" s="121" t="s">
        <v>53</v>
      </c>
      <c r="N72" s="123" t="s">
        <v>2</v>
      </c>
      <c r="O72" s="12" t="s">
        <v>34</v>
      </c>
      <c r="P72" s="12" t="s">
        <v>31</v>
      </c>
    </row>
    <row r="73" spans="1:16" ht="40.5" customHeight="1">
      <c r="A73" s="12" t="s">
        <v>23</v>
      </c>
      <c r="B73" s="12" t="s">
        <v>142</v>
      </c>
      <c r="C73" s="80">
        <v>4421024</v>
      </c>
      <c r="D73" s="26" t="s">
        <v>135</v>
      </c>
      <c r="E73" s="90">
        <v>82.646575342465795</v>
      </c>
      <c r="F73" s="28" t="s">
        <v>70</v>
      </c>
      <c r="G73" s="28" t="s">
        <v>26</v>
      </c>
      <c r="H73" s="28">
        <v>2019</v>
      </c>
      <c r="I73" s="93">
        <v>43633</v>
      </c>
      <c r="J73" s="28" t="s">
        <v>27</v>
      </c>
      <c r="K73" s="28" t="s">
        <v>39</v>
      </c>
      <c r="L73" s="95">
        <v>44382</v>
      </c>
      <c r="M73" s="12" t="s">
        <v>40</v>
      </c>
      <c r="N73" s="28" t="s">
        <v>2</v>
      </c>
      <c r="O73" s="12" t="s">
        <v>34</v>
      </c>
      <c r="P73" s="12" t="s">
        <v>31</v>
      </c>
    </row>
    <row r="74" spans="1:16" ht="40.5" customHeight="1">
      <c r="A74" s="12"/>
      <c r="B74" s="12" t="s">
        <v>143</v>
      </c>
      <c r="C74" s="80">
        <v>10131536</v>
      </c>
      <c r="D74" s="26">
        <v>3</v>
      </c>
      <c r="E74" s="28">
        <v>56</v>
      </c>
      <c r="F74" s="28" t="s">
        <v>25</v>
      </c>
      <c r="G74" s="28" t="s">
        <v>26</v>
      </c>
      <c r="H74" s="28">
        <v>2024</v>
      </c>
      <c r="I74" s="93">
        <v>45307</v>
      </c>
      <c r="J74" s="28"/>
      <c r="K74" s="28" t="s">
        <v>144</v>
      </c>
      <c r="L74" s="95"/>
      <c r="M74" s="12"/>
      <c r="N74" s="28" t="s">
        <v>64</v>
      </c>
      <c r="O74" s="12" t="s">
        <v>34</v>
      </c>
      <c r="P74" s="12" t="s">
        <v>31</v>
      </c>
    </row>
    <row r="75" spans="1:16" ht="40.5" customHeight="1">
      <c r="A75" s="12" t="s">
        <v>23</v>
      </c>
      <c r="B75" s="12" t="s">
        <v>145</v>
      </c>
      <c r="C75" s="80">
        <v>8976517</v>
      </c>
      <c r="D75" s="26" t="s">
        <v>135</v>
      </c>
      <c r="E75" s="90">
        <v>63.6</v>
      </c>
      <c r="F75" s="28" t="s">
        <v>25</v>
      </c>
      <c r="G75" s="28" t="s">
        <v>60</v>
      </c>
      <c r="H75" s="28">
        <v>2022</v>
      </c>
      <c r="I75" s="93">
        <v>44736</v>
      </c>
      <c r="J75" s="28" t="s">
        <v>27</v>
      </c>
      <c r="K75" s="28" t="s">
        <v>39</v>
      </c>
      <c r="L75" s="12"/>
      <c r="M75" s="12"/>
      <c r="N75" s="28" t="s">
        <v>49</v>
      </c>
      <c r="O75" s="12" t="s">
        <v>34</v>
      </c>
      <c r="P75" s="12" t="s">
        <v>31</v>
      </c>
    </row>
    <row r="76" spans="1:16" ht="40.5" customHeight="1">
      <c r="A76" s="12" t="s">
        <v>23</v>
      </c>
      <c r="B76" s="12" t="s">
        <v>146</v>
      </c>
      <c r="C76" s="80">
        <v>13746864</v>
      </c>
      <c r="D76" s="26">
        <v>6</v>
      </c>
      <c r="E76" s="28">
        <v>44</v>
      </c>
      <c r="F76" s="28" t="s">
        <v>25</v>
      </c>
      <c r="G76" s="28" t="s">
        <v>147</v>
      </c>
      <c r="H76" s="28">
        <v>2024</v>
      </c>
      <c r="I76" s="93">
        <v>45343</v>
      </c>
      <c r="J76" s="28" t="s">
        <v>148</v>
      </c>
      <c r="K76" s="28" t="s">
        <v>149</v>
      </c>
      <c r="L76" s="12"/>
      <c r="M76" s="12"/>
      <c r="N76" s="28" t="s">
        <v>64</v>
      </c>
      <c r="O76" s="12" t="s">
        <v>34</v>
      </c>
      <c r="P76" s="12" t="s">
        <v>31</v>
      </c>
    </row>
    <row r="77" spans="1:16" ht="40.5" customHeight="1">
      <c r="A77" s="12" t="s">
        <v>23</v>
      </c>
      <c r="B77" s="12" t="s">
        <v>150</v>
      </c>
      <c r="C77" s="80">
        <v>10735818</v>
      </c>
      <c r="D77" s="26">
        <v>8</v>
      </c>
      <c r="E77" s="90">
        <v>57.298630136986297</v>
      </c>
      <c r="F77" s="28"/>
      <c r="G77" s="28" t="s">
        <v>26</v>
      </c>
      <c r="H77" s="28">
        <v>2022</v>
      </c>
      <c r="I77" s="93">
        <v>44833</v>
      </c>
      <c r="J77" s="28" t="s">
        <v>38</v>
      </c>
      <c r="K77" s="28" t="s">
        <v>39</v>
      </c>
      <c r="L77" s="95">
        <v>44589</v>
      </c>
      <c r="M77" s="12" t="s">
        <v>40</v>
      </c>
      <c r="N77" s="28" t="s">
        <v>151</v>
      </c>
      <c r="O77" s="12" t="s">
        <v>34</v>
      </c>
      <c r="P77" s="12" t="s">
        <v>50</v>
      </c>
    </row>
    <row r="78" spans="1:16" ht="40.5" customHeight="1">
      <c r="A78" s="12" t="s">
        <v>65</v>
      </c>
      <c r="B78" s="12" t="s">
        <v>152</v>
      </c>
      <c r="C78" s="80">
        <v>7284670</v>
      </c>
      <c r="D78" s="26">
        <v>2</v>
      </c>
      <c r="E78" s="28">
        <v>70</v>
      </c>
      <c r="F78" s="28" t="s">
        <v>70</v>
      </c>
      <c r="G78" s="127" t="s">
        <v>153</v>
      </c>
      <c r="H78" s="28">
        <v>2023</v>
      </c>
      <c r="I78" s="93">
        <v>45155</v>
      </c>
      <c r="J78" s="28" t="s">
        <v>154</v>
      </c>
      <c r="K78" s="28" t="s">
        <v>98</v>
      </c>
      <c r="L78" s="12"/>
      <c r="M78" s="12"/>
      <c r="N78" s="28" t="s">
        <v>64</v>
      </c>
      <c r="O78" s="12" t="s">
        <v>155</v>
      </c>
      <c r="P78" s="12" t="s">
        <v>75</v>
      </c>
    </row>
    <row r="79" spans="1:16" ht="40.5" customHeight="1">
      <c r="A79" s="12" t="s">
        <v>23</v>
      </c>
      <c r="B79" s="12" t="s">
        <v>156</v>
      </c>
      <c r="C79" s="80">
        <v>3610178</v>
      </c>
      <c r="D79" s="26">
        <v>4</v>
      </c>
      <c r="E79" s="90">
        <v>88.219178082191803</v>
      </c>
      <c r="F79" s="28" t="s">
        <v>25</v>
      </c>
      <c r="G79" s="28" t="s">
        <v>26</v>
      </c>
      <c r="H79" s="28">
        <v>2021</v>
      </c>
      <c r="I79" s="93">
        <v>44512</v>
      </c>
      <c r="J79" s="28" t="s">
        <v>27</v>
      </c>
      <c r="K79" s="28" t="s">
        <v>28</v>
      </c>
      <c r="L79" s="95">
        <v>44564</v>
      </c>
      <c r="M79" s="12" t="s">
        <v>157</v>
      </c>
      <c r="N79" s="28" t="s">
        <v>30</v>
      </c>
      <c r="O79" s="12" t="s">
        <v>158</v>
      </c>
      <c r="P79" s="12" t="s">
        <v>31</v>
      </c>
    </row>
    <row r="80" spans="1:16" ht="40.5" customHeight="1">
      <c r="A80" s="12" t="s">
        <v>65</v>
      </c>
      <c r="B80" s="12" t="s">
        <v>159</v>
      </c>
      <c r="C80" s="80">
        <v>6834913</v>
      </c>
      <c r="D80" s="26">
        <v>3</v>
      </c>
      <c r="E80" s="28"/>
      <c r="F80" s="28" t="s">
        <v>25</v>
      </c>
      <c r="G80" s="28" t="s">
        <v>160</v>
      </c>
      <c r="H80" s="28">
        <v>2022</v>
      </c>
      <c r="I80" s="93">
        <v>44768</v>
      </c>
      <c r="J80" s="28" t="s">
        <v>27</v>
      </c>
      <c r="K80" s="28" t="s">
        <v>161</v>
      </c>
      <c r="L80" s="95">
        <v>45294</v>
      </c>
      <c r="M80" s="12" t="s">
        <v>162</v>
      </c>
      <c r="N80" s="28" t="s">
        <v>30</v>
      </c>
      <c r="O80" s="12" t="s">
        <v>158</v>
      </c>
      <c r="P80" s="12" t="s">
        <v>31</v>
      </c>
    </row>
    <row r="81" spans="1:24" ht="40.5" customHeight="1">
      <c r="A81" s="12" t="s">
        <v>23</v>
      </c>
      <c r="B81" s="12" t="s">
        <v>163</v>
      </c>
      <c r="C81" s="80">
        <v>6809702</v>
      </c>
      <c r="D81" s="26">
        <v>9</v>
      </c>
      <c r="E81" s="28">
        <v>72</v>
      </c>
      <c r="F81" s="28" t="s">
        <v>25</v>
      </c>
      <c r="G81" s="28" t="s">
        <v>26</v>
      </c>
      <c r="H81" s="28">
        <v>2016</v>
      </c>
      <c r="I81" s="93">
        <v>42716</v>
      </c>
      <c r="J81" s="28" t="s">
        <v>38</v>
      </c>
      <c r="K81" s="28" t="s">
        <v>28</v>
      </c>
      <c r="L81" s="95">
        <v>42741</v>
      </c>
      <c r="M81" s="12" t="s">
        <v>28</v>
      </c>
      <c r="N81" s="28" t="s">
        <v>30</v>
      </c>
      <c r="O81" s="12" t="s">
        <v>34</v>
      </c>
      <c r="P81" s="12" t="s">
        <v>75</v>
      </c>
    </row>
    <row r="82" spans="1:24" ht="40.5" customHeight="1">
      <c r="A82" s="12" t="s">
        <v>23</v>
      </c>
      <c r="B82" s="12" t="s">
        <v>164</v>
      </c>
      <c r="C82" s="80">
        <v>13329006</v>
      </c>
      <c r="D82" s="26">
        <v>0</v>
      </c>
      <c r="E82" s="28">
        <v>46</v>
      </c>
      <c r="F82" s="28" t="s">
        <v>25</v>
      </c>
      <c r="G82" s="28" t="s">
        <v>147</v>
      </c>
      <c r="H82" s="28">
        <v>2024</v>
      </c>
      <c r="I82" s="93">
        <v>45303</v>
      </c>
      <c r="J82" s="28" t="s">
        <v>27</v>
      </c>
      <c r="K82" s="28" t="s">
        <v>39</v>
      </c>
      <c r="L82" s="95">
        <v>45306</v>
      </c>
      <c r="M82" s="12" t="s">
        <v>165</v>
      </c>
      <c r="N82" s="28" t="s">
        <v>2</v>
      </c>
      <c r="O82" s="12" t="s">
        <v>158</v>
      </c>
      <c r="P82" s="12"/>
    </row>
    <row r="83" spans="1:24" ht="40.5" customHeight="1">
      <c r="A83" s="12" t="s">
        <v>23</v>
      </c>
      <c r="B83" s="12" t="s">
        <v>166</v>
      </c>
      <c r="C83" s="80">
        <v>5102358</v>
      </c>
      <c r="D83" s="26">
        <v>7</v>
      </c>
      <c r="E83" s="28">
        <v>79</v>
      </c>
      <c r="F83" s="28" t="s">
        <v>25</v>
      </c>
      <c r="G83" s="28" t="s">
        <v>147</v>
      </c>
      <c r="H83" s="28">
        <v>2024</v>
      </c>
      <c r="I83" s="93">
        <v>45383</v>
      </c>
      <c r="J83" s="28" t="s">
        <v>167</v>
      </c>
      <c r="K83" s="28" t="s">
        <v>127</v>
      </c>
      <c r="L83" s="95">
        <v>45376</v>
      </c>
      <c r="M83" s="12" t="s">
        <v>168</v>
      </c>
      <c r="N83" s="28" t="s">
        <v>46</v>
      </c>
      <c r="O83" s="12" t="s">
        <v>155</v>
      </c>
      <c r="P83" s="12" t="s">
        <v>31</v>
      </c>
    </row>
    <row r="84" spans="1:24" ht="40.5" customHeight="1">
      <c r="A84" s="12" t="s">
        <v>23</v>
      </c>
      <c r="B84" s="12" t="s">
        <v>169</v>
      </c>
      <c r="C84" s="80">
        <v>13976964</v>
      </c>
      <c r="D84" s="26">
        <v>3</v>
      </c>
      <c r="E84" s="90">
        <v>46.942465753424699</v>
      </c>
      <c r="F84" s="28" t="s">
        <v>25</v>
      </c>
      <c r="G84" s="28" t="s">
        <v>60</v>
      </c>
      <c r="H84" s="28">
        <v>2022</v>
      </c>
      <c r="I84" s="93">
        <v>44862</v>
      </c>
      <c r="J84" s="28" t="s">
        <v>68</v>
      </c>
      <c r="K84" s="28" t="s">
        <v>39</v>
      </c>
      <c r="L84" s="12"/>
      <c r="M84" s="12"/>
      <c r="N84" s="28" t="s">
        <v>46</v>
      </c>
      <c r="O84" s="12"/>
      <c r="P84" s="12" t="s">
        <v>31</v>
      </c>
    </row>
    <row r="85" spans="1:24" ht="40.5" customHeight="1">
      <c r="A85" s="12" t="s">
        <v>65</v>
      </c>
      <c r="B85" s="12" t="s">
        <v>170</v>
      </c>
      <c r="C85" s="80">
        <v>6079867</v>
      </c>
      <c r="D85" s="26">
        <v>2</v>
      </c>
      <c r="E85" s="28">
        <v>70</v>
      </c>
      <c r="F85" s="28" t="s">
        <v>33</v>
      </c>
      <c r="G85" s="28" t="s">
        <v>171</v>
      </c>
      <c r="H85" s="28"/>
      <c r="I85" s="28"/>
      <c r="J85" s="28" t="s">
        <v>172</v>
      </c>
      <c r="K85" s="28" t="s">
        <v>162</v>
      </c>
      <c r="L85" s="12"/>
      <c r="M85" s="12"/>
      <c r="N85" s="28" t="s">
        <v>64</v>
      </c>
      <c r="O85" s="12" t="s">
        <v>158</v>
      </c>
      <c r="P85" s="12" t="s">
        <v>75</v>
      </c>
    </row>
    <row r="86" spans="1:24" ht="40.5" customHeight="1">
      <c r="A86" s="12" t="s">
        <v>65</v>
      </c>
      <c r="B86" s="12" t="s">
        <v>173</v>
      </c>
      <c r="C86" s="80">
        <v>9271499</v>
      </c>
      <c r="D86" s="26">
        <v>3</v>
      </c>
      <c r="E86" s="28">
        <v>63</v>
      </c>
      <c r="F86" s="28" t="s">
        <v>25</v>
      </c>
      <c r="G86" s="28" t="s">
        <v>104</v>
      </c>
      <c r="H86" s="28">
        <v>2024</v>
      </c>
      <c r="I86" s="28"/>
      <c r="J86" s="28" t="s">
        <v>55</v>
      </c>
      <c r="K86" s="28" t="s">
        <v>174</v>
      </c>
      <c r="L86" s="95">
        <v>45378</v>
      </c>
      <c r="M86" s="12" t="s">
        <v>165</v>
      </c>
      <c r="N86" s="28" t="s">
        <v>6</v>
      </c>
      <c r="O86" s="12" t="s">
        <v>158</v>
      </c>
      <c r="P86" s="12" t="s">
        <v>31</v>
      </c>
    </row>
    <row r="87" spans="1:24" ht="40.5" customHeight="1">
      <c r="A87" s="12"/>
      <c r="B87" s="12" t="s">
        <v>175</v>
      </c>
      <c r="C87" s="80">
        <v>4541394</v>
      </c>
      <c r="D87" s="26">
        <v>2</v>
      </c>
      <c r="E87" s="28">
        <v>83</v>
      </c>
      <c r="F87" s="28" t="s">
        <v>25</v>
      </c>
      <c r="G87" s="28"/>
      <c r="H87" s="28"/>
      <c r="I87" s="28"/>
      <c r="J87" s="28"/>
      <c r="K87" s="28"/>
      <c r="L87" s="12"/>
      <c r="M87" s="12"/>
      <c r="N87" s="28"/>
      <c r="O87" s="12"/>
      <c r="P87" s="12" t="s">
        <v>31</v>
      </c>
    </row>
    <row r="88" spans="1:24" ht="40.5" customHeight="1">
      <c r="A88" s="12" t="s">
        <v>65</v>
      </c>
      <c r="B88" s="12" t="s">
        <v>176</v>
      </c>
      <c r="C88" s="80">
        <v>15042976</v>
      </c>
      <c r="D88" s="26">
        <v>5</v>
      </c>
      <c r="E88" s="28">
        <v>40</v>
      </c>
      <c r="F88" s="28" t="s">
        <v>70</v>
      </c>
      <c r="G88" s="28"/>
      <c r="H88" s="28">
        <v>2018</v>
      </c>
      <c r="I88" s="93">
        <v>43284</v>
      </c>
      <c r="J88" s="28" t="s">
        <v>38</v>
      </c>
      <c r="K88" s="28" t="s">
        <v>28</v>
      </c>
      <c r="L88" s="12"/>
      <c r="M88" s="12"/>
      <c r="N88" s="28" t="s">
        <v>64</v>
      </c>
      <c r="O88" s="12" t="s">
        <v>155</v>
      </c>
      <c r="P88" s="12" t="s">
        <v>177</v>
      </c>
    </row>
    <row r="89" spans="1:24" ht="40.5" customHeight="1">
      <c r="A89" s="12" t="s">
        <v>23</v>
      </c>
      <c r="B89" s="12" t="s">
        <v>178</v>
      </c>
      <c r="C89" s="80">
        <v>3208974</v>
      </c>
      <c r="D89" s="26">
        <v>7</v>
      </c>
      <c r="E89" s="28">
        <v>91</v>
      </c>
      <c r="F89" s="28" t="s">
        <v>94</v>
      </c>
      <c r="G89" s="28" t="s">
        <v>74</v>
      </c>
      <c r="H89" s="28" t="s">
        <v>179</v>
      </c>
      <c r="I89" s="93">
        <v>45380</v>
      </c>
      <c r="J89" s="28" t="s">
        <v>38</v>
      </c>
      <c r="K89" s="28" t="s">
        <v>180</v>
      </c>
      <c r="L89" s="12" t="s">
        <v>181</v>
      </c>
      <c r="M89" s="12" t="s">
        <v>181</v>
      </c>
      <c r="N89" s="28" t="s">
        <v>64</v>
      </c>
      <c r="O89" s="12" t="s">
        <v>34</v>
      </c>
      <c r="P89" s="12" t="s">
        <v>31</v>
      </c>
    </row>
    <row r="90" spans="1:24" ht="40.5" customHeight="1">
      <c r="A90" s="12" t="s">
        <v>23</v>
      </c>
      <c r="B90" s="12" t="s">
        <v>182</v>
      </c>
      <c r="C90" s="80">
        <v>21917512</v>
      </c>
      <c r="D90" s="26">
        <v>4</v>
      </c>
      <c r="E90" s="28">
        <v>18</v>
      </c>
      <c r="F90" s="28" t="s">
        <v>33</v>
      </c>
      <c r="G90" s="28" t="s">
        <v>77</v>
      </c>
      <c r="H90" s="28" t="s">
        <v>179</v>
      </c>
      <c r="I90" s="28" t="s">
        <v>183</v>
      </c>
      <c r="J90" s="28" t="s">
        <v>38</v>
      </c>
      <c r="K90" s="28" t="s">
        <v>184</v>
      </c>
      <c r="L90" s="28" t="s">
        <v>185</v>
      </c>
      <c r="M90" s="12" t="s">
        <v>181</v>
      </c>
      <c r="N90" s="28" t="s">
        <v>64</v>
      </c>
      <c r="O90" s="12" t="s">
        <v>34</v>
      </c>
      <c r="P90" s="12" t="s">
        <v>99</v>
      </c>
      <c r="Q90" s="12" t="e">
        <f ca="1">#REF!-TODAY()</f>
        <v>#REF!</v>
      </c>
      <c r="R90" s="12" t="e">
        <f ca="1">IF(Q90&gt;=25,"Vigente",IF(AND(Q90&gt;=1,Q90&lt;=25),"Por Vencer","Vencido"))</f>
        <v>#REF!</v>
      </c>
      <c r="S90" s="12"/>
    </row>
    <row r="91" spans="1:24" ht="65.25" customHeight="1">
      <c r="A91" s="12" t="s">
        <v>65</v>
      </c>
      <c r="B91" s="12" t="s">
        <v>186</v>
      </c>
      <c r="C91" s="80">
        <v>12426551</v>
      </c>
      <c r="D91" s="81">
        <v>7</v>
      </c>
      <c r="E91" s="28">
        <v>57</v>
      </c>
      <c r="F91" s="28" t="s">
        <v>25</v>
      </c>
      <c r="G91" s="12" t="s">
        <v>187</v>
      </c>
      <c r="H91" s="28">
        <v>2022</v>
      </c>
      <c r="I91" s="93">
        <v>44830</v>
      </c>
      <c r="J91" s="28" t="s">
        <v>38</v>
      </c>
      <c r="K91" s="28" t="s">
        <v>28</v>
      </c>
      <c r="L91" s="28" t="s">
        <v>185</v>
      </c>
      <c r="M91" s="12" t="s">
        <v>181</v>
      </c>
      <c r="N91" s="28" t="s">
        <v>30</v>
      </c>
      <c r="O91" s="12" t="s">
        <v>155</v>
      </c>
      <c r="P91" s="12" t="s">
        <v>188</v>
      </c>
      <c r="Q91" s="12" t="e">
        <f ca="1">#REF!-TODAY()</f>
        <v>#REF!</v>
      </c>
      <c r="R91" s="12" t="e">
        <f ca="1">IF(Q91&gt;=20,"Vigente",IF(AND(Q91&gt;=1,Q91&lt;=20),"Por Vencer","Vencido"))</f>
        <v>#REF!</v>
      </c>
      <c r="S91" s="12"/>
    </row>
    <row r="92" spans="1:24" ht="65.25" customHeight="1">
      <c r="A92" s="12" t="s">
        <v>189</v>
      </c>
      <c r="B92" s="12" t="s">
        <v>190</v>
      </c>
      <c r="C92" s="80">
        <v>5704764</v>
      </c>
      <c r="D92" s="81" t="s">
        <v>135</v>
      </c>
      <c r="E92" s="90">
        <v>73.739726027397296</v>
      </c>
      <c r="F92" s="28" t="s">
        <v>25</v>
      </c>
      <c r="G92" s="12" t="s">
        <v>60</v>
      </c>
      <c r="H92" s="28">
        <v>2020</v>
      </c>
      <c r="I92" s="93">
        <v>43867</v>
      </c>
      <c r="J92" s="28" t="s">
        <v>27</v>
      </c>
      <c r="K92" s="28" t="s">
        <v>39</v>
      </c>
      <c r="L92" s="93">
        <v>45462</v>
      </c>
      <c r="M92" s="12" t="s">
        <v>191</v>
      </c>
      <c r="N92" s="28" t="s">
        <v>30</v>
      </c>
      <c r="O92" s="12" t="s">
        <v>158</v>
      </c>
      <c r="P92" s="12" t="s">
        <v>31</v>
      </c>
    </row>
    <row r="93" spans="1:24" ht="65.25" customHeight="1">
      <c r="A93" s="12" t="s">
        <v>65</v>
      </c>
      <c r="B93" s="12" t="s">
        <v>192</v>
      </c>
      <c r="C93" s="80">
        <v>5679629</v>
      </c>
      <c r="D93" s="81">
        <v>0</v>
      </c>
      <c r="E93" s="28">
        <v>81</v>
      </c>
      <c r="F93" s="83" t="s">
        <v>70</v>
      </c>
      <c r="G93" s="12" t="s">
        <v>67</v>
      </c>
      <c r="H93" s="28">
        <v>2024</v>
      </c>
      <c r="I93" s="93">
        <v>45218</v>
      </c>
      <c r="J93" s="28" t="s">
        <v>68</v>
      </c>
      <c r="K93" s="28" t="s">
        <v>58</v>
      </c>
      <c r="L93" s="93">
        <v>45406</v>
      </c>
      <c r="M93" s="12" t="s">
        <v>193</v>
      </c>
      <c r="N93" s="28" t="s">
        <v>30</v>
      </c>
      <c r="O93" s="12" t="s">
        <v>155</v>
      </c>
      <c r="P93" s="12" t="s">
        <v>31</v>
      </c>
    </row>
    <row r="94" spans="1:24" ht="65.25" customHeight="1">
      <c r="A94" s="12" t="s">
        <v>189</v>
      </c>
      <c r="B94" s="12" t="s">
        <v>194</v>
      </c>
      <c r="C94" s="80">
        <v>7486835</v>
      </c>
      <c r="D94" s="81">
        <v>5</v>
      </c>
      <c r="E94" s="28" t="e">
        <f ca="1">DATEDIF(#REF!,TODAY(),"Y")</f>
        <v>#REF!</v>
      </c>
      <c r="F94" s="28" t="s">
        <v>25</v>
      </c>
      <c r="G94" s="12" t="s">
        <v>60</v>
      </c>
      <c r="H94" s="28" t="s">
        <v>179</v>
      </c>
      <c r="I94" s="28" t="s">
        <v>183</v>
      </c>
      <c r="J94" s="28" t="s">
        <v>68</v>
      </c>
      <c r="K94" s="28" t="s">
        <v>39</v>
      </c>
      <c r="L94" s="28" t="s">
        <v>185</v>
      </c>
      <c r="M94" s="12" t="s">
        <v>181</v>
      </c>
      <c r="N94" s="28" t="s">
        <v>64</v>
      </c>
      <c r="O94" s="12" t="s">
        <v>158</v>
      </c>
      <c r="P94" s="12" t="s">
        <v>31</v>
      </c>
      <c r="Q94" s="12"/>
      <c r="R94" s="12"/>
      <c r="S94" s="12"/>
      <c r="T94" s="12"/>
      <c r="U94" s="95"/>
      <c r="V94" s="12">
        <f ca="1">U94-TODAY()</f>
        <v>-46085</v>
      </c>
      <c r="W94" s="12" t="str">
        <f t="shared" ref="W94:W99" ca="1" si="0">IF(V94&gt;=20,"Vigente",IF(AND(V94&gt;=1,V94&lt;=20),"Por Vencer","Vencido"))</f>
        <v>Vencido</v>
      </c>
      <c r="X94" s="12"/>
    </row>
    <row r="95" spans="1:24" ht="65.25" customHeight="1">
      <c r="A95" s="12" t="s">
        <v>65</v>
      </c>
      <c r="B95" s="12" t="s">
        <v>195</v>
      </c>
      <c r="C95" s="80">
        <v>4175016</v>
      </c>
      <c r="D95" s="81">
        <v>2</v>
      </c>
      <c r="E95" s="28" t="e">
        <f ca="1">DATEDIF(#REF!,TODAY(),"Y")</f>
        <v>#REF!</v>
      </c>
      <c r="F95" s="28"/>
      <c r="G95" s="12" t="s">
        <v>88</v>
      </c>
      <c r="H95" s="28" t="s">
        <v>179</v>
      </c>
      <c r="I95" s="28" t="s">
        <v>183</v>
      </c>
      <c r="J95" s="28" t="s">
        <v>68</v>
      </c>
      <c r="K95" s="28" t="s">
        <v>196</v>
      </c>
      <c r="L95" s="28" t="s">
        <v>185</v>
      </c>
      <c r="M95" s="12" t="s">
        <v>181</v>
      </c>
      <c r="N95" s="28" t="s">
        <v>64</v>
      </c>
      <c r="O95" s="12" t="s">
        <v>158</v>
      </c>
      <c r="P95" s="12" t="s">
        <v>31</v>
      </c>
      <c r="Q95" s="12"/>
      <c r="R95" s="12"/>
      <c r="S95" s="12"/>
      <c r="T95" s="12"/>
      <c r="U95" s="95"/>
      <c r="V95" s="12">
        <f ca="1">U95-TODAY()</f>
        <v>-46085</v>
      </c>
      <c r="W95" s="12" t="str">
        <f t="shared" ca="1" si="0"/>
        <v>Vencido</v>
      </c>
      <c r="X95" s="12"/>
    </row>
    <row r="96" spans="1:24" ht="65.25" customHeight="1">
      <c r="A96" s="12" t="s">
        <v>65</v>
      </c>
      <c r="B96" s="128" t="s">
        <v>197</v>
      </c>
      <c r="C96" s="129">
        <v>7117699</v>
      </c>
      <c r="D96" s="134">
        <v>1</v>
      </c>
      <c r="E96" s="83" t="e">
        <f ca="1">DATEDIF(#REF!,TODAY(),"Y")</f>
        <v>#REF!</v>
      </c>
      <c r="F96" s="83" t="s">
        <v>25</v>
      </c>
      <c r="G96" s="128" t="s">
        <v>198</v>
      </c>
      <c r="H96" s="28">
        <v>2024</v>
      </c>
      <c r="I96" s="28" t="s">
        <v>183</v>
      </c>
      <c r="J96" s="28" t="s">
        <v>68</v>
      </c>
      <c r="K96" s="28" t="s">
        <v>196</v>
      </c>
      <c r="L96" s="28" t="s">
        <v>185</v>
      </c>
      <c r="M96" s="12" t="s">
        <v>181</v>
      </c>
      <c r="N96" s="28" t="s">
        <v>64</v>
      </c>
      <c r="O96" s="12" t="s">
        <v>158</v>
      </c>
      <c r="P96" s="12" t="s">
        <v>31</v>
      </c>
      <c r="Q96" s="12"/>
      <c r="R96" s="12"/>
      <c r="S96" s="12"/>
      <c r="T96" s="95"/>
      <c r="U96" s="95"/>
      <c r="V96" s="12"/>
      <c r="W96" s="12" t="str">
        <f t="shared" si="0"/>
        <v>Vencido</v>
      </c>
      <c r="X96" s="12"/>
    </row>
    <row r="97" spans="1:24" ht="65.25" customHeight="1">
      <c r="A97" s="12" t="s">
        <v>65</v>
      </c>
      <c r="B97" s="12" t="s">
        <v>199</v>
      </c>
      <c r="C97" s="80">
        <v>8579503</v>
      </c>
      <c r="D97" s="81">
        <v>1</v>
      </c>
      <c r="E97" s="28" t="e">
        <f ca="1">DATEDIF(#REF!,TODAY(),"Y")</f>
        <v>#REF!</v>
      </c>
      <c r="F97" s="28" t="s">
        <v>25</v>
      </c>
      <c r="G97" s="12" t="s">
        <v>67</v>
      </c>
      <c r="H97" s="28">
        <v>2024</v>
      </c>
      <c r="I97" s="93">
        <v>45447</v>
      </c>
      <c r="J97" s="28" t="s">
        <v>172</v>
      </c>
      <c r="K97" s="28" t="s">
        <v>39</v>
      </c>
      <c r="L97" s="28" t="s">
        <v>185</v>
      </c>
      <c r="M97" s="12" t="s">
        <v>181</v>
      </c>
      <c r="N97" s="28" t="s">
        <v>64</v>
      </c>
      <c r="O97" s="12" t="s">
        <v>158</v>
      </c>
      <c r="P97" s="12" t="s">
        <v>31</v>
      </c>
      <c r="Q97" s="12"/>
      <c r="R97" s="12"/>
      <c r="S97" s="12"/>
      <c r="T97" s="12"/>
      <c r="U97" s="95"/>
      <c r="V97" s="12">
        <f t="shared" ref="V97:V106" ca="1" si="1">U97-TODAY()</f>
        <v>-46085</v>
      </c>
      <c r="W97" s="12" t="str">
        <f t="shared" ca="1" si="0"/>
        <v>Vencido</v>
      </c>
      <c r="X97" s="12"/>
    </row>
    <row r="98" spans="1:24" ht="65.25" customHeight="1">
      <c r="A98" s="12" t="s">
        <v>189</v>
      </c>
      <c r="B98" s="12" t="s">
        <v>200</v>
      </c>
      <c r="C98" s="80">
        <v>7923341</v>
      </c>
      <c r="D98" s="81">
        <v>2</v>
      </c>
      <c r="E98" s="28" t="e">
        <f ca="1">DATEDIF(#REF!,TODAY(),"Y")</f>
        <v>#REF!</v>
      </c>
      <c r="F98" s="28" t="s">
        <v>25</v>
      </c>
      <c r="G98" s="12" t="s">
        <v>26</v>
      </c>
      <c r="H98" s="28">
        <v>2023</v>
      </c>
      <c r="I98" s="93">
        <v>45212</v>
      </c>
      <c r="J98" s="28" t="s">
        <v>27</v>
      </c>
      <c r="K98" s="28" t="s">
        <v>39</v>
      </c>
      <c r="L98" s="93">
        <v>45236</v>
      </c>
      <c r="M98" s="12"/>
      <c r="N98" s="28" t="s">
        <v>2</v>
      </c>
      <c r="O98" s="12" t="s">
        <v>158</v>
      </c>
      <c r="P98" s="12" t="s">
        <v>31</v>
      </c>
      <c r="Q98" s="12"/>
      <c r="R98" s="12"/>
      <c r="S98" s="12"/>
      <c r="T98" s="12"/>
      <c r="U98" s="95"/>
      <c r="V98" s="12">
        <f t="shared" ca="1" si="1"/>
        <v>-46085</v>
      </c>
      <c r="W98" s="12" t="str">
        <f t="shared" ca="1" si="0"/>
        <v>Vencido</v>
      </c>
      <c r="X98" s="12"/>
    </row>
    <row r="99" spans="1:24" s="115" customFormat="1" ht="65.25" customHeight="1">
      <c r="A99" s="12" t="s">
        <v>65</v>
      </c>
      <c r="B99" s="12" t="s">
        <v>201</v>
      </c>
      <c r="C99" s="80">
        <v>11008549</v>
      </c>
      <c r="D99" s="81">
        <v>4</v>
      </c>
      <c r="E99" s="28" t="e">
        <f ca="1">DATEDIF(#REF!,TODAY(),"Y")</f>
        <v>#REF!</v>
      </c>
      <c r="F99" s="28" t="s">
        <v>25</v>
      </c>
      <c r="G99" s="12" t="s">
        <v>202</v>
      </c>
      <c r="H99" s="28">
        <v>2024</v>
      </c>
      <c r="I99" s="28" t="s">
        <v>183</v>
      </c>
      <c r="J99" s="28" t="s">
        <v>27</v>
      </c>
      <c r="K99" s="28" t="s">
        <v>39</v>
      </c>
      <c r="L99" s="93" t="s">
        <v>185</v>
      </c>
      <c r="M99" s="12" t="s">
        <v>181</v>
      </c>
      <c r="N99" s="28" t="s">
        <v>64</v>
      </c>
      <c r="O99" s="12" t="s">
        <v>158</v>
      </c>
      <c r="P99" s="12" t="s">
        <v>203</v>
      </c>
      <c r="Q99" s="12"/>
      <c r="R99" s="12"/>
      <c r="S99" s="12"/>
      <c r="T99" s="95"/>
      <c r="U99" s="95"/>
      <c r="V99" s="12">
        <f t="shared" ca="1" si="1"/>
        <v>-46085</v>
      </c>
      <c r="W99" s="12" t="str">
        <f t="shared" ca="1" si="0"/>
        <v>Vencido</v>
      </c>
      <c r="X99" s="12"/>
    </row>
    <row r="100" spans="1:24" ht="65.25" customHeight="1">
      <c r="A100" s="12" t="s">
        <v>65</v>
      </c>
      <c r="B100" s="12" t="s">
        <v>204</v>
      </c>
      <c r="C100" s="80">
        <v>8783646</v>
      </c>
      <c r="D100" s="81">
        <v>0</v>
      </c>
      <c r="E100" s="28" t="e">
        <f ca="1">DATEDIF(#REF!,TODAY(),"Y")</f>
        <v>#REF!</v>
      </c>
      <c r="F100" s="28" t="s">
        <v>25</v>
      </c>
      <c r="G100" s="12" t="s">
        <v>205</v>
      </c>
      <c r="H100" s="28">
        <v>2023</v>
      </c>
      <c r="I100" s="93">
        <v>45147</v>
      </c>
      <c r="J100" s="28" t="s">
        <v>27</v>
      </c>
      <c r="K100" s="28" t="s">
        <v>28</v>
      </c>
      <c r="L100" s="93">
        <v>45510</v>
      </c>
      <c r="M100" s="12" t="s">
        <v>206</v>
      </c>
      <c r="N100" s="28" t="s">
        <v>2</v>
      </c>
      <c r="O100" s="12" t="s">
        <v>158</v>
      </c>
      <c r="P100" s="12" t="s">
        <v>31</v>
      </c>
      <c r="Q100" s="137"/>
      <c r="R100" s="12"/>
      <c r="S100" s="12"/>
      <c r="T100" s="95"/>
      <c r="U100" s="95"/>
      <c r="V100" s="12">
        <f t="shared" ca="1" si="1"/>
        <v>-46085</v>
      </c>
      <c r="W100" s="12" t="str">
        <f t="shared" ref="W100:W106" ca="1" si="2">IF(V100&gt;=20,"Vigente",IF(AND(V100&gt;=1,V100&lt;=20),"Por Vencer","Vencido"))</f>
        <v>Vencido</v>
      </c>
      <c r="X100" s="12"/>
    </row>
    <row r="101" spans="1:24" s="68" customFormat="1" ht="65.25" customHeight="1">
      <c r="A101" s="21" t="s">
        <v>189</v>
      </c>
      <c r="B101" s="21" t="s">
        <v>207</v>
      </c>
      <c r="C101" s="78">
        <v>10812531</v>
      </c>
      <c r="D101" s="79">
        <v>4</v>
      </c>
      <c r="E101" s="40" t="e">
        <f ca="1">DATEDIF(#REF!,TODAY(),"Y")</f>
        <v>#REF!</v>
      </c>
      <c r="F101" s="40" t="s">
        <v>25</v>
      </c>
      <c r="G101" s="21" t="s">
        <v>26</v>
      </c>
      <c r="H101" s="40">
        <v>2024</v>
      </c>
      <c r="I101" s="91">
        <v>45299</v>
      </c>
      <c r="J101" s="40" t="s">
        <v>27</v>
      </c>
      <c r="K101" s="40" t="s">
        <v>39</v>
      </c>
      <c r="L101" s="91">
        <v>45306</v>
      </c>
      <c r="M101" s="21" t="s">
        <v>208</v>
      </c>
      <c r="N101" s="40" t="s">
        <v>64</v>
      </c>
      <c r="O101" s="21" t="s">
        <v>158</v>
      </c>
      <c r="P101" s="21" t="s">
        <v>31</v>
      </c>
      <c r="Q101" s="21"/>
      <c r="R101" s="21"/>
      <c r="S101" s="21"/>
      <c r="T101" s="100"/>
      <c r="U101" s="100"/>
      <c r="V101" s="21">
        <f t="shared" ca="1" si="1"/>
        <v>-46085</v>
      </c>
      <c r="W101" s="21" t="str">
        <f t="shared" ca="1" si="2"/>
        <v>Vencido</v>
      </c>
      <c r="X101" s="138"/>
    </row>
    <row r="102" spans="1:24" ht="65.25" customHeight="1">
      <c r="A102" s="12" t="s">
        <v>65</v>
      </c>
      <c r="B102" s="12" t="s">
        <v>209</v>
      </c>
      <c r="C102" s="80">
        <v>6780520</v>
      </c>
      <c r="D102" s="81">
        <v>8</v>
      </c>
      <c r="E102" s="28" t="e">
        <f ca="1">DATEDIF(#REF!,TODAY(),"Y")</f>
        <v>#REF!</v>
      </c>
      <c r="F102" s="28" t="s">
        <v>25</v>
      </c>
      <c r="G102" s="12" t="s">
        <v>198</v>
      </c>
      <c r="H102" s="28">
        <v>2024</v>
      </c>
      <c r="I102" s="28"/>
      <c r="J102" s="28" t="s">
        <v>68</v>
      </c>
      <c r="K102" s="28" t="s">
        <v>28</v>
      </c>
      <c r="L102" s="93">
        <v>45427</v>
      </c>
      <c r="M102" s="12"/>
      <c r="N102" s="28" t="s">
        <v>30</v>
      </c>
      <c r="O102" s="12" t="s">
        <v>155</v>
      </c>
      <c r="P102" s="12" t="s">
        <v>31</v>
      </c>
      <c r="Q102" s="12"/>
      <c r="R102" s="12"/>
      <c r="S102" s="12"/>
      <c r="T102" s="12"/>
      <c r="U102" s="95"/>
      <c r="V102" s="12">
        <f t="shared" ca="1" si="1"/>
        <v>-46085</v>
      </c>
      <c r="W102" s="12" t="str">
        <f t="shared" ca="1" si="2"/>
        <v>Vencido</v>
      </c>
      <c r="X102" s="12"/>
    </row>
    <row r="103" spans="1:24" ht="65.25" customHeight="1">
      <c r="A103" s="12" t="s">
        <v>65</v>
      </c>
      <c r="B103" s="12" t="s">
        <v>210</v>
      </c>
      <c r="C103" s="80">
        <v>3903609</v>
      </c>
      <c r="D103" s="81">
        <v>6</v>
      </c>
      <c r="E103" s="28" t="e">
        <f ca="1">DATEDIF(#REF!,TODAY(),"Y")</f>
        <v>#REF!</v>
      </c>
      <c r="F103" s="28" t="s">
        <v>25</v>
      </c>
      <c r="G103" s="12" t="s">
        <v>211</v>
      </c>
      <c r="H103" s="28" t="s">
        <v>179</v>
      </c>
      <c r="I103" s="28" t="s">
        <v>183</v>
      </c>
      <c r="J103" s="28"/>
      <c r="K103" s="28" t="s">
        <v>58</v>
      </c>
      <c r="L103" s="28" t="s">
        <v>185</v>
      </c>
      <c r="M103" s="12" t="s">
        <v>181</v>
      </c>
      <c r="N103" s="28" t="s">
        <v>30</v>
      </c>
      <c r="O103" s="12" t="s">
        <v>155</v>
      </c>
      <c r="P103" s="12" t="s">
        <v>212</v>
      </c>
      <c r="Q103" s="12"/>
      <c r="R103" s="12"/>
      <c r="S103" s="12"/>
      <c r="T103" s="12"/>
      <c r="U103" s="95"/>
      <c r="V103" s="12">
        <f t="shared" ca="1" si="1"/>
        <v>-46085</v>
      </c>
      <c r="W103" s="12" t="str">
        <f t="shared" ca="1" si="2"/>
        <v>Vencido</v>
      </c>
      <c r="X103" s="12"/>
    </row>
    <row r="104" spans="1:24" ht="65.25" customHeight="1">
      <c r="A104" s="12" t="s">
        <v>65</v>
      </c>
      <c r="B104" s="12" t="s">
        <v>213</v>
      </c>
      <c r="C104" s="80">
        <v>10351578</v>
      </c>
      <c r="D104" s="81">
        <v>5</v>
      </c>
      <c r="E104" s="28" t="e">
        <f ca="1">DATEDIF(#REF!,TODAY(),"Y")</f>
        <v>#REF!</v>
      </c>
      <c r="F104" s="83" t="s">
        <v>70</v>
      </c>
      <c r="G104" s="12" t="s">
        <v>202</v>
      </c>
      <c r="H104" s="28" t="s">
        <v>179</v>
      </c>
      <c r="I104" s="28" t="s">
        <v>183</v>
      </c>
      <c r="J104" s="28" t="s">
        <v>27</v>
      </c>
      <c r="K104" s="28" t="s">
        <v>58</v>
      </c>
      <c r="L104" s="28" t="s">
        <v>185</v>
      </c>
      <c r="M104" s="12" t="s">
        <v>181</v>
      </c>
      <c r="N104" s="28" t="s">
        <v>30</v>
      </c>
      <c r="O104" s="12" t="s">
        <v>155</v>
      </c>
      <c r="P104" s="12" t="s">
        <v>31</v>
      </c>
      <c r="Q104" s="12"/>
      <c r="R104" s="12"/>
      <c r="S104" s="12"/>
      <c r="T104" s="12"/>
      <c r="U104" s="95"/>
      <c r="V104" s="12">
        <f t="shared" ca="1" si="1"/>
        <v>-46085</v>
      </c>
      <c r="W104" s="12" t="str">
        <f t="shared" ca="1" si="2"/>
        <v>Vencido</v>
      </c>
      <c r="X104" s="12"/>
    </row>
    <row r="105" spans="1:24" ht="65.25" customHeight="1">
      <c r="A105" s="12" t="s">
        <v>65</v>
      </c>
      <c r="B105" s="12" t="s">
        <v>214</v>
      </c>
      <c r="C105" s="80">
        <v>6109873</v>
      </c>
      <c r="D105" s="81">
        <v>9</v>
      </c>
      <c r="E105" s="28" t="e">
        <f ca="1">DATEDIF(#REF!,TODAY(),"Y")</f>
        <v>#REF!</v>
      </c>
      <c r="F105" s="28" t="s">
        <v>25</v>
      </c>
      <c r="G105" s="12" t="s">
        <v>198</v>
      </c>
      <c r="H105" s="28" t="s">
        <v>179</v>
      </c>
      <c r="I105" s="28" t="s">
        <v>183</v>
      </c>
      <c r="J105" s="28" t="s">
        <v>172</v>
      </c>
      <c r="K105" s="28" t="s">
        <v>58</v>
      </c>
      <c r="L105" s="28" t="s">
        <v>185</v>
      </c>
      <c r="M105" s="12" t="s">
        <v>181</v>
      </c>
      <c r="N105" s="28" t="s">
        <v>30</v>
      </c>
      <c r="O105" s="12" t="s">
        <v>155</v>
      </c>
      <c r="P105" s="12" t="s">
        <v>31</v>
      </c>
      <c r="Q105" s="12"/>
      <c r="R105" s="12"/>
      <c r="S105" s="12"/>
      <c r="T105" s="12"/>
      <c r="U105" s="95"/>
      <c r="V105" s="12">
        <f t="shared" ca="1" si="1"/>
        <v>-46085</v>
      </c>
      <c r="W105" s="12" t="str">
        <f t="shared" ca="1" si="2"/>
        <v>Vencido</v>
      </c>
      <c r="X105" s="12"/>
    </row>
    <row r="106" spans="1:24" ht="65.25" customHeight="1">
      <c r="A106" s="12" t="s">
        <v>189</v>
      </c>
      <c r="B106" s="12" t="s">
        <v>215</v>
      </c>
      <c r="C106" s="80">
        <v>12263650</v>
      </c>
      <c r="D106" s="81" t="s">
        <v>135</v>
      </c>
      <c r="E106" s="28" t="e">
        <f ca="1">DATEDIF(#REF!,TODAY(),"Y")</f>
        <v>#REF!</v>
      </c>
      <c r="F106" s="28"/>
      <c r="G106" s="12" t="s">
        <v>216</v>
      </c>
      <c r="H106" s="28" t="s">
        <v>179</v>
      </c>
      <c r="I106" s="28" t="s">
        <v>183</v>
      </c>
      <c r="J106" s="28"/>
      <c r="K106" s="28"/>
      <c r="L106" s="28" t="s">
        <v>185</v>
      </c>
      <c r="M106" s="12" t="s">
        <v>181</v>
      </c>
      <c r="N106" s="28" t="s">
        <v>30</v>
      </c>
      <c r="O106" s="12"/>
      <c r="P106" s="12" t="s">
        <v>217</v>
      </c>
      <c r="Q106" s="12"/>
      <c r="R106" s="12"/>
      <c r="S106" s="12"/>
      <c r="T106" s="12"/>
      <c r="U106" s="95"/>
      <c r="V106" s="12">
        <f t="shared" ca="1" si="1"/>
        <v>-46085</v>
      </c>
      <c r="W106" s="12" t="str">
        <f t="shared" ca="1" si="2"/>
        <v>Vencido</v>
      </c>
      <c r="X106" s="12"/>
    </row>
    <row r="107" spans="1:24" ht="65.25" customHeight="1">
      <c r="A107" s="12" t="s">
        <v>65</v>
      </c>
      <c r="B107" s="12" t="s">
        <v>218</v>
      </c>
      <c r="C107" s="80">
        <v>12350596</v>
      </c>
      <c r="D107" s="81">
        <v>4</v>
      </c>
      <c r="E107" s="28" t="e">
        <f ca="1">DATEDIF(#REF!,TODAY(),"Y")</f>
        <v>#REF!</v>
      </c>
      <c r="F107" s="28" t="s">
        <v>25</v>
      </c>
      <c r="G107" s="12" t="s">
        <v>219</v>
      </c>
      <c r="H107" s="28">
        <v>2024</v>
      </c>
      <c r="I107" s="93">
        <v>45391</v>
      </c>
      <c r="J107" s="28" t="s">
        <v>68</v>
      </c>
      <c r="K107" s="28" t="s">
        <v>39</v>
      </c>
      <c r="L107" s="93">
        <v>45399</v>
      </c>
      <c r="M107" s="12"/>
      <c r="N107" s="28" t="s">
        <v>2</v>
      </c>
      <c r="O107" s="12" t="s">
        <v>155</v>
      </c>
      <c r="P107" s="12" t="s">
        <v>31</v>
      </c>
      <c r="Q107" s="12"/>
      <c r="R107" s="12"/>
      <c r="S107" s="12"/>
      <c r="T107" s="12"/>
      <c r="U107" s="95"/>
      <c r="V107" s="12">
        <f t="shared" ref="V107:V115" ca="1" si="3">U107-TODAY()</f>
        <v>-46085</v>
      </c>
      <c r="W107" s="12" t="str">
        <f t="shared" ref="W107:W115" ca="1" si="4">IF(V107&gt;=20,"Vigente",IF(AND(V107&gt;=1,V107&lt;=20),"Por Vencer","Vencido"))</f>
        <v>Vencido</v>
      </c>
      <c r="X107" s="12"/>
    </row>
    <row r="108" spans="1:24" ht="65.25" customHeight="1">
      <c r="A108" s="12" t="s">
        <v>189</v>
      </c>
      <c r="B108" s="12" t="s">
        <v>220</v>
      </c>
      <c r="C108" s="80">
        <v>5250029</v>
      </c>
      <c r="D108" s="81" t="s">
        <v>135</v>
      </c>
      <c r="E108" s="28" t="e">
        <f ca="1">DATEDIF(#REF!,TODAY(),"Y")</f>
        <v>#REF!</v>
      </c>
      <c r="F108" s="28" t="s">
        <v>33</v>
      </c>
      <c r="G108" s="12" t="s">
        <v>60</v>
      </c>
      <c r="H108" s="28">
        <v>2023</v>
      </c>
      <c r="I108" s="111">
        <v>45104</v>
      </c>
      <c r="J108" s="28" t="s">
        <v>27</v>
      </c>
      <c r="K108" s="28" t="s">
        <v>39</v>
      </c>
      <c r="L108" s="93">
        <v>45156</v>
      </c>
      <c r="M108" s="12"/>
      <c r="N108" s="28" t="s">
        <v>2</v>
      </c>
      <c r="O108" s="12" t="s">
        <v>158</v>
      </c>
      <c r="P108" s="12" t="s">
        <v>31</v>
      </c>
      <c r="Q108" s="12"/>
      <c r="R108" s="12"/>
      <c r="S108" s="12"/>
      <c r="T108" s="12"/>
      <c r="U108" s="95"/>
      <c r="V108" s="12">
        <f t="shared" ca="1" si="3"/>
        <v>-46085</v>
      </c>
      <c r="W108" s="12" t="str">
        <f t="shared" ca="1" si="4"/>
        <v>Vencido</v>
      </c>
      <c r="X108" s="12"/>
    </row>
    <row r="109" spans="1:24" ht="65.25" customHeight="1">
      <c r="A109" s="12" t="s">
        <v>65</v>
      </c>
      <c r="B109" s="12" t="s">
        <v>221</v>
      </c>
      <c r="C109" s="80">
        <v>4631619</v>
      </c>
      <c r="D109" s="81">
        <v>3</v>
      </c>
      <c r="E109" s="28" t="e">
        <f ca="1">DATEDIF(#REF!,TODAY(),"Y")</f>
        <v>#REF!</v>
      </c>
      <c r="F109" s="28" t="s">
        <v>25</v>
      </c>
      <c r="G109" s="12" t="s">
        <v>26</v>
      </c>
      <c r="H109" s="28">
        <v>2024</v>
      </c>
      <c r="I109" s="93">
        <v>45308</v>
      </c>
      <c r="J109" s="28" t="s">
        <v>27</v>
      </c>
      <c r="K109" s="28" t="s">
        <v>39</v>
      </c>
      <c r="L109" s="28" t="s">
        <v>185</v>
      </c>
      <c r="M109" s="12" t="s">
        <v>181</v>
      </c>
      <c r="N109" s="28" t="s">
        <v>46</v>
      </c>
      <c r="O109" s="12" t="s">
        <v>158</v>
      </c>
      <c r="P109" s="12" t="s">
        <v>31</v>
      </c>
      <c r="Q109" s="12"/>
      <c r="R109" s="12"/>
      <c r="S109" s="12"/>
      <c r="T109" s="12"/>
      <c r="U109" s="95"/>
      <c r="V109" s="12">
        <f t="shared" ca="1" si="3"/>
        <v>-46085</v>
      </c>
      <c r="W109" s="12" t="str">
        <f t="shared" ca="1" si="4"/>
        <v>Vencido</v>
      </c>
      <c r="X109" s="12"/>
    </row>
    <row r="110" spans="1:24" ht="65.25" customHeight="1">
      <c r="A110" s="12" t="s">
        <v>189</v>
      </c>
      <c r="B110" s="12" t="s">
        <v>222</v>
      </c>
      <c r="C110" s="80">
        <v>23296172</v>
      </c>
      <c r="D110" s="81">
        <v>4</v>
      </c>
      <c r="E110" s="28" t="e">
        <f ca="1">DATEDIF(#REF!,TODAY(),"Y")</f>
        <v>#REF!</v>
      </c>
      <c r="F110" s="28" t="s">
        <v>25</v>
      </c>
      <c r="G110" s="12" t="s">
        <v>60</v>
      </c>
      <c r="H110" s="28">
        <v>2023</v>
      </c>
      <c r="I110" s="93">
        <v>45125</v>
      </c>
      <c r="J110" s="28" t="s">
        <v>27</v>
      </c>
      <c r="K110" s="28" t="s">
        <v>39</v>
      </c>
      <c r="L110" s="28" t="s">
        <v>185</v>
      </c>
      <c r="M110" s="12" t="s">
        <v>181</v>
      </c>
      <c r="N110" s="28" t="s">
        <v>2</v>
      </c>
      <c r="O110" s="12" t="s">
        <v>34</v>
      </c>
      <c r="P110" s="12" t="s">
        <v>223</v>
      </c>
      <c r="Q110" s="12"/>
      <c r="R110" s="12"/>
      <c r="S110" s="12"/>
      <c r="T110" s="12"/>
      <c r="U110" s="95"/>
      <c r="V110" s="12">
        <f t="shared" ca="1" si="3"/>
        <v>-46085</v>
      </c>
      <c r="W110" s="12" t="str">
        <f t="shared" ca="1" si="4"/>
        <v>Vencido</v>
      </c>
      <c r="X110" s="12"/>
    </row>
    <row r="111" spans="1:24" ht="65.25" customHeight="1">
      <c r="A111" s="12" t="s">
        <v>65</v>
      </c>
      <c r="B111" s="12" t="s">
        <v>224</v>
      </c>
      <c r="C111" s="71">
        <v>6955226</v>
      </c>
      <c r="D111" s="81">
        <v>9</v>
      </c>
      <c r="E111" s="28" t="e">
        <f ca="1">DATEDIF(#REF!,TODAY(),"Y")</f>
        <v>#REF!</v>
      </c>
      <c r="F111" s="28" t="s">
        <v>25</v>
      </c>
      <c r="G111" s="12" t="s">
        <v>160</v>
      </c>
      <c r="H111" s="28">
        <v>2023</v>
      </c>
      <c r="I111" s="93">
        <v>45243</v>
      </c>
      <c r="J111" s="28" t="s">
        <v>27</v>
      </c>
      <c r="K111" s="28" t="s">
        <v>39</v>
      </c>
      <c r="L111" s="93">
        <v>45371</v>
      </c>
      <c r="M111" s="12"/>
      <c r="N111" s="28" t="s">
        <v>64</v>
      </c>
      <c r="O111" s="12" t="s">
        <v>155</v>
      </c>
      <c r="P111" s="12" t="s">
        <v>31</v>
      </c>
      <c r="Q111" s="12"/>
      <c r="R111" s="12"/>
      <c r="S111" s="12"/>
      <c r="T111" s="12"/>
      <c r="U111" s="95"/>
      <c r="V111" s="12">
        <f t="shared" ca="1" si="3"/>
        <v>-46085</v>
      </c>
      <c r="W111" s="12" t="str">
        <f t="shared" ca="1" si="4"/>
        <v>Vencido</v>
      </c>
      <c r="X111" s="12"/>
    </row>
    <row r="112" spans="1:24" ht="65.25" customHeight="1">
      <c r="A112" s="12" t="s">
        <v>189</v>
      </c>
      <c r="B112" s="12" t="s">
        <v>225</v>
      </c>
      <c r="C112" s="80">
        <v>4380697</v>
      </c>
      <c r="D112" s="81">
        <v>1</v>
      </c>
      <c r="E112" s="28" t="e">
        <f ca="1">DATEDIF(#REF!,TODAY(),"Y")</f>
        <v>#REF!</v>
      </c>
      <c r="F112" s="83" t="s">
        <v>70</v>
      </c>
      <c r="G112" s="12" t="s">
        <v>60</v>
      </c>
      <c r="H112" s="28">
        <v>2024</v>
      </c>
      <c r="I112" s="93">
        <v>45335</v>
      </c>
      <c r="J112" s="28" t="s">
        <v>68</v>
      </c>
      <c r="K112" s="28" t="s">
        <v>39</v>
      </c>
      <c r="L112" s="93">
        <v>45371</v>
      </c>
      <c r="M112" s="12"/>
      <c r="N112" s="28" t="s">
        <v>2</v>
      </c>
      <c r="O112" s="12" t="s">
        <v>158</v>
      </c>
      <c r="P112" s="12" t="s">
        <v>31</v>
      </c>
      <c r="Q112" s="12"/>
      <c r="R112" s="12"/>
      <c r="S112" s="12"/>
      <c r="T112" s="12"/>
      <c r="U112" s="95"/>
      <c r="V112" s="12">
        <f t="shared" ca="1" si="3"/>
        <v>-46085</v>
      </c>
      <c r="W112" s="12" t="str">
        <f t="shared" ca="1" si="4"/>
        <v>Vencido</v>
      </c>
      <c r="X112" s="12"/>
    </row>
    <row r="113" spans="1:24" ht="65.25" customHeight="1">
      <c r="A113" s="12" t="s">
        <v>189</v>
      </c>
      <c r="B113" s="12" t="s">
        <v>226</v>
      </c>
      <c r="C113" s="80">
        <v>6407404</v>
      </c>
      <c r="D113" s="81">
        <v>0</v>
      </c>
      <c r="E113" s="28" t="e">
        <f ca="1">DATEDIF(#REF!,TODAY(),"Y")</f>
        <v>#REF!</v>
      </c>
      <c r="F113" s="28" t="s">
        <v>25</v>
      </c>
      <c r="G113" s="12" t="s">
        <v>60</v>
      </c>
      <c r="H113" s="28">
        <v>2024</v>
      </c>
      <c r="I113" s="93">
        <v>45462</v>
      </c>
      <c r="J113" s="28" t="s">
        <v>68</v>
      </c>
      <c r="K113" s="28" t="s">
        <v>39</v>
      </c>
      <c r="L113" s="93">
        <v>45474</v>
      </c>
      <c r="M113" s="12"/>
      <c r="N113" s="28" t="s">
        <v>2</v>
      </c>
      <c r="O113" s="12" t="s">
        <v>158</v>
      </c>
      <c r="P113" s="12" t="s">
        <v>31</v>
      </c>
      <c r="Q113" s="12"/>
      <c r="R113" s="12"/>
      <c r="S113" s="12"/>
      <c r="T113" s="12"/>
      <c r="U113" s="95">
        <v>45476.604166666701</v>
      </c>
      <c r="V113" s="12">
        <f t="shared" ca="1" si="3"/>
        <v>-608.39583333329938</v>
      </c>
      <c r="W113" s="12" t="str">
        <f t="shared" ca="1" si="4"/>
        <v>Vencido</v>
      </c>
      <c r="X113" s="12"/>
    </row>
    <row r="114" spans="1:24" ht="65.25" customHeight="1">
      <c r="A114" s="12" t="s">
        <v>189</v>
      </c>
      <c r="B114" s="12" t="s">
        <v>227</v>
      </c>
      <c r="C114" s="3">
        <v>10934477</v>
      </c>
      <c r="D114" s="81" t="s">
        <v>135</v>
      </c>
      <c r="E114" s="28" t="e">
        <f ca="1">DATEDIF(#REF!,TODAY(),"Y")</f>
        <v>#REF!</v>
      </c>
      <c r="F114" s="28" t="s">
        <v>25</v>
      </c>
      <c r="G114" s="12" t="s">
        <v>60</v>
      </c>
      <c r="H114" s="28">
        <v>2022</v>
      </c>
      <c r="I114" s="93">
        <v>44833</v>
      </c>
      <c r="J114" s="28" t="s">
        <v>27</v>
      </c>
      <c r="K114" s="28" t="s">
        <v>39</v>
      </c>
      <c r="L114" s="28" t="s">
        <v>185</v>
      </c>
      <c r="M114" s="12" t="s">
        <v>181</v>
      </c>
      <c r="N114" s="28" t="s">
        <v>2</v>
      </c>
      <c r="O114" s="12" t="s">
        <v>158</v>
      </c>
      <c r="P114" s="12" t="s">
        <v>228</v>
      </c>
      <c r="Q114" s="12"/>
      <c r="R114" s="12"/>
      <c r="S114" s="12"/>
      <c r="T114" s="12"/>
      <c r="U114" s="95"/>
      <c r="V114" s="12">
        <f t="shared" ca="1" si="3"/>
        <v>-46085</v>
      </c>
      <c r="W114" s="12" t="str">
        <f t="shared" ca="1" si="4"/>
        <v>Vencido</v>
      </c>
      <c r="X114" s="12"/>
    </row>
    <row r="115" spans="1:24" ht="65.25" customHeight="1">
      <c r="A115" s="12" t="s">
        <v>65</v>
      </c>
      <c r="B115" s="12" t="s">
        <v>229</v>
      </c>
      <c r="C115" s="80">
        <v>5695315</v>
      </c>
      <c r="D115" s="81">
        <v>9</v>
      </c>
      <c r="E115" s="28" t="e">
        <f ca="1">DATEDIF(#REF!,TODAY(),"Y")</f>
        <v>#REF!</v>
      </c>
      <c r="F115" s="28" t="s">
        <v>25</v>
      </c>
      <c r="G115" s="12" t="s">
        <v>86</v>
      </c>
      <c r="H115" s="28" t="s">
        <v>179</v>
      </c>
      <c r="I115" s="28" t="s">
        <v>183</v>
      </c>
      <c r="J115" s="28" t="s">
        <v>167</v>
      </c>
      <c r="K115" s="28" t="s">
        <v>39</v>
      </c>
      <c r="L115" s="93">
        <v>45131</v>
      </c>
      <c r="M115" s="12"/>
      <c r="N115" s="28" t="s">
        <v>46</v>
      </c>
      <c r="O115" s="12" t="s">
        <v>155</v>
      </c>
      <c r="P115" s="12" t="s">
        <v>230</v>
      </c>
      <c r="Q115" s="12"/>
      <c r="R115" s="12"/>
      <c r="S115" s="12"/>
      <c r="T115" s="12"/>
      <c r="U115" s="95"/>
      <c r="V115" s="12">
        <f t="shared" ca="1" si="3"/>
        <v>-46085</v>
      </c>
      <c r="W115" s="12" t="str">
        <f t="shared" ca="1" si="4"/>
        <v>Vencido</v>
      </c>
      <c r="X115" s="12"/>
    </row>
    <row r="116" spans="1:24" ht="65.25" customHeight="1">
      <c r="A116" s="12" t="s">
        <v>65</v>
      </c>
      <c r="B116" s="12" t="s">
        <v>231</v>
      </c>
      <c r="C116" s="80">
        <v>7674012</v>
      </c>
      <c r="D116" s="81">
        <v>7</v>
      </c>
      <c r="E116" s="28" t="e">
        <f ca="1">DATEDIF(#REF!,TODAY(),"Y")</f>
        <v>#REF!</v>
      </c>
      <c r="F116" s="28" t="s">
        <v>33</v>
      </c>
      <c r="G116" s="12" t="s">
        <v>232</v>
      </c>
      <c r="H116" s="28" t="s">
        <v>179</v>
      </c>
      <c r="I116" s="28" t="s">
        <v>183</v>
      </c>
      <c r="J116" s="28" t="s">
        <v>167</v>
      </c>
      <c r="K116" s="28" t="s">
        <v>28</v>
      </c>
      <c r="L116" s="93">
        <v>45019</v>
      </c>
      <c r="M116" s="12"/>
      <c r="N116" s="28" t="s">
        <v>30</v>
      </c>
      <c r="O116" s="12" t="s">
        <v>155</v>
      </c>
      <c r="P116" s="12" t="s">
        <v>230</v>
      </c>
      <c r="Q116" s="12"/>
      <c r="R116" s="12"/>
      <c r="S116" s="12"/>
      <c r="T116" s="12"/>
      <c r="U116" s="95"/>
      <c r="V116" s="12">
        <f t="shared" ref="V116:V125" ca="1" si="5">U116-TODAY()</f>
        <v>-46085</v>
      </c>
      <c r="W116" s="12" t="str">
        <f t="shared" ref="W116:W125" ca="1" si="6">IF(V116&gt;=20,"Vigente",IF(AND(V116&gt;=1,V116&lt;=20),"Por Vencer","Vencido"))</f>
        <v>Vencido</v>
      </c>
      <c r="X116" s="12"/>
    </row>
    <row r="117" spans="1:24" ht="65.25" customHeight="1">
      <c r="A117" s="12" t="s">
        <v>189</v>
      </c>
      <c r="B117" s="12" t="s">
        <v>233</v>
      </c>
      <c r="C117" s="80">
        <v>6810002</v>
      </c>
      <c r="D117" s="81" t="s">
        <v>135</v>
      </c>
      <c r="E117" s="28" t="e">
        <f ca="1">DATEDIF(#REF!,TODAY(),"Y")</f>
        <v>#REF!</v>
      </c>
      <c r="F117" s="28" t="s">
        <v>25</v>
      </c>
      <c r="G117" s="12" t="s">
        <v>26</v>
      </c>
      <c r="H117" s="28">
        <v>2023</v>
      </c>
      <c r="I117" s="93">
        <v>44971</v>
      </c>
      <c r="J117" s="28" t="s">
        <v>27</v>
      </c>
      <c r="K117" s="28" t="s">
        <v>39</v>
      </c>
      <c r="L117" s="93">
        <v>45026</v>
      </c>
      <c r="M117" s="12"/>
      <c r="N117" s="28" t="s">
        <v>2</v>
      </c>
      <c r="O117" s="12" t="s">
        <v>158</v>
      </c>
      <c r="P117" s="12" t="s">
        <v>31</v>
      </c>
      <c r="Q117" s="12"/>
      <c r="R117" s="12"/>
      <c r="S117" s="12"/>
      <c r="T117" s="12"/>
      <c r="U117" s="95"/>
      <c r="V117" s="12">
        <f t="shared" ca="1" si="5"/>
        <v>-46085</v>
      </c>
      <c r="W117" s="12" t="str">
        <f t="shared" ca="1" si="6"/>
        <v>Vencido</v>
      </c>
      <c r="X117" s="12"/>
    </row>
    <row r="118" spans="1:24" s="70" customFormat="1" ht="65.25" customHeight="1">
      <c r="A118" s="12" t="s">
        <v>189</v>
      </c>
      <c r="B118" s="12" t="s">
        <v>234</v>
      </c>
      <c r="C118" s="80">
        <v>8414484</v>
      </c>
      <c r="D118" s="81">
        <v>3</v>
      </c>
      <c r="E118" s="28" t="e">
        <f ca="1">DATEDIF(#REF!,TODAY(),"Y")</f>
        <v>#REF!</v>
      </c>
      <c r="F118" s="28" t="s">
        <v>33</v>
      </c>
      <c r="G118" s="12" t="s">
        <v>60</v>
      </c>
      <c r="H118" s="28">
        <v>2023</v>
      </c>
      <c r="I118" s="93">
        <v>45222</v>
      </c>
      <c r="J118" s="28" t="s">
        <v>27</v>
      </c>
      <c r="K118" s="28" t="s">
        <v>39</v>
      </c>
      <c r="L118" s="93">
        <v>45245</v>
      </c>
      <c r="M118" s="12"/>
      <c r="N118" s="28" t="s">
        <v>2</v>
      </c>
      <c r="O118" s="12" t="s">
        <v>158</v>
      </c>
      <c r="P118" s="12" t="s">
        <v>228</v>
      </c>
      <c r="Q118" s="12"/>
      <c r="R118" s="12"/>
      <c r="S118" s="12"/>
      <c r="T118" s="12"/>
      <c r="U118" s="74"/>
      <c r="V118" s="12">
        <f t="shared" ca="1" si="5"/>
        <v>-46085</v>
      </c>
      <c r="W118" s="12" t="str">
        <f t="shared" ca="1" si="6"/>
        <v>Vencido</v>
      </c>
      <c r="X118" s="12"/>
    </row>
    <row r="119" spans="1:24" ht="65.25" customHeight="1">
      <c r="A119" s="12" t="s">
        <v>189</v>
      </c>
      <c r="B119" s="12" t="s">
        <v>235</v>
      </c>
      <c r="C119" s="80">
        <v>3777203</v>
      </c>
      <c r="D119" s="81">
        <v>8</v>
      </c>
      <c r="E119" s="28" t="e">
        <f ca="1">DATEDIF(#REF!,TODAY(),"Y")</f>
        <v>#REF!</v>
      </c>
      <c r="F119" s="83" t="s">
        <v>70</v>
      </c>
      <c r="G119" s="12" t="s">
        <v>26</v>
      </c>
      <c r="H119" s="28">
        <v>2023</v>
      </c>
      <c r="I119" s="93">
        <v>45054</v>
      </c>
      <c r="J119" s="28" t="s">
        <v>27</v>
      </c>
      <c r="K119" s="28" t="s">
        <v>39</v>
      </c>
      <c r="L119" s="93">
        <v>45320</v>
      </c>
      <c r="M119" s="12"/>
      <c r="N119" s="28" t="s">
        <v>64</v>
      </c>
      <c r="O119" s="12" t="s">
        <v>34</v>
      </c>
      <c r="P119" s="12" t="s">
        <v>31</v>
      </c>
      <c r="Q119" s="12"/>
      <c r="R119" s="12"/>
      <c r="S119" s="12"/>
      <c r="T119" s="12"/>
      <c r="U119" s="95"/>
      <c r="V119" s="12">
        <f t="shared" ca="1" si="5"/>
        <v>-46085</v>
      </c>
      <c r="W119" s="12" t="str">
        <f t="shared" ca="1" si="6"/>
        <v>Vencido</v>
      </c>
      <c r="X119" s="12"/>
    </row>
    <row r="120" spans="1:24" ht="65.25" customHeight="1">
      <c r="A120" s="12" t="s">
        <v>189</v>
      </c>
      <c r="B120" s="12" t="s">
        <v>236</v>
      </c>
      <c r="C120" s="80">
        <v>3798862</v>
      </c>
      <c r="D120" s="81">
        <v>6</v>
      </c>
      <c r="E120" s="28" t="e">
        <f ca="1">DATEDIF(#REF!,TODAY(),"Y")</f>
        <v>#REF!</v>
      </c>
      <c r="F120" s="28" t="s">
        <v>25</v>
      </c>
      <c r="G120" s="12" t="s">
        <v>60</v>
      </c>
      <c r="H120" s="28">
        <v>2024</v>
      </c>
      <c r="I120" s="93">
        <v>45331</v>
      </c>
      <c r="J120" s="28" t="s">
        <v>68</v>
      </c>
      <c r="K120" s="28" t="s">
        <v>58</v>
      </c>
      <c r="L120" s="28" t="s">
        <v>185</v>
      </c>
      <c r="M120" s="12" t="s">
        <v>181</v>
      </c>
      <c r="N120" s="28" t="s">
        <v>64</v>
      </c>
      <c r="O120" s="12" t="s">
        <v>158</v>
      </c>
      <c r="P120" s="12" t="s">
        <v>31</v>
      </c>
      <c r="Q120" s="12"/>
      <c r="R120" s="12"/>
      <c r="S120" s="12"/>
      <c r="T120" s="12"/>
      <c r="U120" s="95"/>
      <c r="V120" s="12">
        <f t="shared" ca="1" si="5"/>
        <v>-46085</v>
      </c>
      <c r="W120" s="12" t="str">
        <f t="shared" ca="1" si="6"/>
        <v>Vencido</v>
      </c>
      <c r="X120" s="12"/>
    </row>
    <row r="121" spans="1:24" ht="65.25" customHeight="1">
      <c r="A121" s="12" t="s">
        <v>189</v>
      </c>
      <c r="B121" s="12" t="s">
        <v>237</v>
      </c>
      <c r="C121" s="80">
        <v>15042965</v>
      </c>
      <c r="D121" s="81" t="s">
        <v>135</v>
      </c>
      <c r="E121" s="28" t="e">
        <f ca="1">DATEDIF(#REF!,TODAY(),"Y")</f>
        <v>#REF!</v>
      </c>
      <c r="F121" s="83" t="s">
        <v>70</v>
      </c>
      <c r="G121" s="12" t="s">
        <v>74</v>
      </c>
      <c r="H121" s="28">
        <v>2022</v>
      </c>
      <c r="I121" s="93">
        <v>44669</v>
      </c>
      <c r="J121" s="28" t="s">
        <v>27</v>
      </c>
      <c r="K121" s="28" t="s">
        <v>28</v>
      </c>
      <c r="L121" s="93">
        <v>45180</v>
      </c>
      <c r="M121" s="12"/>
      <c r="N121" s="28" t="s">
        <v>64</v>
      </c>
      <c r="O121" s="12" t="s">
        <v>158</v>
      </c>
      <c r="P121" s="12" t="s">
        <v>31</v>
      </c>
      <c r="Q121" s="12"/>
      <c r="R121" s="12"/>
      <c r="S121" s="12"/>
      <c r="T121" s="12"/>
      <c r="U121" s="95"/>
      <c r="V121" s="12">
        <f t="shared" ca="1" si="5"/>
        <v>-46085</v>
      </c>
      <c r="W121" s="12" t="str">
        <f t="shared" ca="1" si="6"/>
        <v>Vencido</v>
      </c>
      <c r="X121" s="12"/>
    </row>
    <row r="122" spans="1:24" ht="65.25" customHeight="1">
      <c r="A122" s="12" t="s">
        <v>65</v>
      </c>
      <c r="B122" s="12" t="s">
        <v>238</v>
      </c>
      <c r="C122" s="80">
        <v>7276411</v>
      </c>
      <c r="D122" s="81">
        <v>0</v>
      </c>
      <c r="E122" s="28" t="e">
        <f ca="1">DATEDIF(#REF!,TODAY(),"Y")</f>
        <v>#REF!</v>
      </c>
      <c r="F122" s="28" t="s">
        <v>25</v>
      </c>
      <c r="G122" s="12" t="s">
        <v>239</v>
      </c>
      <c r="H122" s="28" t="s">
        <v>179</v>
      </c>
      <c r="I122" s="28" t="s">
        <v>183</v>
      </c>
      <c r="J122" s="28" t="s">
        <v>167</v>
      </c>
      <c r="K122" s="28" t="s">
        <v>28</v>
      </c>
      <c r="L122" s="93">
        <v>45510</v>
      </c>
      <c r="M122" s="12" t="s">
        <v>240</v>
      </c>
      <c r="N122" s="28" t="s">
        <v>64</v>
      </c>
      <c r="O122" s="12" t="s">
        <v>155</v>
      </c>
      <c r="P122" s="12" t="s">
        <v>31</v>
      </c>
      <c r="Q122" s="12"/>
      <c r="R122" s="12"/>
      <c r="S122" s="12"/>
      <c r="T122" s="95"/>
      <c r="U122" s="95"/>
      <c r="V122" s="12">
        <f t="shared" ca="1" si="5"/>
        <v>-46085</v>
      </c>
      <c r="W122" s="12" t="str">
        <f t="shared" ca="1" si="6"/>
        <v>Vencido</v>
      </c>
      <c r="X122" s="12"/>
    </row>
    <row r="123" spans="1:24" ht="65.25" customHeight="1">
      <c r="A123" s="12" t="s">
        <v>65</v>
      </c>
      <c r="B123" s="12" t="s">
        <v>241</v>
      </c>
      <c r="C123" s="80">
        <v>12117717</v>
      </c>
      <c r="D123" s="81" t="s">
        <v>93</v>
      </c>
      <c r="E123" s="28" t="e">
        <f ca="1">DATEDIF(#REF!,TODAY(),"Y")</f>
        <v>#REF!</v>
      </c>
      <c r="F123" s="83" t="s">
        <v>70</v>
      </c>
      <c r="G123" s="12" t="s">
        <v>202</v>
      </c>
      <c r="H123" s="28">
        <v>2024</v>
      </c>
      <c r="I123" s="28"/>
      <c r="J123" s="28" t="s">
        <v>68</v>
      </c>
      <c r="K123" s="28" t="s">
        <v>39</v>
      </c>
      <c r="L123" s="93">
        <v>45378</v>
      </c>
      <c r="M123" s="12"/>
      <c r="N123" s="28" t="s">
        <v>64</v>
      </c>
      <c r="O123" s="12" t="s">
        <v>158</v>
      </c>
      <c r="P123" s="12" t="s">
        <v>31</v>
      </c>
      <c r="Q123" s="12"/>
      <c r="R123" s="12"/>
      <c r="S123" s="12"/>
      <c r="T123" s="12"/>
      <c r="U123" s="95"/>
      <c r="V123" s="12">
        <f t="shared" ca="1" si="5"/>
        <v>-46085</v>
      </c>
      <c r="W123" s="12" t="str">
        <f t="shared" ca="1" si="6"/>
        <v>Vencido</v>
      </c>
      <c r="X123" s="12"/>
    </row>
    <row r="124" spans="1:24" ht="65.25" customHeight="1">
      <c r="A124" s="12" t="s">
        <v>189</v>
      </c>
      <c r="B124" s="12" t="s">
        <v>242</v>
      </c>
      <c r="C124" s="80">
        <v>4920889</v>
      </c>
      <c r="D124" s="81">
        <v>8</v>
      </c>
      <c r="E124" s="28" t="e">
        <f ca="1">DATEDIF(#REF!,TODAY(),"Y")</f>
        <v>#REF!</v>
      </c>
      <c r="F124" s="28" t="s">
        <v>25</v>
      </c>
      <c r="G124" s="12" t="s">
        <v>60</v>
      </c>
      <c r="H124" s="28">
        <v>2023</v>
      </c>
      <c r="I124" s="93">
        <v>45198</v>
      </c>
      <c r="J124" s="28" t="s">
        <v>27</v>
      </c>
      <c r="K124" s="28" t="s">
        <v>28</v>
      </c>
      <c r="L124" s="93">
        <v>45336</v>
      </c>
      <c r="M124" s="12"/>
      <c r="N124" s="28" t="s">
        <v>64</v>
      </c>
      <c r="O124" s="12" t="s">
        <v>158</v>
      </c>
      <c r="P124" s="12" t="s">
        <v>31</v>
      </c>
      <c r="Q124" s="12"/>
      <c r="R124" s="12"/>
      <c r="S124" s="12"/>
      <c r="T124" s="12"/>
      <c r="U124" s="95"/>
      <c r="V124" s="12">
        <f t="shared" ca="1" si="5"/>
        <v>-46085</v>
      </c>
      <c r="W124" s="12" t="str">
        <f t="shared" ca="1" si="6"/>
        <v>Vencido</v>
      </c>
      <c r="X124" s="12"/>
    </row>
    <row r="125" spans="1:24" ht="65.25" customHeight="1">
      <c r="A125" s="12" t="s">
        <v>65</v>
      </c>
      <c r="B125" s="12" t="s">
        <v>243</v>
      </c>
      <c r="C125" s="80">
        <v>5218485</v>
      </c>
      <c r="D125" s="81">
        <v>1</v>
      </c>
      <c r="E125" s="28" t="e">
        <f ca="1">DATEDIF(#REF!,TODAY(),"Y")</f>
        <v>#REF!</v>
      </c>
      <c r="F125" s="83" t="s">
        <v>70</v>
      </c>
      <c r="G125" s="12" t="s">
        <v>88</v>
      </c>
      <c r="H125" s="28">
        <v>2023</v>
      </c>
      <c r="I125" s="93">
        <v>45218</v>
      </c>
      <c r="J125" s="28" t="s">
        <v>27</v>
      </c>
      <c r="K125" s="28" t="s">
        <v>28</v>
      </c>
      <c r="L125" s="93">
        <v>45238</v>
      </c>
      <c r="M125" s="12"/>
      <c r="N125" s="28" t="s">
        <v>30</v>
      </c>
      <c r="O125" s="12" t="s">
        <v>158</v>
      </c>
      <c r="P125" s="12" t="s">
        <v>31</v>
      </c>
      <c r="Q125" s="12"/>
      <c r="R125" s="12"/>
      <c r="S125" s="12"/>
      <c r="T125" s="12"/>
      <c r="U125" s="95"/>
      <c r="V125" s="12">
        <f t="shared" ca="1" si="5"/>
        <v>-46085</v>
      </c>
      <c r="W125" s="12" t="str">
        <f t="shared" ca="1" si="6"/>
        <v>Vencido</v>
      </c>
      <c r="X125" s="12"/>
    </row>
    <row r="126" spans="1:24" ht="65.25" customHeight="1">
      <c r="A126" s="12" t="s">
        <v>65</v>
      </c>
      <c r="B126" s="12" t="s">
        <v>244</v>
      </c>
      <c r="C126" s="80">
        <v>3448325</v>
      </c>
      <c r="D126" s="26">
        <v>6</v>
      </c>
      <c r="E126" s="12">
        <v>94</v>
      </c>
      <c r="F126" s="28" t="s">
        <v>33</v>
      </c>
      <c r="G126" s="28" t="s">
        <v>245</v>
      </c>
      <c r="H126" s="28">
        <v>2024</v>
      </c>
      <c r="I126" s="93">
        <v>45527</v>
      </c>
      <c r="J126" s="28" t="s">
        <v>38</v>
      </c>
      <c r="K126" s="28" t="s">
        <v>246</v>
      </c>
      <c r="L126" s="12" t="s">
        <v>185</v>
      </c>
      <c r="M126" s="28" t="s">
        <v>181</v>
      </c>
      <c r="N126" s="136" t="s">
        <v>30</v>
      </c>
      <c r="O126" s="12"/>
      <c r="P126" s="12" t="s">
        <v>31</v>
      </c>
      <c r="Q126" s="12"/>
      <c r="R126" s="12"/>
      <c r="S126" s="12"/>
      <c r="T126" s="12"/>
      <c r="U126" s="95"/>
      <c r="V126" s="12">
        <f t="shared" ref="V126:V131" ca="1" si="7">U126-TODAY()</f>
        <v>-46085</v>
      </c>
      <c r="W126" s="12" t="str">
        <f t="shared" ref="W126:W131" ca="1" si="8">IF(V126&gt;=20,"Vigente",IF(AND(V126&gt;=1,V126&lt;=20),"Por Vencer","Vencido"))</f>
        <v>Vencido</v>
      </c>
      <c r="X126" s="12"/>
    </row>
    <row r="127" spans="1:24" ht="65.25" customHeight="1">
      <c r="A127" s="12" t="s">
        <v>65</v>
      </c>
      <c r="B127" s="12" t="s">
        <v>247</v>
      </c>
      <c r="C127" s="80">
        <v>10164932</v>
      </c>
      <c r="D127" s="81">
        <v>6</v>
      </c>
      <c r="E127" s="28" t="e">
        <f ca="1">DATEDIF(#REF!,TODAY(),"Y")</f>
        <v>#REF!</v>
      </c>
      <c r="F127" s="28" t="s">
        <v>25</v>
      </c>
      <c r="G127" s="12" t="s">
        <v>248</v>
      </c>
      <c r="H127" s="28">
        <v>2020</v>
      </c>
      <c r="I127" s="93">
        <v>44067</v>
      </c>
      <c r="J127" s="28" t="s">
        <v>27</v>
      </c>
      <c r="K127" s="28" t="s">
        <v>28</v>
      </c>
      <c r="L127" s="93">
        <v>44071</v>
      </c>
      <c r="M127" s="12"/>
      <c r="N127" s="28" t="s">
        <v>64</v>
      </c>
      <c r="O127" s="12" t="s">
        <v>155</v>
      </c>
      <c r="P127" s="12" t="s">
        <v>249</v>
      </c>
      <c r="Q127" s="12"/>
      <c r="R127" s="12"/>
      <c r="S127" s="12"/>
      <c r="T127" s="12"/>
      <c r="U127" s="95"/>
      <c r="V127" s="12">
        <f t="shared" ca="1" si="7"/>
        <v>-46085</v>
      </c>
      <c r="W127" s="12" t="str">
        <f t="shared" ca="1" si="8"/>
        <v>Vencido</v>
      </c>
      <c r="X127" s="12"/>
    </row>
    <row r="128" spans="1:24" ht="65.25" customHeight="1">
      <c r="A128" s="12" t="s">
        <v>65</v>
      </c>
      <c r="B128" s="12" t="s">
        <v>250</v>
      </c>
      <c r="C128" s="80">
        <v>6961406</v>
      </c>
      <c r="D128" s="81" t="s">
        <v>93</v>
      </c>
      <c r="E128" s="28" t="e">
        <f ca="1">DATEDIF(#REF!,TODAY(),"Y")</f>
        <v>#REF!</v>
      </c>
      <c r="F128" s="28" t="s">
        <v>25</v>
      </c>
      <c r="G128" s="12" t="s">
        <v>232</v>
      </c>
      <c r="H128" s="28" t="s">
        <v>179</v>
      </c>
      <c r="I128" s="28" t="s">
        <v>183</v>
      </c>
      <c r="J128" s="28" t="s">
        <v>68</v>
      </c>
      <c r="K128" s="28" t="s">
        <v>39</v>
      </c>
      <c r="L128" s="93">
        <v>45343</v>
      </c>
      <c r="M128" s="12"/>
      <c r="N128" s="28" t="s">
        <v>64</v>
      </c>
      <c r="O128" s="12" t="s">
        <v>158</v>
      </c>
      <c r="P128" s="12" t="s">
        <v>228</v>
      </c>
      <c r="Q128" s="12"/>
      <c r="R128" s="12"/>
      <c r="S128" s="12"/>
      <c r="T128" s="12"/>
      <c r="U128" s="95"/>
      <c r="V128" s="12">
        <f t="shared" ca="1" si="7"/>
        <v>-46085</v>
      </c>
      <c r="W128" s="12" t="str">
        <f t="shared" ca="1" si="8"/>
        <v>Vencido</v>
      </c>
      <c r="X128" s="12"/>
    </row>
    <row r="129" spans="1:24" ht="65.25" customHeight="1">
      <c r="A129" s="12" t="s">
        <v>189</v>
      </c>
      <c r="B129" s="12" t="s">
        <v>251</v>
      </c>
      <c r="C129" s="80">
        <v>7176086</v>
      </c>
      <c r="D129" s="81">
        <v>3</v>
      </c>
      <c r="E129" s="28" t="e">
        <f ca="1">DATEDIF(#REF!,TODAY(),"Y")</f>
        <v>#REF!</v>
      </c>
      <c r="F129" s="83" t="s">
        <v>70</v>
      </c>
      <c r="G129" s="12" t="s">
        <v>60</v>
      </c>
      <c r="H129" s="28" t="s">
        <v>179</v>
      </c>
      <c r="I129" s="28" t="s">
        <v>183</v>
      </c>
      <c r="J129" s="28" t="s">
        <v>55</v>
      </c>
      <c r="K129" s="28" t="s">
        <v>58</v>
      </c>
      <c r="L129" s="28" t="s">
        <v>185</v>
      </c>
      <c r="M129" s="12" t="s">
        <v>181</v>
      </c>
      <c r="N129" s="28" t="s">
        <v>30</v>
      </c>
      <c r="O129" s="12" t="s">
        <v>155</v>
      </c>
      <c r="P129" s="12" t="s">
        <v>31</v>
      </c>
      <c r="Q129" s="12"/>
      <c r="R129" s="12"/>
      <c r="S129" s="12"/>
      <c r="T129" s="12"/>
      <c r="U129" s="95"/>
      <c r="V129" s="12">
        <f t="shared" ca="1" si="7"/>
        <v>-46085</v>
      </c>
      <c r="W129" s="12" t="str">
        <f t="shared" ca="1" si="8"/>
        <v>Vencido</v>
      </c>
      <c r="X129" s="12"/>
    </row>
    <row r="130" spans="1:24" ht="65.25" customHeight="1">
      <c r="A130" s="86" t="s">
        <v>65</v>
      </c>
      <c r="B130" s="12" t="s">
        <v>252</v>
      </c>
      <c r="C130" s="84">
        <v>5798787</v>
      </c>
      <c r="D130" s="85">
        <v>1</v>
      </c>
      <c r="E130" s="28" t="e">
        <f ca="1">DATEDIF(#REF!,TODAY(),"Y")</f>
        <v>#REF!</v>
      </c>
      <c r="F130" s="28" t="s">
        <v>25</v>
      </c>
      <c r="G130" s="86" t="s">
        <v>232</v>
      </c>
      <c r="H130" s="97">
        <v>2024</v>
      </c>
      <c r="I130" s="98">
        <v>45345</v>
      </c>
      <c r="J130" s="97" t="s">
        <v>68</v>
      </c>
      <c r="K130" s="28" t="s">
        <v>28</v>
      </c>
      <c r="L130" s="28" t="s">
        <v>185</v>
      </c>
      <c r="M130" s="12" t="s">
        <v>181</v>
      </c>
      <c r="N130" s="97" t="s">
        <v>64</v>
      </c>
      <c r="O130" s="86"/>
      <c r="P130" s="86" t="s">
        <v>228</v>
      </c>
      <c r="Q130" s="86"/>
      <c r="R130" s="12"/>
      <c r="S130" s="12"/>
      <c r="T130" s="12"/>
      <c r="U130" s="102"/>
      <c r="V130" s="12">
        <f t="shared" ca="1" si="7"/>
        <v>-46085</v>
      </c>
      <c r="W130" s="12" t="str">
        <f t="shared" ca="1" si="8"/>
        <v>Vencido</v>
      </c>
      <c r="X130" s="12"/>
    </row>
    <row r="131" spans="1:24" ht="65.25" customHeight="1">
      <c r="A131" s="12" t="s">
        <v>65</v>
      </c>
      <c r="B131" s="12" t="s">
        <v>253</v>
      </c>
      <c r="C131" s="80">
        <v>4845523</v>
      </c>
      <c r="D131" s="81">
        <v>9</v>
      </c>
      <c r="E131" s="28" t="e">
        <f ca="1">DATEDIF(#REF!,TODAY(),"Y")</f>
        <v>#REF!</v>
      </c>
      <c r="F131" s="28" t="s">
        <v>33</v>
      </c>
      <c r="G131" s="12" t="s">
        <v>67</v>
      </c>
      <c r="H131" s="28">
        <v>2024</v>
      </c>
      <c r="I131" s="93">
        <v>45352</v>
      </c>
      <c r="J131" s="28" t="s">
        <v>68</v>
      </c>
      <c r="K131" s="28" t="s">
        <v>39</v>
      </c>
      <c r="L131" s="93">
        <v>45378</v>
      </c>
      <c r="M131" s="12"/>
      <c r="N131" s="28" t="s">
        <v>64</v>
      </c>
      <c r="O131" s="12" t="s">
        <v>158</v>
      </c>
      <c r="P131" s="12" t="s">
        <v>31</v>
      </c>
      <c r="Q131" s="12"/>
      <c r="R131" s="12"/>
      <c r="S131" s="12"/>
      <c r="T131" s="12"/>
      <c r="U131" s="95"/>
      <c r="V131" s="12">
        <f t="shared" ca="1" si="7"/>
        <v>-46085</v>
      </c>
      <c r="W131" s="12" t="str">
        <f t="shared" ca="1" si="8"/>
        <v>Vencido</v>
      </c>
      <c r="X131" s="12"/>
    </row>
    <row r="132" spans="1:24" ht="65.25" customHeight="1">
      <c r="A132" s="12" t="s">
        <v>189</v>
      </c>
      <c r="B132" s="12" t="s">
        <v>254</v>
      </c>
      <c r="C132" s="80">
        <v>4963573</v>
      </c>
      <c r="D132" s="81">
        <v>7</v>
      </c>
      <c r="E132" s="28" t="e">
        <f ca="1">DATEDIF(#REF!,TODAY(),"Y")</f>
        <v>#REF!</v>
      </c>
      <c r="F132" s="28" t="s">
        <v>255</v>
      </c>
      <c r="G132" s="12" t="s">
        <v>74</v>
      </c>
      <c r="H132" s="28">
        <v>2024</v>
      </c>
      <c r="I132" s="93">
        <v>45365</v>
      </c>
      <c r="J132" s="28" t="s">
        <v>68</v>
      </c>
      <c r="K132" s="28" t="s">
        <v>58</v>
      </c>
      <c r="L132" s="28" t="s">
        <v>185</v>
      </c>
      <c r="M132" s="12" t="s">
        <v>181</v>
      </c>
      <c r="N132" s="28" t="s">
        <v>64</v>
      </c>
      <c r="O132" s="12" t="s">
        <v>158</v>
      </c>
      <c r="P132" s="12" t="s">
        <v>228</v>
      </c>
      <c r="Q132" s="12"/>
      <c r="R132" s="12"/>
      <c r="S132" s="12"/>
      <c r="T132" s="12"/>
      <c r="U132" s="95"/>
      <c r="V132" s="12">
        <f t="shared" ref="V132:V144" ca="1" si="9">U132-TODAY()</f>
        <v>-46085</v>
      </c>
      <c r="W132" s="12" t="str">
        <f t="shared" ref="W132:W144" ca="1" si="10">IF(V132&gt;=20,"Vigente",IF(AND(V132&gt;=1,V132&lt;=20),"Por Vencer","Vencido"))</f>
        <v>Vencido</v>
      </c>
      <c r="X132" s="12"/>
    </row>
    <row r="133" spans="1:24" ht="65.25" customHeight="1">
      <c r="A133" s="12" t="s">
        <v>189</v>
      </c>
      <c r="B133" s="12" t="s">
        <v>256</v>
      </c>
      <c r="C133" s="80">
        <v>4005485</v>
      </c>
      <c r="D133" s="81">
        <v>5</v>
      </c>
      <c r="E133" s="28" t="e">
        <f ca="1">DATEDIF(#REF!,TODAY(),"Y")</f>
        <v>#REF!</v>
      </c>
      <c r="F133" s="28" t="s">
        <v>25</v>
      </c>
      <c r="G133" s="12" t="s">
        <v>77</v>
      </c>
      <c r="H133" s="28">
        <v>2024</v>
      </c>
      <c r="I133" s="93">
        <v>45349</v>
      </c>
      <c r="J133" s="28" t="s">
        <v>68</v>
      </c>
      <c r="K133" s="28" t="s">
        <v>58</v>
      </c>
      <c r="L133" s="28" t="s">
        <v>185</v>
      </c>
      <c r="M133" s="12" t="s">
        <v>181</v>
      </c>
      <c r="N133" s="28" t="s">
        <v>64</v>
      </c>
      <c r="O133" s="12" t="s">
        <v>158</v>
      </c>
      <c r="P133" s="12" t="s">
        <v>31</v>
      </c>
      <c r="Q133" s="12"/>
      <c r="R133" s="12"/>
      <c r="S133" s="12"/>
      <c r="T133" s="12"/>
      <c r="U133" s="95"/>
      <c r="V133" s="12">
        <f t="shared" ca="1" si="9"/>
        <v>-46085</v>
      </c>
      <c r="W133" s="12" t="str">
        <f t="shared" ca="1" si="10"/>
        <v>Vencido</v>
      </c>
      <c r="X133" s="12"/>
    </row>
    <row r="134" spans="1:24" ht="65.25" customHeight="1">
      <c r="A134" s="12" t="s">
        <v>65</v>
      </c>
      <c r="B134" s="12" t="s">
        <v>257</v>
      </c>
      <c r="C134" s="80">
        <v>7713906</v>
      </c>
      <c r="D134" s="81">
        <v>0</v>
      </c>
      <c r="E134" s="28" t="e">
        <f ca="1">DATEDIF(#REF!,TODAY(),"Y")</f>
        <v>#REF!</v>
      </c>
      <c r="F134" s="28" t="s">
        <v>25</v>
      </c>
      <c r="G134" s="12" t="s">
        <v>258</v>
      </c>
      <c r="H134" s="28" t="s">
        <v>179</v>
      </c>
      <c r="I134" s="28" t="s">
        <v>183</v>
      </c>
      <c r="J134" s="28" t="s">
        <v>68</v>
      </c>
      <c r="K134" s="28" t="s">
        <v>28</v>
      </c>
      <c r="L134" s="93">
        <v>45343</v>
      </c>
      <c r="M134" s="12"/>
      <c r="N134" s="28" t="s">
        <v>64</v>
      </c>
      <c r="O134" s="12" t="s">
        <v>158</v>
      </c>
      <c r="P134" s="12" t="s">
        <v>31</v>
      </c>
      <c r="Q134" s="12"/>
      <c r="R134" s="12"/>
      <c r="S134" s="12"/>
      <c r="T134" s="12"/>
      <c r="U134" s="95"/>
      <c r="V134" s="12">
        <f t="shared" ca="1" si="9"/>
        <v>-46085</v>
      </c>
      <c r="W134" s="12" t="str">
        <f t="shared" ca="1" si="10"/>
        <v>Vencido</v>
      </c>
      <c r="X134" s="12"/>
    </row>
    <row r="135" spans="1:24" ht="65.25" customHeight="1">
      <c r="A135" s="12" t="s">
        <v>65</v>
      </c>
      <c r="B135" s="12" t="s">
        <v>259</v>
      </c>
      <c r="C135" s="80">
        <v>9209888</v>
      </c>
      <c r="D135" s="81">
        <v>5</v>
      </c>
      <c r="E135" s="28" t="e">
        <f ca="1">DATEDIF(#REF!,TODAY(),"Y")</f>
        <v>#REF!</v>
      </c>
      <c r="F135" s="83" t="s">
        <v>70</v>
      </c>
      <c r="G135" s="12" t="s">
        <v>86</v>
      </c>
      <c r="H135" s="28">
        <v>2023</v>
      </c>
      <c r="I135" s="93">
        <v>45279</v>
      </c>
      <c r="J135" s="28" t="s">
        <v>27</v>
      </c>
      <c r="K135" s="28" t="s">
        <v>39</v>
      </c>
      <c r="L135" s="93">
        <v>45356</v>
      </c>
      <c r="M135" s="12"/>
      <c r="N135" s="28" t="s">
        <v>30</v>
      </c>
      <c r="O135" s="12" t="s">
        <v>155</v>
      </c>
      <c r="P135" s="12" t="s">
        <v>31</v>
      </c>
      <c r="Q135" s="12"/>
      <c r="R135" s="12"/>
      <c r="S135" s="12"/>
      <c r="T135" s="12"/>
      <c r="U135" s="95"/>
      <c r="V135" s="12">
        <f t="shared" ca="1" si="9"/>
        <v>-46085</v>
      </c>
      <c r="W135" s="12" t="str">
        <f t="shared" ca="1" si="10"/>
        <v>Vencido</v>
      </c>
      <c r="X135" s="12"/>
    </row>
    <row r="136" spans="1:24" ht="65.25" customHeight="1">
      <c r="A136" s="12" t="s">
        <v>189</v>
      </c>
      <c r="B136" s="12" t="s">
        <v>260</v>
      </c>
      <c r="C136" s="80">
        <v>7285741</v>
      </c>
      <c r="D136" s="81">
        <v>0</v>
      </c>
      <c r="E136" s="28" t="e">
        <f ca="1">DATEDIF(#REF!,TODAY(),"Y")</f>
        <v>#REF!</v>
      </c>
      <c r="F136" s="28" t="s">
        <v>25</v>
      </c>
      <c r="G136" s="12" t="s">
        <v>60</v>
      </c>
      <c r="H136" s="28">
        <v>2022</v>
      </c>
      <c r="I136" s="93">
        <v>44834</v>
      </c>
      <c r="J136" s="28" t="s">
        <v>27</v>
      </c>
      <c r="K136" s="28" t="s">
        <v>39</v>
      </c>
      <c r="L136" s="93">
        <v>44893</v>
      </c>
      <c r="M136" s="12"/>
      <c r="N136" s="28" t="s">
        <v>46</v>
      </c>
      <c r="O136" s="12" t="s">
        <v>158</v>
      </c>
      <c r="P136" s="12" t="s">
        <v>31</v>
      </c>
      <c r="Q136" s="12"/>
      <c r="R136" s="12"/>
      <c r="S136" s="12"/>
      <c r="T136" s="12"/>
      <c r="U136" s="95"/>
      <c r="V136" s="12">
        <f t="shared" ca="1" si="9"/>
        <v>-46085</v>
      </c>
      <c r="W136" s="12" t="str">
        <f t="shared" ca="1" si="10"/>
        <v>Vencido</v>
      </c>
      <c r="X136" s="12"/>
    </row>
    <row r="137" spans="1:24" ht="65.25" customHeight="1">
      <c r="A137" s="12" t="s">
        <v>189</v>
      </c>
      <c r="B137" s="12" t="s">
        <v>261</v>
      </c>
      <c r="C137" s="80">
        <v>12154595</v>
      </c>
      <c r="D137" s="81">
        <v>0</v>
      </c>
      <c r="E137" s="28" t="e">
        <f ca="1">DATEDIF(#REF!,TODAY(),"Y")</f>
        <v>#REF!</v>
      </c>
      <c r="F137" s="28" t="s">
        <v>25</v>
      </c>
      <c r="G137" s="12" t="s">
        <v>60</v>
      </c>
      <c r="H137" s="28">
        <v>2024</v>
      </c>
      <c r="I137" s="93">
        <v>45426</v>
      </c>
      <c r="J137" s="28" t="s">
        <v>172</v>
      </c>
      <c r="K137" s="28" t="s">
        <v>58</v>
      </c>
      <c r="L137" s="28" t="s">
        <v>185</v>
      </c>
      <c r="M137" s="12" t="s">
        <v>181</v>
      </c>
      <c r="N137" s="28" t="s">
        <v>64</v>
      </c>
      <c r="O137" s="12" t="s">
        <v>158</v>
      </c>
      <c r="P137" s="12" t="s">
        <v>31</v>
      </c>
      <c r="Q137" s="12"/>
      <c r="R137" s="12"/>
      <c r="S137" s="12"/>
      <c r="T137" s="12"/>
      <c r="U137" s="95"/>
      <c r="V137" s="12">
        <f t="shared" ca="1" si="9"/>
        <v>-46085</v>
      </c>
      <c r="W137" s="12" t="str">
        <f t="shared" ca="1" si="10"/>
        <v>Vencido</v>
      </c>
      <c r="X137" s="12"/>
    </row>
    <row r="138" spans="1:24" ht="65.25" customHeight="1">
      <c r="A138" s="12" t="s">
        <v>189</v>
      </c>
      <c r="B138" s="12" t="s">
        <v>262</v>
      </c>
      <c r="C138" s="80">
        <v>10272913</v>
      </c>
      <c r="D138" s="81">
        <v>7</v>
      </c>
      <c r="E138" s="28" t="e">
        <f ca="1">DATEDIF(#REF!,TODAY(),"Y")</f>
        <v>#REF!</v>
      </c>
      <c r="F138" s="28" t="s">
        <v>25</v>
      </c>
      <c r="G138" s="12" t="s">
        <v>60</v>
      </c>
      <c r="H138" s="28" t="s">
        <v>179</v>
      </c>
      <c r="I138" s="28" t="s">
        <v>183</v>
      </c>
      <c r="J138" s="28" t="s">
        <v>68</v>
      </c>
      <c r="K138" s="28" t="s">
        <v>39</v>
      </c>
      <c r="L138" s="28" t="s">
        <v>185</v>
      </c>
      <c r="M138" s="12" t="s">
        <v>181</v>
      </c>
      <c r="N138" s="28" t="s">
        <v>2</v>
      </c>
      <c r="O138" s="12" t="s">
        <v>158</v>
      </c>
      <c r="P138" s="12" t="s">
        <v>31</v>
      </c>
      <c r="Q138" s="12"/>
      <c r="R138" s="12"/>
      <c r="S138" s="12"/>
      <c r="T138" s="12"/>
      <c r="U138" s="95"/>
      <c r="V138" s="12">
        <f t="shared" ca="1" si="9"/>
        <v>-46085</v>
      </c>
      <c r="W138" s="12" t="str">
        <f t="shared" ca="1" si="10"/>
        <v>Vencido</v>
      </c>
      <c r="X138" s="12"/>
    </row>
    <row r="139" spans="1:24" ht="65.25" customHeight="1">
      <c r="A139" s="12" t="s">
        <v>65</v>
      </c>
      <c r="B139" s="12" t="s">
        <v>263</v>
      </c>
      <c r="C139" s="80">
        <v>9501915</v>
      </c>
      <c r="D139" s="81">
        <v>3</v>
      </c>
      <c r="E139" s="28" t="e">
        <f ca="1">DATEDIF(#REF!,TODAY(),"Y")</f>
        <v>#REF!</v>
      </c>
      <c r="F139" s="83" t="s">
        <v>70</v>
      </c>
      <c r="G139" s="12" t="s">
        <v>104</v>
      </c>
      <c r="H139" s="28">
        <v>2024</v>
      </c>
      <c r="I139" s="93">
        <v>45461</v>
      </c>
      <c r="J139" s="28" t="s">
        <v>68</v>
      </c>
      <c r="K139" s="28" t="s">
        <v>28</v>
      </c>
      <c r="L139" s="93">
        <v>45441</v>
      </c>
      <c r="M139" s="12"/>
      <c r="N139" s="28" t="s">
        <v>64</v>
      </c>
      <c r="O139" s="12" t="s">
        <v>158</v>
      </c>
      <c r="P139" s="12" t="s">
        <v>31</v>
      </c>
      <c r="Q139" s="12"/>
      <c r="R139" s="12"/>
      <c r="S139" s="12"/>
      <c r="T139" s="12"/>
      <c r="U139" s="95"/>
      <c r="V139" s="12">
        <f t="shared" ca="1" si="9"/>
        <v>-46085</v>
      </c>
      <c r="W139" s="12" t="str">
        <f t="shared" ca="1" si="10"/>
        <v>Vencido</v>
      </c>
      <c r="X139" s="12"/>
    </row>
    <row r="140" spans="1:24" ht="65.25" customHeight="1">
      <c r="A140" s="108" t="s">
        <v>65</v>
      </c>
      <c r="B140" s="121" t="s">
        <v>264</v>
      </c>
      <c r="C140" s="120">
        <v>10630963</v>
      </c>
      <c r="D140" s="122">
        <v>9</v>
      </c>
      <c r="E140" s="123">
        <v>58</v>
      </c>
      <c r="F140" s="123" t="s">
        <v>25</v>
      </c>
      <c r="G140" s="121"/>
      <c r="H140" s="127"/>
      <c r="I140" s="28"/>
      <c r="J140" s="28"/>
      <c r="K140" s="28"/>
      <c r="L140" s="28"/>
      <c r="M140" s="12"/>
      <c r="N140" s="28" t="s">
        <v>64</v>
      </c>
      <c r="O140" s="12"/>
      <c r="P140" s="12" t="s">
        <v>265</v>
      </c>
      <c r="Q140" s="12"/>
      <c r="R140" s="12"/>
      <c r="S140" s="12"/>
      <c r="T140" s="12"/>
      <c r="U140" s="95"/>
      <c r="V140" s="12">
        <f t="shared" ca="1" si="9"/>
        <v>-46085</v>
      </c>
      <c r="W140" s="12" t="str">
        <f t="shared" ca="1" si="10"/>
        <v>Vencido</v>
      </c>
      <c r="X140" s="12"/>
    </row>
    <row r="141" spans="1:24" ht="65.25" customHeight="1">
      <c r="A141" s="12" t="s">
        <v>189</v>
      </c>
      <c r="B141" s="12" t="s">
        <v>266</v>
      </c>
      <c r="C141" s="80">
        <v>5357490</v>
      </c>
      <c r="D141" s="26">
        <v>4</v>
      </c>
      <c r="E141" s="12">
        <v>79</v>
      </c>
      <c r="F141" s="28" t="s">
        <v>25</v>
      </c>
      <c r="G141" s="28" t="s">
        <v>60</v>
      </c>
      <c r="H141" s="28">
        <v>2024</v>
      </c>
      <c r="I141" s="93">
        <v>45491</v>
      </c>
      <c r="J141" s="28"/>
      <c r="K141" s="28" t="s">
        <v>267</v>
      </c>
      <c r="L141" s="28" t="s">
        <v>185</v>
      </c>
      <c r="M141" s="12" t="s">
        <v>185</v>
      </c>
      <c r="N141" s="28" t="s">
        <v>64</v>
      </c>
      <c r="O141" s="12"/>
      <c r="P141" s="12" t="s">
        <v>31</v>
      </c>
      <c r="Q141" s="12"/>
      <c r="R141" s="12"/>
      <c r="S141" s="12"/>
      <c r="T141" s="12"/>
      <c r="U141" s="95"/>
      <c r="V141" s="12">
        <f t="shared" ca="1" si="9"/>
        <v>-46085</v>
      </c>
      <c r="W141" s="12" t="str">
        <f t="shared" ca="1" si="10"/>
        <v>Vencido</v>
      </c>
      <c r="X141" s="12"/>
    </row>
    <row r="142" spans="1:24" ht="65.25" customHeight="1">
      <c r="A142" s="12" t="s">
        <v>189</v>
      </c>
      <c r="B142" s="12" t="s">
        <v>268</v>
      </c>
      <c r="C142" s="80">
        <v>4308898</v>
      </c>
      <c r="D142" s="26" t="s">
        <v>93</v>
      </c>
      <c r="E142" s="12">
        <v>86</v>
      </c>
      <c r="F142" s="28" t="s">
        <v>25</v>
      </c>
      <c r="G142" s="28" t="s">
        <v>60</v>
      </c>
      <c r="H142" s="28"/>
      <c r="I142" s="28"/>
      <c r="J142" s="28"/>
      <c r="K142" s="28"/>
      <c r="L142" s="12"/>
      <c r="M142" s="28"/>
      <c r="N142" s="12"/>
      <c r="O142" s="12"/>
      <c r="P142" s="12" t="s">
        <v>31</v>
      </c>
      <c r="Q142" s="12"/>
      <c r="R142" s="12"/>
      <c r="S142" s="12"/>
      <c r="T142" s="12"/>
      <c r="U142" s="95"/>
      <c r="V142" s="12">
        <f t="shared" ca="1" si="9"/>
        <v>-46085</v>
      </c>
      <c r="W142" s="12" t="str">
        <f t="shared" ca="1" si="10"/>
        <v>Vencido</v>
      </c>
      <c r="X142" s="12"/>
    </row>
    <row r="143" spans="1:24" ht="65.25" customHeight="1">
      <c r="A143" s="12" t="s">
        <v>65</v>
      </c>
      <c r="B143" s="12" t="s">
        <v>269</v>
      </c>
      <c r="C143" s="80">
        <v>5616124</v>
      </c>
      <c r="D143" s="26">
        <v>4</v>
      </c>
      <c r="E143" s="12">
        <v>78</v>
      </c>
      <c r="F143" s="28" t="s">
        <v>70</v>
      </c>
      <c r="G143" s="28" t="s">
        <v>270</v>
      </c>
      <c r="H143" s="28"/>
      <c r="I143" s="28"/>
      <c r="J143" s="28" t="s">
        <v>68</v>
      </c>
      <c r="K143" s="28" t="s">
        <v>267</v>
      </c>
      <c r="L143" s="12"/>
      <c r="M143" s="28"/>
      <c r="N143" s="28" t="s">
        <v>64</v>
      </c>
      <c r="O143" s="12"/>
      <c r="P143" s="12" t="s">
        <v>31</v>
      </c>
      <c r="Q143" s="12"/>
      <c r="R143" s="12"/>
      <c r="S143" s="12"/>
      <c r="T143" s="95"/>
      <c r="U143" s="95"/>
      <c r="V143" s="12">
        <f t="shared" ca="1" si="9"/>
        <v>-46085</v>
      </c>
      <c r="W143" s="12" t="str">
        <f t="shared" ca="1" si="10"/>
        <v>Vencido</v>
      </c>
      <c r="X143" s="12"/>
    </row>
    <row r="144" spans="1:24" ht="65.25" customHeight="1">
      <c r="A144" s="12" t="s">
        <v>65</v>
      </c>
      <c r="B144" s="12" t="s">
        <v>271</v>
      </c>
      <c r="C144" s="80">
        <v>6210262</v>
      </c>
      <c r="D144" s="26">
        <v>4</v>
      </c>
      <c r="E144" s="12">
        <v>75</v>
      </c>
      <c r="F144" s="28"/>
      <c r="G144" s="28" t="s">
        <v>272</v>
      </c>
      <c r="H144" s="28"/>
      <c r="I144" s="28"/>
      <c r="J144" s="28" t="s">
        <v>68</v>
      </c>
      <c r="K144" s="28" t="s">
        <v>267</v>
      </c>
      <c r="L144" s="12"/>
      <c r="M144" s="28"/>
      <c r="N144" s="12"/>
      <c r="O144" s="12"/>
      <c r="P144" s="12" t="s">
        <v>31</v>
      </c>
      <c r="Q144" s="12"/>
      <c r="R144" s="12"/>
      <c r="S144" s="12"/>
      <c r="T144" s="12"/>
      <c r="U144" s="95"/>
      <c r="V144" s="12">
        <f t="shared" ca="1" si="9"/>
        <v>-46085</v>
      </c>
      <c r="W144" s="12" t="str">
        <f t="shared" ca="1" si="10"/>
        <v>Vencido</v>
      </c>
      <c r="X144" s="12"/>
    </row>
    <row r="145" spans="1:25" ht="65.25" customHeight="1">
      <c r="A145" s="12" t="s">
        <v>189</v>
      </c>
      <c r="B145" s="12" t="s">
        <v>273</v>
      </c>
      <c r="C145" s="80">
        <v>4832845</v>
      </c>
      <c r="D145" s="26">
        <v>8</v>
      </c>
      <c r="E145" s="12">
        <v>82</v>
      </c>
      <c r="F145" s="28" t="s">
        <v>33</v>
      </c>
      <c r="G145" s="28" t="s">
        <v>77</v>
      </c>
      <c r="H145" s="28" t="s">
        <v>179</v>
      </c>
      <c r="I145" s="28" t="s">
        <v>183</v>
      </c>
      <c r="J145" s="28" t="s">
        <v>68</v>
      </c>
      <c r="K145" s="28" t="s">
        <v>274</v>
      </c>
      <c r="L145" s="12" t="s">
        <v>185</v>
      </c>
      <c r="M145" s="28" t="s">
        <v>185</v>
      </c>
      <c r="N145" s="28" t="s">
        <v>64</v>
      </c>
      <c r="O145" s="12" t="s">
        <v>158</v>
      </c>
      <c r="P145" s="12" t="s">
        <v>31</v>
      </c>
      <c r="Q145" s="12"/>
      <c r="R145" s="12"/>
      <c r="S145" s="12"/>
      <c r="T145" s="95"/>
      <c r="U145" s="95"/>
      <c r="V145" s="12">
        <f t="shared" ref="V145:V151" ca="1" si="11">U145-TODAY()</f>
        <v>-46085</v>
      </c>
      <c r="W145" s="12" t="str">
        <f t="shared" ref="W145:W151" ca="1" si="12">IF(V145&gt;=20,"Vigente",IF(AND(V145&gt;=1,V145&lt;=20),"Por Vencer","Vencido"))</f>
        <v>Vencido</v>
      </c>
      <c r="X145" s="12"/>
    </row>
    <row r="146" spans="1:25" ht="65.25" customHeight="1">
      <c r="A146" s="12" t="s">
        <v>65</v>
      </c>
      <c r="B146" s="12" t="s">
        <v>275</v>
      </c>
      <c r="C146" s="80">
        <v>8161799</v>
      </c>
      <c r="D146" s="26">
        <v>6</v>
      </c>
      <c r="E146" s="12">
        <v>66</v>
      </c>
      <c r="F146" s="28" t="s">
        <v>25</v>
      </c>
      <c r="G146" s="28" t="s">
        <v>272</v>
      </c>
      <c r="H146" s="28" t="s">
        <v>179</v>
      </c>
      <c r="I146" s="28" t="s">
        <v>183</v>
      </c>
      <c r="J146" s="28" t="s">
        <v>68</v>
      </c>
      <c r="K146" s="28" t="s">
        <v>174</v>
      </c>
      <c r="L146" s="95">
        <v>45532</v>
      </c>
      <c r="M146" s="28" t="s">
        <v>276</v>
      </c>
      <c r="N146" s="28" t="s">
        <v>64</v>
      </c>
      <c r="O146" s="12"/>
      <c r="P146" s="12" t="s">
        <v>228</v>
      </c>
      <c r="Q146" s="12"/>
      <c r="R146" s="12"/>
      <c r="S146" s="12"/>
      <c r="T146" s="95"/>
      <c r="U146" s="95"/>
      <c r="V146" s="12">
        <f t="shared" ca="1" si="11"/>
        <v>-46085</v>
      </c>
      <c r="W146" s="12" t="str">
        <f t="shared" ca="1" si="12"/>
        <v>Vencido</v>
      </c>
      <c r="X146" s="12"/>
    </row>
    <row r="147" spans="1:25" ht="65.25" customHeight="1">
      <c r="A147" s="12" t="s">
        <v>65</v>
      </c>
      <c r="B147" s="12" t="s">
        <v>277</v>
      </c>
      <c r="C147" s="80">
        <v>10589366</v>
      </c>
      <c r="D147" s="26">
        <v>3</v>
      </c>
      <c r="E147" s="12">
        <v>62</v>
      </c>
      <c r="F147" s="28" t="s">
        <v>43</v>
      </c>
      <c r="G147" s="28" t="s">
        <v>219</v>
      </c>
      <c r="H147" s="28">
        <v>2024</v>
      </c>
      <c r="I147" s="93">
        <v>45545</v>
      </c>
      <c r="J147" s="28" t="s">
        <v>38</v>
      </c>
      <c r="K147" s="28" t="s">
        <v>246</v>
      </c>
      <c r="L147" s="12" t="s">
        <v>185</v>
      </c>
      <c r="M147" s="28" t="s">
        <v>181</v>
      </c>
      <c r="N147" s="28" t="s">
        <v>64</v>
      </c>
      <c r="O147" s="12"/>
      <c r="P147" s="12" t="s">
        <v>31</v>
      </c>
      <c r="Q147" s="12"/>
      <c r="R147" s="12"/>
      <c r="S147" s="12"/>
      <c r="T147" s="12"/>
      <c r="U147" s="95"/>
      <c r="V147" s="12">
        <f t="shared" ca="1" si="11"/>
        <v>-46085</v>
      </c>
      <c r="W147" s="12" t="str">
        <f t="shared" ca="1" si="12"/>
        <v>Vencido</v>
      </c>
      <c r="X147" s="12"/>
    </row>
    <row r="148" spans="1:25" ht="65.25" customHeight="1">
      <c r="A148" s="12" t="s">
        <v>65</v>
      </c>
      <c r="B148" s="12" t="s">
        <v>278</v>
      </c>
      <c r="C148" s="80">
        <v>5841535</v>
      </c>
      <c r="D148" s="81">
        <v>9</v>
      </c>
      <c r="E148" s="28" t="e">
        <f ca="1">DATEDIF(#REF!,TODAY(),"Y")</f>
        <v>#REF!</v>
      </c>
      <c r="F148" s="28" t="s">
        <v>25</v>
      </c>
      <c r="G148" s="12" t="s">
        <v>202</v>
      </c>
      <c r="H148" s="28" t="s">
        <v>179</v>
      </c>
      <c r="I148" s="28" t="s">
        <v>183</v>
      </c>
      <c r="J148" s="28" t="s">
        <v>68</v>
      </c>
      <c r="K148" s="28" t="s">
        <v>39</v>
      </c>
      <c r="L148" s="93">
        <v>45434</v>
      </c>
      <c r="M148" s="12" t="s">
        <v>279</v>
      </c>
      <c r="N148" s="28" t="s">
        <v>30</v>
      </c>
      <c r="O148" s="12" t="s">
        <v>155</v>
      </c>
      <c r="P148" s="12" t="s">
        <v>228</v>
      </c>
      <c r="Q148" s="101" t="s">
        <v>280</v>
      </c>
      <c r="R148" s="12" t="s">
        <v>281</v>
      </c>
      <c r="S148" s="12" t="s">
        <v>282</v>
      </c>
      <c r="T148" s="95">
        <v>45541</v>
      </c>
      <c r="U148" s="95">
        <v>45602</v>
      </c>
      <c r="V148" s="12">
        <f t="shared" ca="1" si="11"/>
        <v>-483</v>
      </c>
      <c r="W148" s="12" t="str">
        <f t="shared" ca="1" si="12"/>
        <v>Vencido</v>
      </c>
      <c r="X148" s="12"/>
    </row>
    <row r="149" spans="1:25" ht="65.25" customHeight="1">
      <c r="A149" s="12" t="s">
        <v>65</v>
      </c>
      <c r="B149" s="12" t="s">
        <v>283</v>
      </c>
      <c r="C149" s="80">
        <v>6830131</v>
      </c>
      <c r="D149" s="81">
        <v>9</v>
      </c>
      <c r="E149" s="28" t="e">
        <f ca="1">DATEDIF(#REF!,TODAY(),"Y")</f>
        <v>#REF!</v>
      </c>
      <c r="F149" s="28" t="s">
        <v>70</v>
      </c>
      <c r="G149" s="12" t="s">
        <v>67</v>
      </c>
      <c r="H149" s="28">
        <v>2023</v>
      </c>
      <c r="I149" s="93">
        <v>45191</v>
      </c>
      <c r="J149" s="28" t="s">
        <v>27</v>
      </c>
      <c r="K149" s="28" t="s">
        <v>39</v>
      </c>
      <c r="L149" s="93">
        <v>45245</v>
      </c>
      <c r="M149" s="12" t="s">
        <v>284</v>
      </c>
      <c r="N149" s="28" t="s">
        <v>30</v>
      </c>
      <c r="O149" s="12" t="s">
        <v>158</v>
      </c>
      <c r="P149" s="12" t="s">
        <v>31</v>
      </c>
      <c r="Q149" s="12" t="s">
        <v>285</v>
      </c>
      <c r="R149" s="12" t="s">
        <v>281</v>
      </c>
      <c r="S149" s="12" t="s">
        <v>286</v>
      </c>
      <c r="T149" s="95">
        <v>45520</v>
      </c>
      <c r="U149" s="95">
        <v>45581</v>
      </c>
      <c r="V149" s="12">
        <f t="shared" ca="1" si="11"/>
        <v>-504</v>
      </c>
      <c r="W149" s="12" t="str">
        <f t="shared" ca="1" si="12"/>
        <v>Vencido</v>
      </c>
      <c r="X149" s="12"/>
    </row>
    <row r="150" spans="1:25" ht="65.25" customHeight="1">
      <c r="A150" s="12" t="s">
        <v>189</v>
      </c>
      <c r="B150" s="12" t="s">
        <v>287</v>
      </c>
      <c r="C150" s="80">
        <v>10775742</v>
      </c>
      <c r="D150" s="26">
        <v>2</v>
      </c>
      <c r="E150" s="12">
        <v>55</v>
      </c>
      <c r="F150" s="28" t="s">
        <v>70</v>
      </c>
      <c r="G150" s="28" t="s">
        <v>74</v>
      </c>
      <c r="H150" s="28">
        <v>2024</v>
      </c>
      <c r="I150" s="93">
        <v>45533</v>
      </c>
      <c r="J150" s="28" t="s">
        <v>68</v>
      </c>
      <c r="K150" s="28" t="s">
        <v>58</v>
      </c>
      <c r="L150" s="12" t="s">
        <v>185</v>
      </c>
      <c r="M150" s="28" t="s">
        <v>181</v>
      </c>
      <c r="N150" s="28" t="s">
        <v>64</v>
      </c>
      <c r="O150" s="12" t="s">
        <v>34</v>
      </c>
      <c r="P150" s="12" t="s">
        <v>31</v>
      </c>
      <c r="Q150" s="12" t="s">
        <v>288</v>
      </c>
      <c r="R150" s="12" t="s">
        <v>289</v>
      </c>
      <c r="S150" s="12" t="s">
        <v>290</v>
      </c>
      <c r="T150" s="95">
        <v>45589</v>
      </c>
      <c r="U150" s="95">
        <v>45620</v>
      </c>
      <c r="V150" s="12">
        <f t="shared" ca="1" si="11"/>
        <v>-465</v>
      </c>
      <c r="W150" s="12" t="str">
        <f t="shared" ca="1" si="12"/>
        <v>Vencido</v>
      </c>
      <c r="X150" s="12"/>
    </row>
    <row r="151" spans="1:25" ht="65.25" customHeight="1">
      <c r="A151" s="12" t="s">
        <v>189</v>
      </c>
      <c r="B151" s="12" t="s">
        <v>291</v>
      </c>
      <c r="C151" s="80">
        <v>9758706</v>
      </c>
      <c r="D151" s="81" t="s">
        <v>93</v>
      </c>
      <c r="E151" s="28" t="e">
        <f ca="1">DATEDIF(#REF!,TODAY(),"Y")</f>
        <v>#REF!</v>
      </c>
      <c r="F151" s="28" t="s">
        <v>25</v>
      </c>
      <c r="G151" s="12" t="s">
        <v>26</v>
      </c>
      <c r="H151" s="28" t="s">
        <v>179</v>
      </c>
      <c r="I151" s="28" t="s">
        <v>183</v>
      </c>
      <c r="J151" s="28" t="s">
        <v>27</v>
      </c>
      <c r="K151" s="28" t="s">
        <v>28</v>
      </c>
      <c r="L151" s="28" t="s">
        <v>185</v>
      </c>
      <c r="M151" s="12" t="s">
        <v>181</v>
      </c>
      <c r="N151" s="28" t="s">
        <v>64</v>
      </c>
      <c r="O151" s="12"/>
      <c r="P151" s="12" t="s">
        <v>230</v>
      </c>
      <c r="Q151" s="145" t="s">
        <v>292</v>
      </c>
      <c r="R151" s="12" t="s">
        <v>293</v>
      </c>
      <c r="S151" s="12" t="s">
        <v>294</v>
      </c>
      <c r="T151" s="95">
        <v>45567</v>
      </c>
      <c r="U151" s="95">
        <v>45629</v>
      </c>
      <c r="V151" s="12">
        <f t="shared" ca="1" si="11"/>
        <v>-456</v>
      </c>
      <c r="W151" s="12" t="str">
        <f t="shared" ca="1" si="12"/>
        <v>Vencido</v>
      </c>
      <c r="X151" s="12"/>
    </row>
    <row r="152" spans="1:25" ht="65.25" customHeight="1">
      <c r="A152" s="12" t="s">
        <v>189</v>
      </c>
      <c r="B152" s="12" t="s">
        <v>295</v>
      </c>
      <c r="C152" s="80">
        <v>5375873</v>
      </c>
      <c r="D152" s="81">
        <v>8</v>
      </c>
      <c r="E152" s="28" t="e">
        <f ca="1">DATEDIF(#REF!,TODAY(),"Y")</f>
        <v>#REF!</v>
      </c>
      <c r="F152" s="28" t="s">
        <v>70</v>
      </c>
      <c r="G152" s="12" t="s">
        <v>74</v>
      </c>
      <c r="H152" s="28">
        <v>2018</v>
      </c>
      <c r="I152" s="93">
        <v>43255</v>
      </c>
      <c r="J152" s="28" t="s">
        <v>27</v>
      </c>
      <c r="K152" s="28" t="s">
        <v>28</v>
      </c>
      <c r="L152" s="93">
        <v>43723</v>
      </c>
      <c r="M152" s="12" t="s">
        <v>296</v>
      </c>
      <c r="N152" s="28" t="s">
        <v>64</v>
      </c>
      <c r="O152" s="12" t="s">
        <v>158</v>
      </c>
      <c r="P152" s="12" t="s">
        <v>297</v>
      </c>
      <c r="Q152" s="12" t="s">
        <v>298</v>
      </c>
      <c r="R152" s="12" t="s">
        <v>289</v>
      </c>
      <c r="S152" s="12" t="s">
        <v>299</v>
      </c>
      <c r="T152" s="95">
        <v>45530</v>
      </c>
      <c r="U152" s="95">
        <v>45561</v>
      </c>
      <c r="V152" s="12">
        <f t="shared" ref="V152:V157" ca="1" si="13">U152-TODAY()</f>
        <v>-524</v>
      </c>
      <c r="W152" s="12" t="str">
        <f t="shared" ref="W152:W157" ca="1" si="14">IF(V152&gt;=20,"Vigente",IF(AND(V152&gt;=1,V152&lt;=20),"Por Vencer","Vencido"))</f>
        <v>Vencido</v>
      </c>
      <c r="X152" s="12"/>
    </row>
    <row r="153" spans="1:25" ht="65.25" customHeight="1">
      <c r="A153" s="12" t="s">
        <v>189</v>
      </c>
      <c r="B153" s="12" t="s">
        <v>300</v>
      </c>
      <c r="C153" s="80">
        <v>6992627</v>
      </c>
      <c r="D153" s="81">
        <v>4</v>
      </c>
      <c r="E153" s="12">
        <v>70</v>
      </c>
      <c r="F153" s="28" t="s">
        <v>25</v>
      </c>
      <c r="G153" s="28" t="s">
        <v>26</v>
      </c>
      <c r="H153" s="28">
        <v>2024</v>
      </c>
      <c r="I153" s="93">
        <v>45503</v>
      </c>
      <c r="J153" s="28" t="s">
        <v>68</v>
      </c>
      <c r="K153" s="28" t="s">
        <v>274</v>
      </c>
      <c r="L153" s="95">
        <v>45544</v>
      </c>
      <c r="M153" s="28" t="s">
        <v>301</v>
      </c>
      <c r="N153" s="73" t="s">
        <v>64</v>
      </c>
      <c r="O153" s="12" t="s">
        <v>158</v>
      </c>
      <c r="P153" s="12" t="s">
        <v>230</v>
      </c>
      <c r="Q153" s="101" t="s">
        <v>302</v>
      </c>
      <c r="R153" s="12" t="s">
        <v>303</v>
      </c>
      <c r="S153" s="12" t="s">
        <v>282</v>
      </c>
      <c r="T153" s="95">
        <v>45544</v>
      </c>
      <c r="U153" s="95">
        <v>45635</v>
      </c>
      <c r="V153" s="12">
        <f t="shared" ca="1" si="13"/>
        <v>-450</v>
      </c>
      <c r="W153" s="12" t="str">
        <f t="shared" ca="1" si="14"/>
        <v>Vencido</v>
      </c>
      <c r="X153" s="12"/>
    </row>
    <row r="154" spans="1:25" ht="65.25" customHeight="1">
      <c r="A154" s="12" t="s">
        <v>189</v>
      </c>
      <c r="B154" s="12" t="s">
        <v>304</v>
      </c>
      <c r="C154" s="80">
        <v>679251</v>
      </c>
      <c r="D154" s="26">
        <v>6</v>
      </c>
      <c r="E154" s="12">
        <v>72</v>
      </c>
      <c r="F154" s="28" t="s">
        <v>33</v>
      </c>
      <c r="G154" s="28" t="s">
        <v>26</v>
      </c>
      <c r="H154" s="28">
        <v>2024</v>
      </c>
      <c r="I154" s="93">
        <v>45636</v>
      </c>
      <c r="J154" s="28" t="s">
        <v>172</v>
      </c>
      <c r="K154" s="28" t="s">
        <v>149</v>
      </c>
      <c r="L154" s="12"/>
      <c r="M154" s="28"/>
      <c r="N154" s="28" t="s">
        <v>30</v>
      </c>
      <c r="O154" s="12"/>
      <c r="P154" s="12" t="s">
        <v>31</v>
      </c>
      <c r="Q154" s="12" t="s">
        <v>305</v>
      </c>
      <c r="R154" s="12"/>
      <c r="S154" s="12"/>
      <c r="T154" s="12"/>
      <c r="U154" s="95"/>
      <c r="V154" s="12">
        <f t="shared" ca="1" si="13"/>
        <v>-46085</v>
      </c>
      <c r="W154" s="12" t="str">
        <f t="shared" ca="1" si="14"/>
        <v>Vencido</v>
      </c>
    </row>
    <row r="155" spans="1:25" ht="65.25" customHeight="1">
      <c r="A155" s="12" t="s">
        <v>189</v>
      </c>
      <c r="B155" s="12" t="s">
        <v>306</v>
      </c>
      <c r="C155" s="80">
        <v>6899740</v>
      </c>
      <c r="D155" s="26">
        <v>2</v>
      </c>
      <c r="E155" s="12">
        <v>73</v>
      </c>
      <c r="F155" s="28" t="s">
        <v>25</v>
      </c>
      <c r="G155" s="28" t="s">
        <v>147</v>
      </c>
      <c r="H155" s="28">
        <v>2024</v>
      </c>
      <c r="I155" s="93">
        <v>45586</v>
      </c>
      <c r="J155" s="28" t="s">
        <v>68</v>
      </c>
      <c r="K155" s="28" t="s">
        <v>246</v>
      </c>
      <c r="L155" s="95">
        <v>45635</v>
      </c>
      <c r="M155" s="28" t="s">
        <v>307</v>
      </c>
      <c r="N155" s="104" t="s">
        <v>2</v>
      </c>
      <c r="O155" s="12"/>
      <c r="P155" s="12" t="s">
        <v>228</v>
      </c>
      <c r="Q155" s="12" t="s">
        <v>308</v>
      </c>
      <c r="R155" s="12" t="s">
        <v>293</v>
      </c>
      <c r="S155" s="12" t="s">
        <v>290</v>
      </c>
      <c r="T155" s="95">
        <v>45637</v>
      </c>
      <c r="U155" s="95">
        <v>45727</v>
      </c>
      <c r="V155" s="12">
        <f t="shared" ca="1" si="13"/>
        <v>-358</v>
      </c>
      <c r="W155" s="12" t="str">
        <f t="shared" ca="1" si="14"/>
        <v>Vencido</v>
      </c>
      <c r="X155" s="12"/>
    </row>
    <row r="156" spans="1:25" s="68" customFormat="1" ht="65.25" customHeight="1">
      <c r="A156" s="21" t="s">
        <v>189</v>
      </c>
      <c r="B156" s="21" t="s">
        <v>309</v>
      </c>
      <c r="C156" s="78">
        <v>5416159</v>
      </c>
      <c r="D156" s="79" t="s">
        <v>93</v>
      </c>
      <c r="E156" s="21">
        <v>78</v>
      </c>
      <c r="F156" s="40" t="s">
        <v>255</v>
      </c>
      <c r="G156" s="40" t="s">
        <v>60</v>
      </c>
      <c r="H156" s="40">
        <v>2024</v>
      </c>
      <c r="I156" s="91">
        <v>45485</v>
      </c>
      <c r="J156" s="40" t="s">
        <v>68</v>
      </c>
      <c r="K156" s="40" t="s">
        <v>246</v>
      </c>
      <c r="L156" s="100">
        <v>45525</v>
      </c>
      <c r="M156" s="40" t="s">
        <v>310</v>
      </c>
      <c r="N156" s="40" t="s">
        <v>2</v>
      </c>
      <c r="O156" s="21" t="s">
        <v>158</v>
      </c>
      <c r="P156" s="21" t="s">
        <v>31</v>
      </c>
      <c r="Q156" s="21" t="s">
        <v>311</v>
      </c>
      <c r="R156" s="21" t="s">
        <v>289</v>
      </c>
      <c r="S156" s="21" t="s">
        <v>282</v>
      </c>
      <c r="T156" s="100">
        <v>45530</v>
      </c>
      <c r="U156" s="100">
        <v>45561</v>
      </c>
      <c r="V156" s="21">
        <f t="shared" ca="1" si="13"/>
        <v>-524</v>
      </c>
      <c r="W156" s="21" t="str">
        <f t="shared" ca="1" si="14"/>
        <v>Vencido</v>
      </c>
      <c r="X156" s="21" t="s">
        <v>312</v>
      </c>
    </row>
    <row r="157" spans="1:25" ht="65.25" customHeight="1">
      <c r="A157" s="128" t="s">
        <v>189</v>
      </c>
      <c r="B157" s="128" t="s">
        <v>313</v>
      </c>
      <c r="C157" s="71">
        <v>4575954</v>
      </c>
      <c r="D157" s="134">
        <v>7</v>
      </c>
      <c r="E157" s="128">
        <v>84</v>
      </c>
      <c r="F157" s="83" t="s">
        <v>43</v>
      </c>
      <c r="G157" s="83" t="s">
        <v>60</v>
      </c>
      <c r="H157" s="83">
        <v>2024</v>
      </c>
      <c r="I157" s="139">
        <v>45420</v>
      </c>
      <c r="J157" s="83" t="s">
        <v>68</v>
      </c>
      <c r="K157" s="83" t="s">
        <v>274</v>
      </c>
      <c r="L157" s="140">
        <v>45511</v>
      </c>
      <c r="M157" s="83" t="s">
        <v>301</v>
      </c>
      <c r="N157" s="83" t="s">
        <v>64</v>
      </c>
      <c r="O157" s="128" t="s">
        <v>158</v>
      </c>
      <c r="P157" s="128" t="s">
        <v>31</v>
      </c>
      <c r="Q157" s="128" t="s">
        <v>314</v>
      </c>
      <c r="R157" s="128" t="s">
        <v>281</v>
      </c>
      <c r="S157" s="128" t="s">
        <v>282</v>
      </c>
      <c r="T157" s="140">
        <v>45513</v>
      </c>
      <c r="U157" s="74">
        <v>45574</v>
      </c>
      <c r="V157" s="128">
        <f t="shared" ca="1" si="13"/>
        <v>-511</v>
      </c>
      <c r="W157" s="128" t="str">
        <f t="shared" ca="1" si="14"/>
        <v>Vencido</v>
      </c>
      <c r="X157" s="128"/>
    </row>
    <row r="158" spans="1:25" s="69" customFormat="1" ht="65.25" customHeight="1">
      <c r="A158" s="12" t="s">
        <v>189</v>
      </c>
      <c r="B158" s="12" t="s">
        <v>315</v>
      </c>
      <c r="C158" s="80">
        <v>4569058</v>
      </c>
      <c r="D158" s="81" t="s">
        <v>135</v>
      </c>
      <c r="E158" s="28">
        <v>82</v>
      </c>
      <c r="F158" s="28" t="s">
        <v>25</v>
      </c>
      <c r="G158" s="12" t="s">
        <v>60</v>
      </c>
      <c r="H158" s="12" t="s">
        <v>316</v>
      </c>
      <c r="I158" s="28">
        <v>2022</v>
      </c>
      <c r="J158" s="93">
        <v>44783</v>
      </c>
      <c r="K158" s="28" t="s">
        <v>27</v>
      </c>
      <c r="L158" s="28" t="s">
        <v>28</v>
      </c>
      <c r="M158" s="93">
        <v>45665</v>
      </c>
      <c r="N158" s="12" t="s">
        <v>317</v>
      </c>
      <c r="O158" s="28" t="s">
        <v>64</v>
      </c>
      <c r="P158" s="12" t="s">
        <v>228</v>
      </c>
      <c r="Q158" s="12"/>
      <c r="R158" s="21" t="s">
        <v>318</v>
      </c>
      <c r="S158" s="12" t="s">
        <v>289</v>
      </c>
      <c r="T158" s="12" t="s">
        <v>294</v>
      </c>
      <c r="U158" s="95">
        <v>45666</v>
      </c>
      <c r="V158" s="95">
        <v>45697</v>
      </c>
      <c r="W158" s="12">
        <f t="shared" ref="W158:W166" ca="1" si="15">V158-TODAY()</f>
        <v>-388</v>
      </c>
      <c r="X158" s="12" t="str">
        <f t="shared" ref="X158:X166" ca="1" si="16">IF(W158&gt;=20,"Vigente",IF(AND(W158&gt;=1,W158&lt;=20),"Por Vencer","Vencido"))</f>
        <v>Vencido</v>
      </c>
      <c r="Y158" s="12"/>
    </row>
    <row r="159" spans="1:25" s="69" customFormat="1" ht="65.25" customHeight="1">
      <c r="A159" s="12" t="s">
        <v>189</v>
      </c>
      <c r="B159" s="12" t="s">
        <v>319</v>
      </c>
      <c r="C159" s="80">
        <v>5061079</v>
      </c>
      <c r="D159" s="81">
        <v>9</v>
      </c>
      <c r="E159" s="28">
        <v>86</v>
      </c>
      <c r="F159" s="28" t="s">
        <v>25</v>
      </c>
      <c r="G159" s="12" t="s">
        <v>26</v>
      </c>
      <c r="H159" s="21" t="s">
        <v>320</v>
      </c>
      <c r="I159" s="28">
        <v>2020</v>
      </c>
      <c r="J159" s="93">
        <v>44077</v>
      </c>
      <c r="K159" s="28" t="s">
        <v>27</v>
      </c>
      <c r="L159" s="28" t="s">
        <v>39</v>
      </c>
      <c r="M159" s="93">
        <v>45334</v>
      </c>
      <c r="N159" s="12" t="s">
        <v>321</v>
      </c>
      <c r="O159" s="28" t="s">
        <v>64</v>
      </c>
      <c r="P159" s="12" t="s">
        <v>228</v>
      </c>
      <c r="Q159" s="12"/>
      <c r="R159" s="12" t="s">
        <v>322</v>
      </c>
      <c r="S159" s="12" t="s">
        <v>289</v>
      </c>
      <c r="T159" s="12" t="s">
        <v>299</v>
      </c>
      <c r="U159" s="95">
        <v>45565</v>
      </c>
      <c r="V159" s="95">
        <v>45595</v>
      </c>
      <c r="W159" s="12">
        <f t="shared" ca="1" si="15"/>
        <v>-490</v>
      </c>
      <c r="X159" s="12" t="str">
        <f t="shared" ca="1" si="16"/>
        <v>Vencido</v>
      </c>
      <c r="Y159" s="12" t="s">
        <v>323</v>
      </c>
    </row>
    <row r="160" spans="1:25" ht="65.25" customHeight="1">
      <c r="A160" s="12" t="s">
        <v>189</v>
      </c>
      <c r="B160" s="12" t="s">
        <v>324</v>
      </c>
      <c r="C160" s="80">
        <v>7568591</v>
      </c>
      <c r="D160" s="26">
        <v>2</v>
      </c>
      <c r="E160" s="12">
        <v>66</v>
      </c>
      <c r="F160" s="28" t="s">
        <v>25</v>
      </c>
      <c r="G160" s="28" t="s">
        <v>60</v>
      </c>
      <c r="H160" s="28" t="s">
        <v>316</v>
      </c>
      <c r="I160" s="28">
        <v>2024</v>
      </c>
      <c r="J160" s="93">
        <v>45643</v>
      </c>
      <c r="K160" s="28" t="s">
        <v>68</v>
      </c>
      <c r="L160" s="28" t="s">
        <v>246</v>
      </c>
      <c r="M160" s="95">
        <v>45665</v>
      </c>
      <c r="N160" s="28" t="s">
        <v>325</v>
      </c>
      <c r="O160" s="28" t="s">
        <v>2</v>
      </c>
      <c r="P160" s="12" t="s">
        <v>228</v>
      </c>
      <c r="Q160" s="12"/>
      <c r="R160" s="12" t="s">
        <v>326</v>
      </c>
      <c r="S160" s="12" t="s">
        <v>289</v>
      </c>
      <c r="T160" s="12" t="s">
        <v>327</v>
      </c>
      <c r="U160" s="95">
        <v>45652</v>
      </c>
      <c r="V160" s="95">
        <v>45683</v>
      </c>
      <c r="W160" s="12">
        <f t="shared" ca="1" si="15"/>
        <v>-402</v>
      </c>
      <c r="X160" s="12" t="str">
        <f t="shared" ca="1" si="16"/>
        <v>Vencido</v>
      </c>
    </row>
    <row r="161" spans="1:25" ht="65.25" customHeight="1">
      <c r="A161" s="12" t="s">
        <v>65</v>
      </c>
      <c r="B161" s="12" t="s">
        <v>328</v>
      </c>
      <c r="C161" s="80">
        <v>8811624</v>
      </c>
      <c r="D161" s="26">
        <v>0</v>
      </c>
      <c r="E161" s="12">
        <v>64</v>
      </c>
      <c r="F161" s="28" t="s">
        <v>329</v>
      </c>
      <c r="G161" s="28" t="s">
        <v>330</v>
      </c>
      <c r="H161" s="28" t="s">
        <v>316</v>
      </c>
      <c r="I161" s="28">
        <v>2024</v>
      </c>
      <c r="J161" s="28" t="s">
        <v>183</v>
      </c>
      <c r="K161" s="28" t="s">
        <v>68</v>
      </c>
      <c r="L161" s="28" t="s">
        <v>331</v>
      </c>
      <c r="M161" s="12"/>
      <c r="N161" s="28"/>
      <c r="O161" s="141" t="s">
        <v>64</v>
      </c>
      <c r="P161" s="12" t="s">
        <v>31</v>
      </c>
      <c r="Q161" s="12"/>
      <c r="R161" s="12" t="s">
        <v>332</v>
      </c>
      <c r="S161" s="12" t="s">
        <v>289</v>
      </c>
      <c r="T161" s="12" t="s">
        <v>282</v>
      </c>
      <c r="U161" s="95">
        <v>45609</v>
      </c>
      <c r="V161" s="95">
        <v>45639</v>
      </c>
      <c r="W161" s="12">
        <f t="shared" ca="1" si="15"/>
        <v>-446</v>
      </c>
      <c r="X161" s="12" t="str">
        <f t="shared" ca="1" si="16"/>
        <v>Vencido</v>
      </c>
    </row>
    <row r="162" spans="1:25" ht="80.25" customHeight="1">
      <c r="A162" s="128" t="s">
        <v>189</v>
      </c>
      <c r="B162" s="128" t="s">
        <v>333</v>
      </c>
      <c r="C162" s="129">
        <v>6998147</v>
      </c>
      <c r="D162" s="130" t="s">
        <v>93</v>
      </c>
      <c r="E162" s="128">
        <v>70</v>
      </c>
      <c r="F162" s="83" t="s">
        <v>33</v>
      </c>
      <c r="G162" s="83" t="s">
        <v>334</v>
      </c>
      <c r="H162" s="83" t="s">
        <v>316</v>
      </c>
      <c r="I162" s="83" t="s">
        <v>179</v>
      </c>
      <c r="J162" s="83" t="s">
        <v>183</v>
      </c>
      <c r="K162" s="83" t="s">
        <v>172</v>
      </c>
      <c r="L162" s="83" t="s">
        <v>335</v>
      </c>
      <c r="M162" s="128" t="s">
        <v>185</v>
      </c>
      <c r="N162" s="83" t="s">
        <v>181</v>
      </c>
      <c r="O162" s="142" t="s">
        <v>64</v>
      </c>
      <c r="P162" s="128" t="s">
        <v>230</v>
      </c>
      <c r="Q162" s="128"/>
      <c r="R162" t="s">
        <v>336</v>
      </c>
      <c r="S162" s="128" t="s">
        <v>289</v>
      </c>
      <c r="T162" s="128" t="s">
        <v>327</v>
      </c>
      <c r="U162" s="140">
        <v>45587</v>
      </c>
      <c r="V162" s="140">
        <v>45618</v>
      </c>
      <c r="W162" s="128">
        <f t="shared" ca="1" si="15"/>
        <v>-467</v>
      </c>
      <c r="X162" s="128" t="str">
        <f t="shared" ca="1" si="16"/>
        <v>Vencido</v>
      </c>
      <c r="Y162" s="12"/>
    </row>
    <row r="163" spans="1:25" ht="65.25" customHeight="1">
      <c r="A163" s="104" t="s">
        <v>189</v>
      </c>
      <c r="B163" s="104" t="s">
        <v>337</v>
      </c>
      <c r="C163" s="105">
        <v>41597464</v>
      </c>
      <c r="D163" s="106">
        <v>7</v>
      </c>
      <c r="E163" s="96" t="e">
        <f ca="1">DATEDIF(#REF!,TODAY(),"Y")</f>
        <v>#REF!</v>
      </c>
      <c r="F163" s="96" t="s">
        <v>70</v>
      </c>
      <c r="G163" s="104" t="s">
        <v>26</v>
      </c>
      <c r="H163" s="12" t="s">
        <v>320</v>
      </c>
      <c r="I163" s="96">
        <v>2024</v>
      </c>
      <c r="J163" s="109">
        <v>45408</v>
      </c>
      <c r="K163" s="96" t="s">
        <v>68</v>
      </c>
      <c r="L163" s="96" t="s">
        <v>39</v>
      </c>
      <c r="M163" s="109">
        <v>45418</v>
      </c>
      <c r="N163" s="104"/>
      <c r="O163" s="96" t="s">
        <v>64</v>
      </c>
      <c r="P163" s="104" t="s">
        <v>230</v>
      </c>
      <c r="Q163" s="104"/>
      <c r="R163" s="146" t="s">
        <v>338</v>
      </c>
      <c r="S163" s="104"/>
      <c r="T163" s="104"/>
      <c r="U163" s="104"/>
      <c r="V163" s="110"/>
      <c r="W163" s="104">
        <f t="shared" ca="1" si="15"/>
        <v>-46085</v>
      </c>
      <c r="X163" s="104" t="str">
        <f t="shared" ca="1" si="16"/>
        <v>Vencido</v>
      </c>
      <c r="Y163" s="104"/>
    </row>
    <row r="164" spans="1:25" ht="65.25" customHeight="1">
      <c r="A164" s="12" t="s">
        <v>189</v>
      </c>
      <c r="B164" s="12" t="s">
        <v>339</v>
      </c>
      <c r="C164" s="80">
        <v>5937581</v>
      </c>
      <c r="D164" s="26">
        <v>4</v>
      </c>
      <c r="E164" s="12">
        <v>83</v>
      </c>
      <c r="F164" s="28" t="s">
        <v>25</v>
      </c>
      <c r="G164" s="28" t="s">
        <v>26</v>
      </c>
      <c r="H164" s="28" t="s">
        <v>340</v>
      </c>
      <c r="I164" s="28">
        <v>2025</v>
      </c>
      <c r="J164" s="93">
        <v>45678</v>
      </c>
      <c r="K164" s="28" t="s">
        <v>68</v>
      </c>
      <c r="L164" s="28" t="s">
        <v>331</v>
      </c>
      <c r="M164" s="12"/>
      <c r="N164" s="28"/>
      <c r="O164" s="28" t="s">
        <v>30</v>
      </c>
      <c r="P164" s="12" t="s">
        <v>230</v>
      </c>
      <c r="Q164" s="12"/>
      <c r="R164" s="12" t="s">
        <v>341</v>
      </c>
      <c r="S164" s="12" t="s">
        <v>289</v>
      </c>
      <c r="T164" s="12" t="s">
        <v>290</v>
      </c>
      <c r="U164" s="95">
        <v>45685</v>
      </c>
      <c r="V164" s="95">
        <v>45716</v>
      </c>
      <c r="W164" s="12">
        <f t="shared" ca="1" si="15"/>
        <v>-369</v>
      </c>
      <c r="X164" s="12" t="str">
        <f t="shared" ca="1" si="16"/>
        <v>Vencido</v>
      </c>
    </row>
    <row r="165" spans="1:25" ht="65.25" customHeight="1">
      <c r="A165" s="12" t="s">
        <v>189</v>
      </c>
      <c r="B165" s="12" t="s">
        <v>342</v>
      </c>
      <c r="C165" s="80">
        <v>4388729</v>
      </c>
      <c r="D165" s="26">
        <v>7</v>
      </c>
      <c r="E165" s="12">
        <v>85</v>
      </c>
      <c r="F165" s="28" t="s">
        <v>25</v>
      </c>
      <c r="G165" s="28" t="s">
        <v>74</v>
      </c>
      <c r="H165" s="28" t="s">
        <v>320</v>
      </c>
      <c r="I165" s="28">
        <v>2025</v>
      </c>
      <c r="J165" s="93">
        <v>45660</v>
      </c>
      <c r="K165" s="28" t="s">
        <v>68</v>
      </c>
      <c r="L165" s="28" t="s">
        <v>162</v>
      </c>
      <c r="M165" s="95">
        <v>45684</v>
      </c>
      <c r="N165" s="28" t="s">
        <v>343</v>
      </c>
      <c r="O165" s="28" t="s">
        <v>30</v>
      </c>
      <c r="P165" s="12" t="s">
        <v>31</v>
      </c>
      <c r="Q165" s="12"/>
      <c r="R165" s="12" t="s">
        <v>344</v>
      </c>
      <c r="S165" s="12" t="s">
        <v>281</v>
      </c>
      <c r="T165" s="12" t="s">
        <v>290</v>
      </c>
      <c r="U165" s="95">
        <v>45685</v>
      </c>
      <c r="V165" s="95">
        <v>45744</v>
      </c>
      <c r="W165" s="12">
        <f t="shared" ca="1" si="15"/>
        <v>-341</v>
      </c>
      <c r="X165" s="12" t="str">
        <f t="shared" ca="1" si="16"/>
        <v>Vencido</v>
      </c>
    </row>
    <row r="166" spans="1:25" ht="65.25" customHeight="1">
      <c r="A166" s="12" t="s">
        <v>189</v>
      </c>
      <c r="B166" s="12" t="s">
        <v>345</v>
      </c>
      <c r="C166" s="80">
        <v>8734900</v>
      </c>
      <c r="D166" s="26">
        <v>4</v>
      </c>
      <c r="E166" s="12">
        <v>65</v>
      </c>
      <c r="F166" s="28" t="s">
        <v>25</v>
      </c>
      <c r="G166" s="28" t="s">
        <v>60</v>
      </c>
      <c r="H166" s="28" t="s">
        <v>316</v>
      </c>
      <c r="I166" s="28">
        <v>2024</v>
      </c>
      <c r="J166" s="93">
        <v>45600</v>
      </c>
      <c r="K166" s="28" t="s">
        <v>68</v>
      </c>
      <c r="L166" s="28" t="s">
        <v>174</v>
      </c>
      <c r="M166" s="95">
        <v>45630</v>
      </c>
      <c r="N166" s="28" t="s">
        <v>346</v>
      </c>
      <c r="O166" s="89" t="s">
        <v>2</v>
      </c>
      <c r="P166" s="12" t="s">
        <v>228</v>
      </c>
      <c r="Q166" s="12"/>
      <c r="R166" s="12" t="s">
        <v>347</v>
      </c>
      <c r="S166" s="12" t="s">
        <v>289</v>
      </c>
      <c r="T166" s="12" t="s">
        <v>348</v>
      </c>
      <c r="U166" s="95">
        <v>45631</v>
      </c>
      <c r="V166" s="95">
        <v>45662</v>
      </c>
      <c r="W166" s="12">
        <f t="shared" ca="1" si="15"/>
        <v>-423</v>
      </c>
      <c r="X166" s="12" t="str">
        <f t="shared" ca="1" si="16"/>
        <v>Vencido</v>
      </c>
    </row>
    <row r="167" spans="1:25" ht="65.25" customHeight="1">
      <c r="A167" s="12" t="s">
        <v>189</v>
      </c>
      <c r="B167" s="12" t="s">
        <v>349</v>
      </c>
      <c r="C167" s="80">
        <v>3487899</v>
      </c>
      <c r="D167" s="81">
        <v>4</v>
      </c>
      <c r="E167" s="12">
        <v>91</v>
      </c>
      <c r="F167" s="28" t="s">
        <v>25</v>
      </c>
      <c r="G167" s="28" t="s">
        <v>350</v>
      </c>
      <c r="H167" s="28" t="s">
        <v>340</v>
      </c>
      <c r="I167" s="28" t="s">
        <v>179</v>
      </c>
      <c r="J167" s="28" t="s">
        <v>183</v>
      </c>
      <c r="K167" s="28" t="s">
        <v>68</v>
      </c>
      <c r="L167" s="28" t="s">
        <v>274</v>
      </c>
      <c r="M167" s="95">
        <v>45509</v>
      </c>
      <c r="N167" s="28" t="s">
        <v>206</v>
      </c>
      <c r="O167" s="28" t="s">
        <v>64</v>
      </c>
      <c r="P167" s="12" t="s">
        <v>158</v>
      </c>
      <c r="Q167" s="12" t="s">
        <v>31</v>
      </c>
      <c r="R167" s="101" t="s">
        <v>351</v>
      </c>
      <c r="S167" s="12" t="s">
        <v>281</v>
      </c>
      <c r="T167" s="12" t="s">
        <v>294</v>
      </c>
      <c r="U167" s="95">
        <v>45513</v>
      </c>
      <c r="V167" s="95">
        <v>45666</v>
      </c>
      <c r="W167" s="12">
        <f t="shared" ref="W167:W173" ca="1" si="17">V167-TODAY()</f>
        <v>-419</v>
      </c>
      <c r="X167" s="12" t="str">
        <f t="shared" ref="X167:X173" ca="1" si="18">IF(W167&gt;=20,"Vigente",IF(AND(W167&gt;=1,W167&lt;=20),"Por Vencer","Vencido"))</f>
        <v>Vencido</v>
      </c>
      <c r="Y167" s="12"/>
    </row>
    <row r="168" spans="1:25" ht="65.25" customHeight="1">
      <c r="A168" s="12" t="s">
        <v>189</v>
      </c>
      <c r="B168" s="12" t="s">
        <v>352</v>
      </c>
      <c r="C168" s="80">
        <v>6781820</v>
      </c>
      <c r="D168" s="81">
        <v>2</v>
      </c>
      <c r="E168" s="28" t="e">
        <f ca="1">DATEDIF(#REF!,TODAY(),"Y")</f>
        <v>#REF!</v>
      </c>
      <c r="F168" s="28" t="s">
        <v>70</v>
      </c>
      <c r="G168" s="28" t="s">
        <v>353</v>
      </c>
      <c r="H168" s="12" t="s">
        <v>340</v>
      </c>
      <c r="I168" s="28">
        <v>2024</v>
      </c>
      <c r="J168" s="93">
        <v>45446</v>
      </c>
      <c r="K168" s="28" t="s">
        <v>27</v>
      </c>
      <c r="L168" s="28" t="s">
        <v>28</v>
      </c>
      <c r="M168" s="93">
        <v>45467</v>
      </c>
      <c r="N168" s="12" t="s">
        <v>206</v>
      </c>
      <c r="O168" s="28" t="s">
        <v>64</v>
      </c>
      <c r="P168" s="12" t="s">
        <v>158</v>
      </c>
      <c r="Q168" s="12" t="s">
        <v>31</v>
      </c>
      <c r="R168" s="12" t="s">
        <v>354</v>
      </c>
      <c r="S168" s="12" t="s">
        <v>293</v>
      </c>
      <c r="T168" s="12" t="s">
        <v>294</v>
      </c>
      <c r="U168" s="95">
        <v>45467</v>
      </c>
      <c r="V168" s="95">
        <v>45497</v>
      </c>
      <c r="W168" s="12">
        <f t="shared" ca="1" si="17"/>
        <v>-588</v>
      </c>
      <c r="X168" s="12" t="str">
        <f t="shared" ca="1" si="18"/>
        <v>Vencido</v>
      </c>
      <c r="Y168" s="12"/>
    </row>
    <row r="169" spans="1:25" ht="65.25" customHeight="1">
      <c r="A169" s="12" t="s">
        <v>189</v>
      </c>
      <c r="B169" s="12" t="s">
        <v>355</v>
      </c>
      <c r="C169" s="80">
        <v>4630307</v>
      </c>
      <c r="D169" s="81">
        <v>5</v>
      </c>
      <c r="E169" s="28">
        <v>85</v>
      </c>
      <c r="F169" s="28" t="s">
        <v>70</v>
      </c>
      <c r="G169" s="12" t="s">
        <v>26</v>
      </c>
      <c r="H169" s="12" t="s">
        <v>340</v>
      </c>
      <c r="I169" s="28">
        <v>2024</v>
      </c>
      <c r="J169" s="93">
        <v>45435</v>
      </c>
      <c r="K169" s="28" t="s">
        <v>68</v>
      </c>
      <c r="L169" s="28" t="s">
        <v>39</v>
      </c>
      <c r="M169" s="93">
        <v>45523</v>
      </c>
      <c r="N169" s="12" t="s">
        <v>356</v>
      </c>
      <c r="O169" s="28" t="s">
        <v>64</v>
      </c>
      <c r="P169" s="12" t="s">
        <v>158</v>
      </c>
      <c r="Q169" s="12" t="s">
        <v>31</v>
      </c>
      <c r="R169" s="101" t="s">
        <v>357</v>
      </c>
      <c r="S169" s="12" t="s">
        <v>281</v>
      </c>
      <c r="T169" s="12" t="s">
        <v>282</v>
      </c>
      <c r="U169" s="95">
        <v>45574</v>
      </c>
      <c r="V169" s="95">
        <v>45635</v>
      </c>
      <c r="W169" s="12">
        <f t="shared" ca="1" si="17"/>
        <v>-450</v>
      </c>
      <c r="X169" s="12" t="str">
        <f t="shared" ca="1" si="18"/>
        <v>Vencido</v>
      </c>
      <c r="Y169" s="12"/>
    </row>
    <row r="170" spans="1:25" customFormat="1" ht="50.1" customHeight="1">
      <c r="A170" s="11" t="s">
        <v>65</v>
      </c>
      <c r="B170" s="12" t="s">
        <v>358</v>
      </c>
      <c r="C170" s="13">
        <v>9310187</v>
      </c>
      <c r="D170" s="14">
        <v>1</v>
      </c>
      <c r="E170" s="15">
        <v>63</v>
      </c>
      <c r="F170" s="16" t="s">
        <v>25</v>
      </c>
      <c r="G170" s="16" t="s">
        <v>359</v>
      </c>
      <c r="H170" s="16" t="s">
        <v>316</v>
      </c>
      <c r="I170" s="16" t="s">
        <v>179</v>
      </c>
      <c r="J170" s="16" t="s">
        <v>183</v>
      </c>
      <c r="K170" s="16" t="s">
        <v>172</v>
      </c>
      <c r="L170" s="16" t="s">
        <v>267</v>
      </c>
      <c r="M170" s="33">
        <v>45623</v>
      </c>
      <c r="N170" s="28" t="s">
        <v>360</v>
      </c>
      <c r="O170" s="143" t="s">
        <v>64</v>
      </c>
      <c r="P170" s="11" t="s">
        <v>158</v>
      </c>
      <c r="Q170" s="12" t="s">
        <v>361</v>
      </c>
      <c r="R170" s="12" t="s">
        <v>362</v>
      </c>
      <c r="S170" s="11" t="s">
        <v>289</v>
      </c>
      <c r="T170" s="11" t="s">
        <v>327</v>
      </c>
      <c r="U170" s="33">
        <v>45623</v>
      </c>
      <c r="V170" s="33">
        <v>45653</v>
      </c>
      <c r="W170" s="11">
        <f t="shared" ca="1" si="17"/>
        <v>-432</v>
      </c>
      <c r="X170" s="11" t="str">
        <f t="shared" ca="1" si="18"/>
        <v>Vencido</v>
      </c>
    </row>
    <row r="171" spans="1:25" ht="65.25" customHeight="1">
      <c r="A171" s="12" t="s">
        <v>189</v>
      </c>
      <c r="B171" s="12" t="s">
        <v>363</v>
      </c>
      <c r="C171" s="80">
        <v>5356337</v>
      </c>
      <c r="D171" s="81">
        <v>6</v>
      </c>
      <c r="E171" s="28" t="e">
        <f ca="1">DATEDIF(#REF!,TODAY(),"Y")</f>
        <v>#REF!</v>
      </c>
      <c r="F171" s="28" t="s">
        <v>33</v>
      </c>
      <c r="G171" s="12" t="s">
        <v>26</v>
      </c>
      <c r="H171" s="28" t="s">
        <v>320</v>
      </c>
      <c r="I171" s="28">
        <v>2023</v>
      </c>
      <c r="J171" s="93">
        <v>45054</v>
      </c>
      <c r="K171" s="28" t="s">
        <v>27</v>
      </c>
      <c r="L171" s="28" t="s">
        <v>39</v>
      </c>
      <c r="M171" s="93">
        <v>45482</v>
      </c>
      <c r="N171" s="12" t="s">
        <v>364</v>
      </c>
      <c r="O171" s="28" t="s">
        <v>30</v>
      </c>
      <c r="P171" s="12" t="s">
        <v>158</v>
      </c>
      <c r="Q171" s="12" t="s">
        <v>31</v>
      </c>
      <c r="R171" s="101" t="s">
        <v>365</v>
      </c>
      <c r="S171" s="12" t="s">
        <v>289</v>
      </c>
      <c r="T171" s="12" t="s">
        <v>282</v>
      </c>
      <c r="U171" s="95">
        <v>45567</v>
      </c>
      <c r="V171" s="95">
        <v>45598</v>
      </c>
      <c r="W171" s="12">
        <f t="shared" ca="1" si="17"/>
        <v>-487</v>
      </c>
      <c r="X171" s="12" t="str">
        <f t="shared" ca="1" si="18"/>
        <v>Vencido</v>
      </c>
      <c r="Y171" s="12"/>
    </row>
    <row r="172" spans="1:25" customFormat="1" ht="50.1" customHeight="1">
      <c r="A172" s="11" t="s">
        <v>189</v>
      </c>
      <c r="B172" s="12" t="s">
        <v>366</v>
      </c>
      <c r="C172" s="13">
        <v>5286814</v>
      </c>
      <c r="D172" s="14">
        <v>9</v>
      </c>
      <c r="E172" s="15">
        <v>87</v>
      </c>
      <c r="F172" s="16" t="s">
        <v>25</v>
      </c>
      <c r="G172" s="16" t="s">
        <v>60</v>
      </c>
      <c r="H172" s="16" t="s">
        <v>316</v>
      </c>
      <c r="I172" s="16">
        <v>2024</v>
      </c>
      <c r="J172" s="32">
        <v>45638</v>
      </c>
      <c r="K172" s="16" t="s">
        <v>68</v>
      </c>
      <c r="L172" s="16" t="s">
        <v>246</v>
      </c>
      <c r="M172" s="33">
        <v>45686</v>
      </c>
      <c r="N172" s="28" t="s">
        <v>367</v>
      </c>
      <c r="O172" s="16" t="s">
        <v>30</v>
      </c>
      <c r="P172" s="11"/>
      <c r="Q172" s="12" t="s">
        <v>31</v>
      </c>
      <c r="R172" s="12" t="s">
        <v>368</v>
      </c>
      <c r="S172" s="11" t="s">
        <v>281</v>
      </c>
      <c r="T172" s="11" t="s">
        <v>282</v>
      </c>
      <c r="U172" s="33">
        <v>45695</v>
      </c>
      <c r="V172" s="33">
        <v>45754</v>
      </c>
      <c r="W172" s="11">
        <f t="shared" ca="1" si="17"/>
        <v>-331</v>
      </c>
      <c r="X172" s="11" t="str">
        <f t="shared" ca="1" si="18"/>
        <v>Vencido</v>
      </c>
    </row>
    <row r="173" spans="1:25" customFormat="1" ht="50.1" customHeight="1">
      <c r="A173" s="11" t="s">
        <v>65</v>
      </c>
      <c r="B173" s="12" t="s">
        <v>369</v>
      </c>
      <c r="C173" s="13">
        <v>8106702</v>
      </c>
      <c r="D173" s="14">
        <v>3</v>
      </c>
      <c r="E173" s="15">
        <v>65</v>
      </c>
      <c r="F173" s="16" t="s">
        <v>370</v>
      </c>
      <c r="G173" s="16" t="s">
        <v>202</v>
      </c>
      <c r="H173" s="16" t="s">
        <v>316</v>
      </c>
      <c r="I173" s="16">
        <v>2024</v>
      </c>
      <c r="J173" s="32">
        <v>45573</v>
      </c>
      <c r="K173" s="16" t="s">
        <v>68</v>
      </c>
      <c r="L173" s="16" t="s">
        <v>246</v>
      </c>
      <c r="M173" s="11" t="s">
        <v>185</v>
      </c>
      <c r="N173" s="28" t="s">
        <v>371</v>
      </c>
      <c r="O173" s="31" t="s">
        <v>372</v>
      </c>
      <c r="P173" s="11"/>
      <c r="Q173" s="12" t="s">
        <v>31</v>
      </c>
      <c r="R173" s="12" t="s">
        <v>373</v>
      </c>
      <c r="S173" s="11" t="s">
        <v>374</v>
      </c>
      <c r="T173" s="11" t="s">
        <v>294</v>
      </c>
      <c r="U173" s="33">
        <v>45644</v>
      </c>
      <c r="V173" s="33">
        <v>45734</v>
      </c>
      <c r="W173" s="11">
        <f t="shared" ca="1" si="17"/>
        <v>-351</v>
      </c>
      <c r="X173" s="11" t="str">
        <f t="shared" ca="1" si="18"/>
        <v>Vencido</v>
      </c>
    </row>
    <row r="174" spans="1:25" customFormat="1" ht="50.1" customHeight="1">
      <c r="A174" s="20" t="s">
        <v>65</v>
      </c>
      <c r="B174" s="21" t="s">
        <v>375</v>
      </c>
      <c r="C174" s="22">
        <v>12141042</v>
      </c>
      <c r="D174" s="23">
        <v>7</v>
      </c>
      <c r="E174" s="24"/>
      <c r="F174" s="17" t="s">
        <v>25</v>
      </c>
      <c r="G174" s="20" t="s">
        <v>86</v>
      </c>
      <c r="H174" s="17" t="s">
        <v>316</v>
      </c>
      <c r="I174" s="17">
        <v>2023</v>
      </c>
      <c r="J174" s="34">
        <v>45203</v>
      </c>
      <c r="K174" s="144" t="s">
        <v>27</v>
      </c>
      <c r="L174" s="17" t="s">
        <v>39</v>
      </c>
      <c r="M174" s="34">
        <v>45437</v>
      </c>
      <c r="N174" s="21" t="s">
        <v>376</v>
      </c>
      <c r="O174" s="144" t="s">
        <v>46</v>
      </c>
      <c r="P174" s="20" t="s">
        <v>155</v>
      </c>
      <c r="Q174" s="21" t="s">
        <v>31</v>
      </c>
      <c r="R174" s="21" t="s">
        <v>377</v>
      </c>
      <c r="S174" s="20" t="s">
        <v>289</v>
      </c>
      <c r="T174" s="20" t="s">
        <v>294</v>
      </c>
      <c r="U174" s="41">
        <v>45692</v>
      </c>
      <c r="V174" s="41">
        <v>45720</v>
      </c>
      <c r="W174" s="11">
        <f t="shared" ref="W174:W180" ca="1" si="19">V174-TODAY()</f>
        <v>-365</v>
      </c>
      <c r="X174" s="11" t="str">
        <f t="shared" ref="X174:X180" ca="1" si="20">IF(W174&gt;=20,"Vigente",IF(AND(W174&gt;=1,W174&lt;=20),"Por Vencer","Vencido"))</f>
        <v>Vencido</v>
      </c>
    </row>
    <row r="175" spans="1:25" customFormat="1" ht="50.1" customHeight="1">
      <c r="A175" s="11" t="s">
        <v>65</v>
      </c>
      <c r="B175" s="12" t="s">
        <v>378</v>
      </c>
      <c r="C175" s="13">
        <v>5437784</v>
      </c>
      <c r="D175" s="14">
        <v>3</v>
      </c>
      <c r="E175" s="15">
        <v>77</v>
      </c>
      <c r="F175" s="16" t="s">
        <v>25</v>
      </c>
      <c r="G175" s="16" t="s">
        <v>88</v>
      </c>
      <c r="H175" s="17" t="s">
        <v>316</v>
      </c>
      <c r="I175" s="16" t="s">
        <v>179</v>
      </c>
      <c r="J175" s="16" t="s">
        <v>183</v>
      </c>
      <c r="K175" s="16" t="s">
        <v>68</v>
      </c>
      <c r="L175" s="16" t="s">
        <v>246</v>
      </c>
      <c r="M175" s="33">
        <v>45623</v>
      </c>
      <c r="N175" s="28" t="s">
        <v>379</v>
      </c>
      <c r="O175" s="16" t="s">
        <v>64</v>
      </c>
      <c r="P175" s="11" t="s">
        <v>158</v>
      </c>
      <c r="Q175" s="12" t="s">
        <v>31</v>
      </c>
      <c r="R175" s="21" t="s">
        <v>380</v>
      </c>
      <c r="S175" s="11" t="s">
        <v>281</v>
      </c>
      <c r="T175" s="11" t="s">
        <v>282</v>
      </c>
      <c r="U175" s="33">
        <v>45628</v>
      </c>
      <c r="V175" s="33">
        <v>45690</v>
      </c>
      <c r="W175" s="11">
        <f t="shared" ca="1" si="19"/>
        <v>-395</v>
      </c>
      <c r="X175" s="11" t="str">
        <f t="shared" ca="1" si="20"/>
        <v>Vencido</v>
      </c>
    </row>
    <row r="176" spans="1:25" customFormat="1" ht="50.1" customHeight="1">
      <c r="A176" s="11" t="s">
        <v>65</v>
      </c>
      <c r="B176" s="12" t="s">
        <v>381</v>
      </c>
      <c r="C176" s="13">
        <v>10240811</v>
      </c>
      <c r="D176" s="14" t="s">
        <v>93</v>
      </c>
      <c r="E176" s="15">
        <v>60</v>
      </c>
      <c r="F176" s="16" t="s">
        <v>25</v>
      </c>
      <c r="G176" s="16" t="s">
        <v>67</v>
      </c>
      <c r="H176" s="17" t="s">
        <v>316</v>
      </c>
      <c r="I176" s="16">
        <v>2024</v>
      </c>
      <c r="J176" s="32">
        <v>45642</v>
      </c>
      <c r="K176" s="16" t="s">
        <v>68</v>
      </c>
      <c r="L176" s="16" t="s">
        <v>331</v>
      </c>
      <c r="M176" s="11"/>
      <c r="N176" s="28"/>
      <c r="O176" s="16" t="s">
        <v>30</v>
      </c>
      <c r="P176" s="11"/>
      <c r="Q176" s="12" t="s">
        <v>31</v>
      </c>
      <c r="R176" s="12" t="s">
        <v>382</v>
      </c>
      <c r="S176" s="11" t="s">
        <v>289</v>
      </c>
      <c r="T176" s="11" t="s">
        <v>327</v>
      </c>
      <c r="U176" s="33">
        <v>45659</v>
      </c>
      <c r="V176" s="33">
        <v>45690</v>
      </c>
      <c r="W176" s="11">
        <f t="shared" ca="1" si="19"/>
        <v>-395</v>
      </c>
      <c r="X176" s="11" t="str">
        <f t="shared" ca="1" si="20"/>
        <v>Vencido</v>
      </c>
    </row>
    <row r="177" spans="1:25" customFormat="1" ht="50.1" customHeight="1">
      <c r="A177" s="11" t="s">
        <v>65</v>
      </c>
      <c r="B177" s="12" t="s">
        <v>383</v>
      </c>
      <c r="C177" s="13">
        <v>11726817</v>
      </c>
      <c r="D177" s="14">
        <v>9</v>
      </c>
      <c r="E177" s="15">
        <v>54</v>
      </c>
      <c r="F177" s="16" t="s">
        <v>70</v>
      </c>
      <c r="G177" s="16" t="s">
        <v>384</v>
      </c>
      <c r="H177" s="17" t="s">
        <v>316</v>
      </c>
      <c r="I177" s="16" t="s">
        <v>179</v>
      </c>
      <c r="J177" s="16" t="s">
        <v>183</v>
      </c>
      <c r="K177" s="16" t="s">
        <v>172</v>
      </c>
      <c r="L177" s="16" t="s">
        <v>267</v>
      </c>
      <c r="M177" s="11"/>
      <c r="N177" s="28"/>
      <c r="O177" s="16" t="s">
        <v>30</v>
      </c>
      <c r="P177" s="11"/>
      <c r="Q177" s="12" t="s">
        <v>361</v>
      </c>
      <c r="R177" s="12" t="s">
        <v>385</v>
      </c>
      <c r="S177" s="11" t="s">
        <v>289</v>
      </c>
      <c r="T177" s="11" t="s">
        <v>327</v>
      </c>
      <c r="U177" s="33">
        <v>45644</v>
      </c>
      <c r="V177" s="33">
        <v>45675</v>
      </c>
      <c r="W177" s="11">
        <f t="shared" ca="1" si="19"/>
        <v>-410</v>
      </c>
      <c r="X177" s="11" t="str">
        <f t="shared" ca="1" si="20"/>
        <v>Vencido</v>
      </c>
    </row>
    <row r="178" spans="1:25" customFormat="1" ht="50.1" customHeight="1">
      <c r="A178" s="11" t="s">
        <v>189</v>
      </c>
      <c r="B178" s="12" t="s">
        <v>386</v>
      </c>
      <c r="C178" s="13">
        <v>10102856</v>
      </c>
      <c r="D178" s="14">
        <v>9</v>
      </c>
      <c r="E178" s="15"/>
      <c r="F178" s="16" t="s">
        <v>25</v>
      </c>
      <c r="G178" s="16" t="s">
        <v>60</v>
      </c>
      <c r="H178" s="17" t="s">
        <v>316</v>
      </c>
      <c r="I178" s="16">
        <v>2023</v>
      </c>
      <c r="J178" s="32">
        <v>45001</v>
      </c>
      <c r="K178" s="16" t="s">
        <v>27</v>
      </c>
      <c r="L178" s="16" t="s">
        <v>28</v>
      </c>
      <c r="M178" s="32">
        <v>45609</v>
      </c>
      <c r="N178" s="12" t="s">
        <v>387</v>
      </c>
      <c r="O178" s="16" t="s">
        <v>64</v>
      </c>
      <c r="P178" s="11" t="s">
        <v>158</v>
      </c>
      <c r="Q178" s="12" t="s">
        <v>31</v>
      </c>
      <c r="R178" s="147" t="s">
        <v>388</v>
      </c>
      <c r="S178" s="11" t="s">
        <v>281</v>
      </c>
      <c r="T178" s="11" t="s">
        <v>282</v>
      </c>
      <c r="U178" s="33">
        <v>45609</v>
      </c>
      <c r="V178" s="33">
        <v>45670</v>
      </c>
      <c r="W178" s="11">
        <f t="shared" ca="1" si="19"/>
        <v>-415</v>
      </c>
      <c r="X178" s="11" t="str">
        <f t="shared" ca="1" si="20"/>
        <v>Vencido</v>
      </c>
    </row>
    <row r="179" spans="1:25" s="2" customFormat="1" ht="50.1" customHeight="1">
      <c r="A179" s="20" t="s">
        <v>189</v>
      </c>
      <c r="B179" s="21" t="s">
        <v>389</v>
      </c>
      <c r="C179" s="22">
        <v>6150824</v>
      </c>
      <c r="D179" s="23">
        <v>4</v>
      </c>
      <c r="E179" s="24">
        <v>76</v>
      </c>
      <c r="F179" s="17" t="s">
        <v>25</v>
      </c>
      <c r="G179" s="17" t="s">
        <v>60</v>
      </c>
      <c r="H179" s="17" t="s">
        <v>316</v>
      </c>
      <c r="I179" s="17">
        <v>2023</v>
      </c>
      <c r="J179" s="34">
        <v>44959</v>
      </c>
      <c r="K179" s="17" t="s">
        <v>27</v>
      </c>
      <c r="L179" s="17" t="s">
        <v>28</v>
      </c>
      <c r="M179" s="34">
        <v>45406</v>
      </c>
      <c r="N179" s="40" t="s">
        <v>390</v>
      </c>
      <c r="O179" s="17" t="s">
        <v>6</v>
      </c>
      <c r="P179" s="20"/>
      <c r="Q179" s="21" t="s">
        <v>391</v>
      </c>
      <c r="R179" s="21" t="s">
        <v>392</v>
      </c>
      <c r="S179" s="20" t="s">
        <v>393</v>
      </c>
      <c r="T179" s="20" t="s">
        <v>294</v>
      </c>
      <c r="U179" s="41">
        <v>45541</v>
      </c>
      <c r="V179" s="41">
        <v>45663</v>
      </c>
      <c r="W179" s="20">
        <f t="shared" ca="1" si="19"/>
        <v>-422</v>
      </c>
      <c r="X179" s="20" t="str">
        <f t="shared" ca="1" si="20"/>
        <v>Vencido</v>
      </c>
    </row>
    <row r="180" spans="1:25" customFormat="1" ht="50.1" customHeight="1">
      <c r="A180" s="11" t="s">
        <v>189</v>
      </c>
      <c r="B180" s="12" t="s">
        <v>394</v>
      </c>
      <c r="C180" s="13">
        <v>5750227</v>
      </c>
      <c r="D180" s="15">
        <v>4</v>
      </c>
      <c r="E180" s="15">
        <v>76</v>
      </c>
      <c r="F180" s="16" t="s">
        <v>25</v>
      </c>
      <c r="G180" s="16" t="s">
        <v>60</v>
      </c>
      <c r="H180" s="17" t="s">
        <v>316</v>
      </c>
      <c r="I180" s="16">
        <v>2024</v>
      </c>
      <c r="J180" s="32">
        <v>45574</v>
      </c>
      <c r="K180" s="16" t="s">
        <v>68</v>
      </c>
      <c r="L180" s="16" t="s">
        <v>246</v>
      </c>
      <c r="M180" s="33">
        <v>45602</v>
      </c>
      <c r="N180" s="28" t="s">
        <v>395</v>
      </c>
      <c r="O180" s="143" t="s">
        <v>64</v>
      </c>
      <c r="P180" s="11" t="s">
        <v>158</v>
      </c>
      <c r="Q180" s="12" t="s">
        <v>31</v>
      </c>
      <c r="R180" s="12" t="s">
        <v>396</v>
      </c>
      <c r="S180" s="11" t="s">
        <v>289</v>
      </c>
      <c r="T180" s="11" t="s">
        <v>282</v>
      </c>
      <c r="U180" s="33">
        <v>45621</v>
      </c>
      <c r="V180" s="33">
        <v>45646</v>
      </c>
      <c r="W180" s="11">
        <f t="shared" ca="1" si="19"/>
        <v>-439</v>
      </c>
      <c r="X180" s="11" t="str">
        <f t="shared" ca="1" si="20"/>
        <v>Vencido</v>
      </c>
    </row>
    <row r="181" spans="1:25" customFormat="1" ht="50.1" customHeight="1">
      <c r="A181" s="11" t="s">
        <v>189</v>
      </c>
      <c r="B181" s="12" t="s">
        <v>397</v>
      </c>
      <c r="C181" s="13">
        <v>9073677</v>
      </c>
      <c r="D181" s="15">
        <v>9</v>
      </c>
      <c r="E181" s="15">
        <v>64</v>
      </c>
      <c r="F181" s="16" t="s">
        <v>25</v>
      </c>
      <c r="G181" s="16" t="s">
        <v>60</v>
      </c>
      <c r="H181" s="17" t="s">
        <v>316</v>
      </c>
      <c r="I181" s="16">
        <v>2024</v>
      </c>
      <c r="J181" s="32">
        <v>45603</v>
      </c>
      <c r="K181" s="16" t="s">
        <v>172</v>
      </c>
      <c r="L181" s="16" t="s">
        <v>331</v>
      </c>
      <c r="M181" s="11" t="s">
        <v>185</v>
      </c>
      <c r="N181" s="28" t="s">
        <v>185</v>
      </c>
      <c r="O181" s="16" t="s">
        <v>64</v>
      </c>
      <c r="P181" s="11" t="s">
        <v>158</v>
      </c>
      <c r="Q181" s="12" t="s">
        <v>31</v>
      </c>
      <c r="R181" s="12" t="s">
        <v>398</v>
      </c>
      <c r="S181" s="11" t="s">
        <v>289</v>
      </c>
      <c r="T181" s="11" t="s">
        <v>327</v>
      </c>
      <c r="U181" s="33">
        <v>45607</v>
      </c>
      <c r="V181" s="33">
        <v>45637</v>
      </c>
      <c r="W181" s="11">
        <f t="shared" ref="W181:W193" ca="1" si="21">V181-TODAY()</f>
        <v>-448</v>
      </c>
      <c r="X181" s="11" t="str">
        <f t="shared" ref="X181:X193" ca="1" si="22">IF(W181&gt;=20,"Vigente",IF(AND(W181&gt;=1,W181&lt;=20),"Por Vencer","Vencido"))</f>
        <v>Vencido</v>
      </c>
    </row>
    <row r="182" spans="1:25" customFormat="1" ht="50.1" customHeight="1">
      <c r="A182" s="11" t="s">
        <v>65</v>
      </c>
      <c r="B182" s="12" t="s">
        <v>399</v>
      </c>
      <c r="C182" s="13">
        <v>6706033</v>
      </c>
      <c r="D182" s="15">
        <v>4</v>
      </c>
      <c r="E182" s="15">
        <v>73</v>
      </c>
      <c r="F182" s="16" t="s">
        <v>25</v>
      </c>
      <c r="G182" s="16" t="s">
        <v>330</v>
      </c>
      <c r="H182" s="17" t="s">
        <v>316</v>
      </c>
      <c r="I182" s="16"/>
      <c r="J182" s="16"/>
      <c r="K182" s="16" t="s">
        <v>68</v>
      </c>
      <c r="L182" s="16" t="s">
        <v>400</v>
      </c>
      <c r="M182" s="33">
        <v>45517</v>
      </c>
      <c r="N182" s="28" t="s">
        <v>401</v>
      </c>
      <c r="O182" s="16" t="s">
        <v>64</v>
      </c>
      <c r="P182" s="11" t="s">
        <v>158</v>
      </c>
      <c r="Q182" s="12" t="s">
        <v>31</v>
      </c>
      <c r="R182" s="12" t="s">
        <v>388</v>
      </c>
      <c r="S182" s="11" t="s">
        <v>281</v>
      </c>
      <c r="T182" s="11" t="s">
        <v>282</v>
      </c>
      <c r="U182" s="33">
        <v>45607</v>
      </c>
      <c r="V182" s="33">
        <v>45637</v>
      </c>
      <c r="W182" s="11">
        <f t="shared" ca="1" si="21"/>
        <v>-448</v>
      </c>
      <c r="X182" s="11" t="str">
        <f t="shared" ca="1" si="22"/>
        <v>Vencido</v>
      </c>
    </row>
    <row r="183" spans="1:25" customFormat="1" ht="50.1" customHeight="1">
      <c r="A183" s="11" t="s">
        <v>65</v>
      </c>
      <c r="B183" s="12" t="s">
        <v>402</v>
      </c>
      <c r="C183" s="13">
        <v>5013188</v>
      </c>
      <c r="D183" s="15">
        <v>2</v>
      </c>
      <c r="E183" s="15"/>
      <c r="F183" s="16" t="s">
        <v>25</v>
      </c>
      <c r="G183" s="16" t="s">
        <v>330</v>
      </c>
      <c r="H183" s="17" t="s">
        <v>316</v>
      </c>
      <c r="I183" s="16" t="s">
        <v>179</v>
      </c>
      <c r="J183" s="16" t="s">
        <v>183</v>
      </c>
      <c r="K183" s="16" t="s">
        <v>38</v>
      </c>
      <c r="L183" s="16" t="s">
        <v>28</v>
      </c>
      <c r="M183" s="16" t="s">
        <v>185</v>
      </c>
      <c r="N183" s="12" t="s">
        <v>181</v>
      </c>
      <c r="O183" s="16" t="s">
        <v>64</v>
      </c>
      <c r="P183" s="11" t="s">
        <v>34</v>
      </c>
      <c r="Q183" s="12" t="s">
        <v>31</v>
      </c>
      <c r="R183" s="148" t="s">
        <v>403</v>
      </c>
      <c r="S183" s="11" t="s">
        <v>281</v>
      </c>
      <c r="T183" s="11" t="s">
        <v>294</v>
      </c>
      <c r="U183" s="33">
        <v>45567</v>
      </c>
      <c r="V183" s="33">
        <v>45628</v>
      </c>
      <c r="W183" s="11">
        <f t="shared" ca="1" si="21"/>
        <v>-457</v>
      </c>
      <c r="X183" s="11" t="str">
        <f t="shared" ca="1" si="22"/>
        <v>Vencido</v>
      </c>
    </row>
    <row r="184" spans="1:25" customFormat="1" ht="50.1" customHeight="1">
      <c r="A184" s="11" t="s">
        <v>189</v>
      </c>
      <c r="B184" s="12" t="s">
        <v>404</v>
      </c>
      <c r="C184" s="13">
        <v>4141351</v>
      </c>
      <c r="D184" s="15">
        <v>4</v>
      </c>
      <c r="E184" s="15"/>
      <c r="F184" s="16" t="s">
        <v>25</v>
      </c>
      <c r="G184" s="16" t="s">
        <v>60</v>
      </c>
      <c r="H184" s="17" t="s">
        <v>316</v>
      </c>
      <c r="I184" s="16">
        <v>2024</v>
      </c>
      <c r="J184" s="32">
        <v>45278</v>
      </c>
      <c r="K184" s="16" t="s">
        <v>68</v>
      </c>
      <c r="L184" s="16" t="s">
        <v>28</v>
      </c>
      <c r="M184" s="32">
        <v>45434</v>
      </c>
      <c r="N184" s="12" t="s">
        <v>405</v>
      </c>
      <c r="O184" s="16" t="s">
        <v>30</v>
      </c>
      <c r="P184" s="11" t="s">
        <v>158</v>
      </c>
      <c r="Q184" s="12" t="s">
        <v>31</v>
      </c>
      <c r="R184" s="101" t="s">
        <v>388</v>
      </c>
      <c r="S184" s="11" t="s">
        <v>281</v>
      </c>
      <c r="T184" s="11" t="s">
        <v>294</v>
      </c>
      <c r="U184" s="33">
        <v>45567</v>
      </c>
      <c r="V184" s="33">
        <v>45628</v>
      </c>
      <c r="W184" s="11">
        <f t="shared" ca="1" si="21"/>
        <v>-457</v>
      </c>
      <c r="X184" s="11" t="str">
        <f t="shared" ca="1" si="22"/>
        <v>Vencido</v>
      </c>
    </row>
    <row r="185" spans="1:25" customFormat="1" ht="50.1" customHeight="1">
      <c r="A185" s="11" t="s">
        <v>189</v>
      </c>
      <c r="B185" s="12" t="s">
        <v>406</v>
      </c>
      <c r="C185" s="13">
        <v>4321138</v>
      </c>
      <c r="D185" s="15">
        <v>2</v>
      </c>
      <c r="E185" s="15">
        <v>81</v>
      </c>
      <c r="F185" s="16" t="s">
        <v>43</v>
      </c>
      <c r="G185" s="16" t="s">
        <v>60</v>
      </c>
      <c r="H185" s="17" t="s">
        <v>316</v>
      </c>
      <c r="I185" s="16">
        <v>2024</v>
      </c>
      <c r="J185" s="32">
        <v>45337</v>
      </c>
      <c r="K185" s="16" t="s">
        <v>68</v>
      </c>
      <c r="L185" s="16" t="s">
        <v>28</v>
      </c>
      <c r="M185" s="32">
        <v>45574</v>
      </c>
      <c r="N185" s="12" t="s">
        <v>407</v>
      </c>
      <c r="O185" s="16" t="s">
        <v>64</v>
      </c>
      <c r="P185" s="11" t="s">
        <v>158</v>
      </c>
      <c r="Q185" s="12" t="s">
        <v>31</v>
      </c>
      <c r="R185" s="12" t="s">
        <v>408</v>
      </c>
      <c r="S185" s="11" t="s">
        <v>281</v>
      </c>
      <c r="T185" s="11" t="s">
        <v>294</v>
      </c>
      <c r="U185" s="33">
        <v>45594</v>
      </c>
      <c r="V185" s="33">
        <v>45625</v>
      </c>
      <c r="W185" s="11">
        <f t="shared" ca="1" si="21"/>
        <v>-460</v>
      </c>
      <c r="X185" s="11" t="str">
        <f t="shared" ca="1" si="22"/>
        <v>Vencido</v>
      </c>
    </row>
    <row r="186" spans="1:25" customFormat="1" ht="50.1" customHeight="1">
      <c r="A186" s="11" t="s">
        <v>65</v>
      </c>
      <c r="B186" s="12" t="s">
        <v>409</v>
      </c>
      <c r="C186" s="13">
        <v>21543384</v>
      </c>
      <c r="D186" s="15">
        <v>6</v>
      </c>
      <c r="E186" s="15"/>
      <c r="F186" s="16" t="s">
        <v>25</v>
      </c>
      <c r="G186" s="16" t="s">
        <v>202</v>
      </c>
      <c r="H186" s="17" t="s">
        <v>316</v>
      </c>
      <c r="I186" s="16">
        <v>2024</v>
      </c>
      <c r="J186" s="32">
        <v>45461</v>
      </c>
      <c r="K186" s="16" t="s">
        <v>68</v>
      </c>
      <c r="L186" s="16" t="s">
        <v>58</v>
      </c>
      <c r="M186" s="16" t="s">
        <v>185</v>
      </c>
      <c r="N186" s="12" t="s">
        <v>181</v>
      </c>
      <c r="O186" s="16" t="s">
        <v>64</v>
      </c>
      <c r="P186" s="11" t="s">
        <v>158</v>
      </c>
      <c r="Q186" s="12" t="s">
        <v>31</v>
      </c>
      <c r="R186" s="113" t="s">
        <v>410</v>
      </c>
      <c r="S186" s="11" t="s">
        <v>281</v>
      </c>
      <c r="T186" s="11" t="s">
        <v>411</v>
      </c>
      <c r="U186" s="33">
        <v>45560</v>
      </c>
      <c r="V186" s="33">
        <v>45621</v>
      </c>
      <c r="W186" s="11">
        <f t="shared" ca="1" si="21"/>
        <v>-464</v>
      </c>
      <c r="X186" s="11" t="str">
        <f t="shared" ca="1" si="22"/>
        <v>Vencido</v>
      </c>
    </row>
    <row r="187" spans="1:25" customFormat="1" ht="50.1" customHeight="1">
      <c r="A187" s="11" t="s">
        <v>65</v>
      </c>
      <c r="B187" s="12" t="s">
        <v>412</v>
      </c>
      <c r="C187" s="13">
        <v>11379381</v>
      </c>
      <c r="D187" s="15">
        <v>3</v>
      </c>
      <c r="E187" s="15">
        <v>55</v>
      </c>
      <c r="F187" s="16" t="s">
        <v>25</v>
      </c>
      <c r="G187" s="16" t="s">
        <v>67</v>
      </c>
      <c r="H187" s="17" t="s">
        <v>316</v>
      </c>
      <c r="I187" s="16">
        <v>2024</v>
      </c>
      <c r="J187" s="32">
        <v>45476</v>
      </c>
      <c r="K187" s="16" t="s">
        <v>68</v>
      </c>
      <c r="L187" s="16" t="s">
        <v>246</v>
      </c>
      <c r="M187" s="33">
        <v>45491</v>
      </c>
      <c r="N187" s="28" t="s">
        <v>413</v>
      </c>
      <c r="O187" s="16" t="s">
        <v>64</v>
      </c>
      <c r="P187" s="11" t="s">
        <v>158</v>
      </c>
      <c r="Q187" s="12" t="s">
        <v>31</v>
      </c>
      <c r="R187" s="12" t="s">
        <v>414</v>
      </c>
      <c r="S187" s="11" t="s">
        <v>281</v>
      </c>
      <c r="T187" s="11" t="s">
        <v>294</v>
      </c>
      <c r="U187" s="33">
        <v>45525</v>
      </c>
      <c r="V187" s="33">
        <v>45586</v>
      </c>
      <c r="W187" s="11">
        <f t="shared" ca="1" si="21"/>
        <v>-499</v>
      </c>
      <c r="X187" s="11" t="str">
        <f t="shared" ca="1" si="22"/>
        <v>Vencido</v>
      </c>
    </row>
    <row r="188" spans="1:25" customFormat="1" ht="50.1" customHeight="1">
      <c r="A188" s="11" t="s">
        <v>65</v>
      </c>
      <c r="B188" s="12" t="s">
        <v>415</v>
      </c>
      <c r="C188" s="13">
        <v>4504451</v>
      </c>
      <c r="D188" s="15">
        <v>3</v>
      </c>
      <c r="E188" s="15">
        <v>76</v>
      </c>
      <c r="F188" s="16" t="s">
        <v>25</v>
      </c>
      <c r="G188" s="11" t="s">
        <v>88</v>
      </c>
      <c r="H188" s="17" t="s">
        <v>316</v>
      </c>
      <c r="I188" s="16" t="s">
        <v>179</v>
      </c>
      <c r="J188" s="16" t="s">
        <v>183</v>
      </c>
      <c r="K188" s="16" t="s">
        <v>68</v>
      </c>
      <c r="L188" s="16" t="s">
        <v>196</v>
      </c>
      <c r="M188" s="32">
        <v>45503</v>
      </c>
      <c r="N188" s="12" t="s">
        <v>416</v>
      </c>
      <c r="O188" s="16" t="s">
        <v>64</v>
      </c>
      <c r="P188" s="11" t="s">
        <v>34</v>
      </c>
      <c r="Q188" s="12" t="s">
        <v>31</v>
      </c>
      <c r="R188" s="12" t="s">
        <v>417</v>
      </c>
      <c r="S188" s="11" t="s">
        <v>289</v>
      </c>
      <c r="T188" s="11" t="s">
        <v>411</v>
      </c>
      <c r="U188" s="33">
        <v>45552</v>
      </c>
      <c r="V188" s="33">
        <v>45582</v>
      </c>
      <c r="W188" s="11">
        <f t="shared" ca="1" si="21"/>
        <v>-503</v>
      </c>
      <c r="X188" s="11" t="str">
        <f t="shared" ca="1" si="22"/>
        <v>Vencido</v>
      </c>
    </row>
    <row r="189" spans="1:25" customFormat="1" ht="50.1" customHeight="1">
      <c r="A189" s="11" t="s">
        <v>65</v>
      </c>
      <c r="B189" s="12" t="s">
        <v>418</v>
      </c>
      <c r="C189" s="13">
        <v>7717728</v>
      </c>
      <c r="D189" s="15">
        <v>0</v>
      </c>
      <c r="E189" s="15">
        <v>68</v>
      </c>
      <c r="F189" s="16" t="s">
        <v>25</v>
      </c>
      <c r="G189" s="16" t="s">
        <v>419</v>
      </c>
      <c r="H189" s="17" t="s">
        <v>316</v>
      </c>
      <c r="I189" s="16" t="s">
        <v>179</v>
      </c>
      <c r="J189" s="16" t="s">
        <v>183</v>
      </c>
      <c r="K189" s="16" t="s">
        <v>172</v>
      </c>
      <c r="L189" s="16" t="s">
        <v>246</v>
      </c>
      <c r="M189" s="33">
        <v>45504</v>
      </c>
      <c r="N189" s="28" t="s">
        <v>420</v>
      </c>
      <c r="O189" s="16" t="s">
        <v>2</v>
      </c>
      <c r="P189" s="11" t="s">
        <v>158</v>
      </c>
      <c r="Q189" s="12"/>
      <c r="R189" s="12" t="s">
        <v>421</v>
      </c>
      <c r="S189" s="11" t="s">
        <v>281</v>
      </c>
      <c r="T189" s="11" t="s">
        <v>282</v>
      </c>
      <c r="U189" s="33">
        <v>45513</v>
      </c>
      <c r="V189" s="33">
        <v>45574</v>
      </c>
      <c r="W189" s="11">
        <f t="shared" ca="1" si="21"/>
        <v>-511</v>
      </c>
      <c r="X189" s="11" t="str">
        <f t="shared" ca="1" si="22"/>
        <v>Vencido</v>
      </c>
    </row>
    <row r="190" spans="1:25" s="69" customFormat="1" ht="65.25" customHeight="1">
      <c r="A190" s="12" t="s">
        <v>189</v>
      </c>
      <c r="B190" s="12" t="s">
        <v>422</v>
      </c>
      <c r="C190" s="80">
        <v>14486813</v>
      </c>
      <c r="D190" s="81">
        <v>7</v>
      </c>
      <c r="E190" s="28" t="e">
        <f ca="1">DATEDIF(#REF!,TODAY(),"Y")</f>
        <v>#REF!</v>
      </c>
      <c r="F190" s="28" t="s">
        <v>25</v>
      </c>
      <c r="G190" s="12" t="s">
        <v>147</v>
      </c>
      <c r="H190" s="12" t="s">
        <v>320</v>
      </c>
      <c r="I190" s="28">
        <v>2024</v>
      </c>
      <c r="J190" s="93">
        <v>45474</v>
      </c>
      <c r="K190" s="28" t="s">
        <v>68</v>
      </c>
      <c r="L190" s="28" t="s">
        <v>246</v>
      </c>
      <c r="M190" s="93">
        <v>45481</v>
      </c>
      <c r="N190" s="12" t="s">
        <v>423</v>
      </c>
      <c r="O190" s="28" t="s">
        <v>2</v>
      </c>
      <c r="P190" s="12" t="s">
        <v>158</v>
      </c>
      <c r="Q190" s="12" t="s">
        <v>31</v>
      </c>
      <c r="R190" s="12" t="s">
        <v>424</v>
      </c>
      <c r="S190" s="12" t="s">
        <v>281</v>
      </c>
      <c r="T190" s="12" t="s">
        <v>282</v>
      </c>
      <c r="U190" s="95">
        <v>45498</v>
      </c>
      <c r="V190" s="95">
        <v>45560</v>
      </c>
      <c r="W190" s="21">
        <f t="shared" ca="1" si="21"/>
        <v>-525</v>
      </c>
      <c r="X190" s="12" t="str">
        <f t="shared" ca="1" si="22"/>
        <v>Vencido</v>
      </c>
      <c r="Y190" s="12"/>
    </row>
    <row r="191" spans="1:25" ht="65.25" customHeight="1">
      <c r="A191" s="12" t="s">
        <v>189</v>
      </c>
      <c r="B191" s="12" t="s">
        <v>425</v>
      </c>
      <c r="C191" s="80">
        <v>4063212</v>
      </c>
      <c r="D191" s="81">
        <v>3</v>
      </c>
      <c r="E191" s="28">
        <v>88</v>
      </c>
      <c r="F191" s="28" t="s">
        <v>33</v>
      </c>
      <c r="G191" s="12" t="s">
        <v>74</v>
      </c>
      <c r="H191" s="12" t="s">
        <v>320</v>
      </c>
      <c r="I191" s="28">
        <v>2024</v>
      </c>
      <c r="J191" s="93">
        <v>45477</v>
      </c>
      <c r="K191" s="28" t="s">
        <v>68</v>
      </c>
      <c r="L191" s="28" t="s">
        <v>274</v>
      </c>
      <c r="M191" s="93">
        <v>45621</v>
      </c>
      <c r="N191" s="12" t="s">
        <v>426</v>
      </c>
      <c r="O191" s="28" t="s">
        <v>64</v>
      </c>
      <c r="P191" s="12" t="s">
        <v>158</v>
      </c>
      <c r="Q191" s="12" t="s">
        <v>31</v>
      </c>
      <c r="R191" s="12" t="s">
        <v>427</v>
      </c>
      <c r="S191" s="12" t="s">
        <v>293</v>
      </c>
      <c r="T191" s="12" t="s">
        <v>282</v>
      </c>
      <c r="U191" s="95">
        <v>45624</v>
      </c>
      <c r="V191" s="95">
        <v>45716</v>
      </c>
      <c r="W191" s="21">
        <f t="shared" ca="1" si="21"/>
        <v>-369</v>
      </c>
      <c r="X191" s="12" t="str">
        <f t="shared" ca="1" si="22"/>
        <v>Vencido</v>
      </c>
      <c r="Y191" s="12"/>
    </row>
    <row r="192" spans="1:25" customFormat="1" ht="50.1" customHeight="1">
      <c r="A192" s="11" t="s">
        <v>65</v>
      </c>
      <c r="B192" s="12" t="s">
        <v>428</v>
      </c>
      <c r="C192" s="13">
        <v>7532882</v>
      </c>
      <c r="D192" s="14">
        <v>6</v>
      </c>
      <c r="E192" s="15">
        <v>77</v>
      </c>
      <c r="F192" s="16" t="s">
        <v>70</v>
      </c>
      <c r="G192" s="16" t="s">
        <v>258</v>
      </c>
      <c r="H192" s="17" t="s">
        <v>316</v>
      </c>
      <c r="I192" s="16" t="s">
        <v>179</v>
      </c>
      <c r="J192" s="16" t="s">
        <v>183</v>
      </c>
      <c r="K192" s="16" t="s">
        <v>68</v>
      </c>
      <c r="L192" s="16" t="s">
        <v>246</v>
      </c>
      <c r="M192" s="33">
        <v>45672</v>
      </c>
      <c r="N192" s="28" t="s">
        <v>429</v>
      </c>
      <c r="O192" s="16" t="s">
        <v>2</v>
      </c>
      <c r="P192" s="11" t="s">
        <v>158</v>
      </c>
      <c r="Q192" s="12" t="s">
        <v>31</v>
      </c>
      <c r="R192" s="12" t="s">
        <v>430</v>
      </c>
      <c r="S192" s="11" t="s">
        <v>289</v>
      </c>
      <c r="T192" s="11" t="s">
        <v>282</v>
      </c>
      <c r="U192" s="33">
        <v>45750</v>
      </c>
      <c r="V192" s="33">
        <v>45780</v>
      </c>
      <c r="W192" s="11">
        <f t="shared" ca="1" si="21"/>
        <v>-305</v>
      </c>
      <c r="X192" s="11" t="str">
        <f t="shared" ca="1" si="22"/>
        <v>Vencido</v>
      </c>
    </row>
    <row r="193" spans="1:25" ht="65.25" customHeight="1">
      <c r="A193" s="12" t="s">
        <v>189</v>
      </c>
      <c r="B193" s="12" t="s">
        <v>431</v>
      </c>
      <c r="C193" s="80">
        <v>4152295</v>
      </c>
      <c r="D193" s="26" t="s">
        <v>93</v>
      </c>
      <c r="E193" s="12">
        <v>84</v>
      </c>
      <c r="F193" s="28" t="s">
        <v>25</v>
      </c>
      <c r="G193" s="28" t="s">
        <v>147</v>
      </c>
      <c r="H193" s="28" t="s">
        <v>340</v>
      </c>
      <c r="I193" s="28">
        <v>2025</v>
      </c>
      <c r="J193" s="93">
        <v>45685</v>
      </c>
      <c r="K193" s="28" t="s">
        <v>68</v>
      </c>
      <c r="L193" s="28" t="s">
        <v>174</v>
      </c>
      <c r="M193" s="12" t="s">
        <v>185</v>
      </c>
      <c r="N193" s="28" t="s">
        <v>185</v>
      </c>
      <c r="O193" s="28" t="s">
        <v>30</v>
      </c>
      <c r="P193" s="12"/>
      <c r="Q193" s="12" t="s">
        <v>31</v>
      </c>
      <c r="R193" s="12" t="s">
        <v>432</v>
      </c>
      <c r="S193" s="12" t="s">
        <v>289</v>
      </c>
      <c r="T193" s="12" t="s">
        <v>433</v>
      </c>
      <c r="U193" s="95">
        <v>45705</v>
      </c>
      <c r="V193" s="95">
        <v>45733</v>
      </c>
      <c r="W193" s="21">
        <f t="shared" ca="1" si="21"/>
        <v>-352</v>
      </c>
      <c r="X193" s="12" t="str">
        <f t="shared" ca="1" si="22"/>
        <v>Vencido</v>
      </c>
    </row>
    <row r="194" spans="1:25" customFormat="1" ht="50.1" customHeight="1">
      <c r="A194" s="20" t="s">
        <v>65</v>
      </c>
      <c r="B194" s="12" t="s">
        <v>434</v>
      </c>
      <c r="C194" s="13">
        <v>4479178</v>
      </c>
      <c r="D194" s="14">
        <v>1</v>
      </c>
      <c r="E194" s="15">
        <v>85</v>
      </c>
      <c r="F194" s="25" t="s">
        <v>25</v>
      </c>
      <c r="G194" s="16" t="s">
        <v>211</v>
      </c>
      <c r="H194" s="17" t="s">
        <v>316</v>
      </c>
      <c r="I194" s="16">
        <v>2022</v>
      </c>
      <c r="J194" s="32">
        <v>44704</v>
      </c>
      <c r="K194" s="16" t="s">
        <v>27</v>
      </c>
      <c r="L194" s="16" t="s">
        <v>28</v>
      </c>
      <c r="M194" s="32">
        <v>44921</v>
      </c>
      <c r="N194" s="28" t="s">
        <v>435</v>
      </c>
      <c r="O194" s="16" t="s">
        <v>30</v>
      </c>
      <c r="P194" s="11" t="s">
        <v>34</v>
      </c>
      <c r="Q194" s="12" t="s">
        <v>436</v>
      </c>
      <c r="R194" s="21" t="s">
        <v>437</v>
      </c>
      <c r="S194" s="11" t="s">
        <v>438</v>
      </c>
      <c r="T194" s="11" t="s">
        <v>286</v>
      </c>
      <c r="U194" s="33">
        <v>45351</v>
      </c>
      <c r="V194" s="33">
        <v>45655</v>
      </c>
      <c r="W194" s="11">
        <f t="shared" ref="W194:W204" ca="1" si="23">V194-TODAY()</f>
        <v>-430</v>
      </c>
      <c r="X194" s="11" t="str">
        <f t="shared" ref="X194:X204" ca="1" si="24">IF(W194&gt;=20,"Vigente",IF(AND(W194&gt;=1,W194&lt;=20),"Por Vencer","Vencido"))</f>
        <v>Vencido</v>
      </c>
    </row>
    <row r="195" spans="1:25" ht="65.25" customHeight="1">
      <c r="A195" s="12" t="s">
        <v>189</v>
      </c>
      <c r="B195" s="12" t="s">
        <v>439</v>
      </c>
      <c r="C195" s="80">
        <v>12426330</v>
      </c>
      <c r="D195" s="81">
        <v>1</v>
      </c>
      <c r="E195" s="28" t="e">
        <f ca="1">DATEDIF(#REF!,TODAY(),"Y")</f>
        <v>#REF!</v>
      </c>
      <c r="F195" s="83" t="s">
        <v>25</v>
      </c>
      <c r="G195" s="12" t="s">
        <v>74</v>
      </c>
      <c r="H195" s="12" t="s">
        <v>320</v>
      </c>
      <c r="I195" s="28">
        <v>2024</v>
      </c>
      <c r="J195" s="93">
        <v>45391</v>
      </c>
      <c r="K195" s="28" t="s">
        <v>68</v>
      </c>
      <c r="L195" s="28" t="s">
        <v>274</v>
      </c>
      <c r="M195" s="93">
        <v>45537</v>
      </c>
      <c r="N195" s="12" t="s">
        <v>388</v>
      </c>
      <c r="O195" s="92" t="s">
        <v>64</v>
      </c>
      <c r="P195" s="12" t="s">
        <v>155</v>
      </c>
      <c r="Q195" s="12" t="s">
        <v>228</v>
      </c>
      <c r="R195" s="21" t="s">
        <v>440</v>
      </c>
      <c r="S195" s="12" t="s">
        <v>289</v>
      </c>
      <c r="T195" s="12" t="s">
        <v>282</v>
      </c>
      <c r="U195" s="95">
        <v>45639</v>
      </c>
      <c r="V195" s="95">
        <v>45701</v>
      </c>
      <c r="W195" s="21">
        <f t="shared" ca="1" si="23"/>
        <v>-384</v>
      </c>
      <c r="X195" s="12" t="str">
        <f t="shared" ca="1" si="24"/>
        <v>Vencido</v>
      </c>
      <c r="Y195" s="12"/>
    </row>
    <row r="196" spans="1:25" ht="65.25" customHeight="1">
      <c r="A196" s="12" t="s">
        <v>189</v>
      </c>
      <c r="B196" s="12" t="s">
        <v>441</v>
      </c>
      <c r="C196" s="80">
        <v>9566438</v>
      </c>
      <c r="D196" s="81">
        <v>5</v>
      </c>
      <c r="E196" s="28" t="e">
        <f ca="1">DATEDIF(#REF!,TODAY(),"Y")</f>
        <v>#REF!</v>
      </c>
      <c r="F196" s="28" t="s">
        <v>33</v>
      </c>
      <c r="G196" s="12" t="s">
        <v>26</v>
      </c>
      <c r="H196" s="12" t="s">
        <v>320</v>
      </c>
      <c r="I196" s="28">
        <v>2021</v>
      </c>
      <c r="J196" s="93">
        <v>44551</v>
      </c>
      <c r="K196" s="28" t="s">
        <v>68</v>
      </c>
      <c r="L196" s="28" t="s">
        <v>246</v>
      </c>
      <c r="M196" s="93">
        <v>45842</v>
      </c>
      <c r="N196" s="12" t="s">
        <v>317</v>
      </c>
      <c r="O196" s="92" t="s">
        <v>64</v>
      </c>
      <c r="P196" s="12" t="s">
        <v>158</v>
      </c>
      <c r="Q196" s="12" t="s">
        <v>31</v>
      </c>
      <c r="R196" s="21" t="s">
        <v>442</v>
      </c>
      <c r="S196" s="12" t="s">
        <v>293</v>
      </c>
      <c r="T196" s="12" t="s">
        <v>282</v>
      </c>
      <c r="U196" s="95" t="s">
        <v>443</v>
      </c>
      <c r="V196" s="95" t="s">
        <v>444</v>
      </c>
      <c r="W196" s="21">
        <f t="shared" ca="1" si="23"/>
        <v>-231</v>
      </c>
      <c r="X196" s="12" t="str">
        <f t="shared" ca="1" si="24"/>
        <v>Vencido</v>
      </c>
      <c r="Y196" s="12"/>
    </row>
    <row r="197" spans="1:25" ht="65.25" customHeight="1">
      <c r="A197" s="12" t="s">
        <v>189</v>
      </c>
      <c r="B197" s="12" t="s">
        <v>445</v>
      </c>
      <c r="C197" s="80">
        <v>6946889</v>
      </c>
      <c r="D197" s="81">
        <v>6</v>
      </c>
      <c r="E197" s="28" t="e">
        <f ca="1">DATEDIF(#REF!,TODAY(),"Y")</f>
        <v>#REF!</v>
      </c>
      <c r="F197" s="28" t="s">
        <v>25</v>
      </c>
      <c r="G197" s="12" t="s">
        <v>26</v>
      </c>
      <c r="H197" s="12" t="s">
        <v>320</v>
      </c>
      <c r="I197" s="28">
        <v>2022</v>
      </c>
      <c r="J197" s="93">
        <v>44748</v>
      </c>
      <c r="K197" s="28" t="s">
        <v>27</v>
      </c>
      <c r="L197" s="28" t="s">
        <v>39</v>
      </c>
      <c r="M197" s="93">
        <v>44893</v>
      </c>
      <c r="N197" s="12" t="s">
        <v>446</v>
      </c>
      <c r="O197" s="96" t="s">
        <v>2</v>
      </c>
      <c r="P197" s="12" t="s">
        <v>158</v>
      </c>
      <c r="Q197" s="12" t="s">
        <v>31</v>
      </c>
      <c r="R197" s="101" t="s">
        <v>447</v>
      </c>
      <c r="S197" s="12" t="s">
        <v>289</v>
      </c>
      <c r="T197" s="12" t="s">
        <v>294</v>
      </c>
      <c r="U197" s="95">
        <v>45567</v>
      </c>
      <c r="V197" s="95">
        <v>45598</v>
      </c>
      <c r="W197" s="21">
        <f t="shared" ca="1" si="23"/>
        <v>-487</v>
      </c>
      <c r="X197" s="12" t="str">
        <f t="shared" ca="1" si="24"/>
        <v>Vencido</v>
      </c>
      <c r="Y197" s="12"/>
    </row>
    <row r="198" spans="1:25" ht="65.25" customHeight="1">
      <c r="A198" s="21" t="s">
        <v>189</v>
      </c>
      <c r="B198" s="21" t="s">
        <v>448</v>
      </c>
      <c r="C198" s="78">
        <v>6514717</v>
      </c>
      <c r="D198" s="79">
        <v>3</v>
      </c>
      <c r="E198" s="40" t="e">
        <f ca="1">DATEDIF(#REF!,TODAY(),"Y")</f>
        <v>#REF!</v>
      </c>
      <c r="F198" s="40" t="s">
        <v>25</v>
      </c>
      <c r="G198" s="40" t="s">
        <v>26</v>
      </c>
      <c r="H198" s="21" t="s">
        <v>320</v>
      </c>
      <c r="I198" s="40">
        <v>2019</v>
      </c>
      <c r="J198" s="91">
        <v>43489</v>
      </c>
      <c r="K198" s="40" t="s">
        <v>27</v>
      </c>
      <c r="L198" s="40" t="s">
        <v>28</v>
      </c>
      <c r="M198" s="91">
        <v>43626</v>
      </c>
      <c r="N198" s="21" t="s">
        <v>449</v>
      </c>
      <c r="O198" s="92" t="s">
        <v>64</v>
      </c>
      <c r="P198" s="21" t="s">
        <v>34</v>
      </c>
      <c r="Q198" s="21" t="s">
        <v>436</v>
      </c>
      <c r="R198" s="21" t="s">
        <v>450</v>
      </c>
      <c r="S198" s="21" t="s">
        <v>438</v>
      </c>
      <c r="T198" s="21" t="s">
        <v>290</v>
      </c>
      <c r="U198" s="100">
        <v>45660</v>
      </c>
      <c r="V198" s="100">
        <v>45691</v>
      </c>
      <c r="W198" s="21">
        <f t="shared" ca="1" si="23"/>
        <v>-394</v>
      </c>
      <c r="X198" s="21" t="str">
        <f t="shared" ca="1" si="24"/>
        <v>Vencido</v>
      </c>
      <c r="Y198" s="21" t="s">
        <v>451</v>
      </c>
    </row>
    <row r="199" spans="1:25" ht="65.25" customHeight="1">
      <c r="A199" s="12" t="s">
        <v>65</v>
      </c>
      <c r="B199" s="12" t="s">
        <v>452</v>
      </c>
      <c r="C199" s="80">
        <v>6538873</v>
      </c>
      <c r="D199" s="81">
        <v>7</v>
      </c>
      <c r="E199" s="12">
        <v>78</v>
      </c>
      <c r="F199" s="83" t="s">
        <v>25</v>
      </c>
      <c r="G199" s="28" t="s">
        <v>453</v>
      </c>
      <c r="H199" s="28" t="s">
        <v>320</v>
      </c>
      <c r="I199" s="28" t="s">
        <v>179</v>
      </c>
      <c r="J199" s="28" t="s">
        <v>183</v>
      </c>
      <c r="K199" s="28" t="s">
        <v>68</v>
      </c>
      <c r="L199" s="28" t="s">
        <v>274</v>
      </c>
      <c r="M199" s="95">
        <v>45565</v>
      </c>
      <c r="N199" s="28" t="s">
        <v>206</v>
      </c>
      <c r="O199" s="92" t="s">
        <v>64</v>
      </c>
      <c r="P199" s="12" t="s">
        <v>158</v>
      </c>
      <c r="Q199" s="12" t="s">
        <v>31</v>
      </c>
      <c r="R199" s="101" t="s">
        <v>302</v>
      </c>
      <c r="S199" s="12" t="s">
        <v>281</v>
      </c>
      <c r="T199" s="12" t="s">
        <v>294</v>
      </c>
      <c r="U199" s="95">
        <v>45566</v>
      </c>
      <c r="V199" s="95">
        <v>45627</v>
      </c>
      <c r="W199" s="21">
        <f t="shared" ca="1" si="23"/>
        <v>-458</v>
      </c>
      <c r="X199" s="12" t="str">
        <f t="shared" ca="1" si="24"/>
        <v>Vencido</v>
      </c>
      <c r="Y199" s="12"/>
    </row>
    <row r="200" spans="1:25" ht="65.25" customHeight="1">
      <c r="A200" s="12" t="s">
        <v>189</v>
      </c>
      <c r="B200" s="12" t="s">
        <v>454</v>
      </c>
      <c r="C200" s="80">
        <v>5514543</v>
      </c>
      <c r="D200" s="81">
        <v>1</v>
      </c>
      <c r="E200" s="28" t="e">
        <f ca="1">DATEDIF(#REF!,TODAY(),"Y")</f>
        <v>#REF!</v>
      </c>
      <c r="F200" s="28" t="s">
        <v>25</v>
      </c>
      <c r="G200" s="12" t="s">
        <v>26</v>
      </c>
      <c r="H200" s="21" t="s">
        <v>320</v>
      </c>
      <c r="I200" s="28">
        <v>2023</v>
      </c>
      <c r="J200" s="93">
        <v>45054</v>
      </c>
      <c r="K200" s="28" t="s">
        <v>27</v>
      </c>
      <c r="L200" s="28" t="s">
        <v>28</v>
      </c>
      <c r="M200" s="93">
        <v>45271</v>
      </c>
      <c r="N200" s="12" t="s">
        <v>455</v>
      </c>
      <c r="O200" s="92" t="s">
        <v>64</v>
      </c>
      <c r="P200" s="12" t="s">
        <v>158</v>
      </c>
      <c r="Q200" s="12" t="s">
        <v>31</v>
      </c>
      <c r="R200" s="101" t="s">
        <v>388</v>
      </c>
      <c r="S200" s="12" t="s">
        <v>393</v>
      </c>
      <c r="T200" s="12" t="s">
        <v>411</v>
      </c>
      <c r="U200" s="95">
        <v>45568</v>
      </c>
      <c r="V200" s="95">
        <v>45660</v>
      </c>
      <c r="W200" s="21">
        <f t="shared" ca="1" si="23"/>
        <v>-425</v>
      </c>
      <c r="X200" s="12" t="str">
        <f t="shared" ca="1" si="24"/>
        <v>Vencido</v>
      </c>
      <c r="Y200" s="12"/>
    </row>
    <row r="201" spans="1:25" ht="65.25" customHeight="1">
      <c r="A201" s="82" t="s">
        <v>189</v>
      </c>
      <c r="B201" s="82" t="s">
        <v>456</v>
      </c>
      <c r="C201" s="87">
        <v>9339678</v>
      </c>
      <c r="D201" s="88">
        <v>2</v>
      </c>
      <c r="E201" s="82">
        <v>63</v>
      </c>
      <c r="F201" s="89" t="s">
        <v>25</v>
      </c>
      <c r="G201" s="89" t="s">
        <v>74</v>
      </c>
      <c r="H201" s="21" t="s">
        <v>320</v>
      </c>
      <c r="I201" s="89">
        <v>2024</v>
      </c>
      <c r="J201" s="99">
        <v>45315</v>
      </c>
      <c r="K201" s="89" t="s">
        <v>68</v>
      </c>
      <c r="L201" s="89" t="s">
        <v>457</v>
      </c>
      <c r="M201" s="103">
        <v>45500</v>
      </c>
      <c r="N201" s="89" t="s">
        <v>458</v>
      </c>
      <c r="O201" s="96" t="s">
        <v>2</v>
      </c>
      <c r="P201" s="82" t="s">
        <v>158</v>
      </c>
      <c r="Q201" s="82" t="s">
        <v>31</v>
      </c>
      <c r="R201" s="82" t="s">
        <v>459</v>
      </c>
      <c r="S201" s="82" t="s">
        <v>281</v>
      </c>
      <c r="T201" s="82" t="s">
        <v>282</v>
      </c>
      <c r="U201" s="103">
        <v>45498</v>
      </c>
      <c r="V201" s="103">
        <v>45560</v>
      </c>
      <c r="W201" s="21">
        <f t="shared" ca="1" si="23"/>
        <v>-525</v>
      </c>
      <c r="X201" s="82" t="str">
        <f t="shared" ca="1" si="24"/>
        <v>Vencido</v>
      </c>
      <c r="Y201" s="82" t="s">
        <v>312</v>
      </c>
    </row>
    <row r="202" spans="1:25" customFormat="1" ht="50.1" customHeight="1">
      <c r="A202" s="11" t="s">
        <v>189</v>
      </c>
      <c r="B202" s="12" t="s">
        <v>460</v>
      </c>
      <c r="C202" s="13">
        <v>8206640</v>
      </c>
      <c r="D202" s="15">
        <v>3</v>
      </c>
      <c r="E202" s="15">
        <v>67</v>
      </c>
      <c r="F202" s="16" t="s">
        <v>25</v>
      </c>
      <c r="G202" s="16" t="s">
        <v>60</v>
      </c>
      <c r="H202" s="17" t="s">
        <v>316</v>
      </c>
      <c r="I202" s="16">
        <v>2019</v>
      </c>
      <c r="J202" s="32">
        <v>43607</v>
      </c>
      <c r="K202" s="16" t="s">
        <v>27</v>
      </c>
      <c r="L202" s="16" t="s">
        <v>39</v>
      </c>
      <c r="M202" s="32">
        <v>43700</v>
      </c>
      <c r="N202" s="28" t="s">
        <v>296</v>
      </c>
      <c r="O202" s="16" t="s">
        <v>30</v>
      </c>
      <c r="P202" s="11" t="s">
        <v>34</v>
      </c>
      <c r="Q202" s="12" t="s">
        <v>436</v>
      </c>
      <c r="R202" s="50" t="s">
        <v>461</v>
      </c>
      <c r="S202" s="11" t="s">
        <v>393</v>
      </c>
      <c r="T202" s="11" t="s">
        <v>286</v>
      </c>
      <c r="U202" s="33">
        <v>45682</v>
      </c>
      <c r="V202" s="33">
        <v>45802</v>
      </c>
      <c r="W202" s="11">
        <f t="shared" ca="1" si="23"/>
        <v>-283</v>
      </c>
      <c r="X202" s="11" t="str">
        <f t="shared" ca="1" si="24"/>
        <v>Vencido</v>
      </c>
    </row>
    <row r="203" spans="1:25" ht="65.25" customHeight="1">
      <c r="A203" s="82" t="s">
        <v>189</v>
      </c>
      <c r="B203" s="82" t="s">
        <v>462</v>
      </c>
      <c r="C203" s="149">
        <v>5684192</v>
      </c>
      <c r="D203" s="150" t="s">
        <v>135</v>
      </c>
      <c r="E203" s="89" t="e">
        <f ca="1">DATEDIF(#REF!,TODAY(),"Y")</f>
        <v>#REF!</v>
      </c>
      <c r="F203" s="89" t="s">
        <v>25</v>
      </c>
      <c r="G203" s="89" t="s">
        <v>74</v>
      </c>
      <c r="H203" s="12" t="s">
        <v>320</v>
      </c>
      <c r="I203" s="89">
        <v>2022</v>
      </c>
      <c r="J203" s="99">
        <v>44701</v>
      </c>
      <c r="K203" s="89" t="s">
        <v>27</v>
      </c>
      <c r="L203" s="89" t="s">
        <v>39</v>
      </c>
      <c r="M203" s="99">
        <v>45162</v>
      </c>
      <c r="N203" s="82"/>
      <c r="O203" s="96" t="s">
        <v>2</v>
      </c>
      <c r="P203" s="82" t="s">
        <v>158</v>
      </c>
      <c r="Q203" s="82" t="s">
        <v>31</v>
      </c>
      <c r="R203" s="151" t="s">
        <v>463</v>
      </c>
      <c r="S203" s="82"/>
      <c r="T203" s="82"/>
      <c r="U203" s="82"/>
      <c r="V203" s="103"/>
      <c r="W203" s="21">
        <f t="shared" ca="1" si="23"/>
        <v>-46085</v>
      </c>
      <c r="X203" s="82" t="str">
        <f t="shared" ca="1" si="24"/>
        <v>Vencido</v>
      </c>
      <c r="Y203" s="82" t="s">
        <v>312</v>
      </c>
    </row>
    <row r="204" spans="1:25" ht="65.25" customHeight="1">
      <c r="A204" s="12" t="s">
        <v>189</v>
      </c>
      <c r="B204" s="12" t="s">
        <v>464</v>
      </c>
      <c r="C204" s="80">
        <v>8745495</v>
      </c>
      <c r="D204" s="81">
        <v>9</v>
      </c>
      <c r="E204" s="12">
        <v>62</v>
      </c>
      <c r="F204" s="28" t="s">
        <v>329</v>
      </c>
      <c r="G204" s="28" t="s">
        <v>74</v>
      </c>
      <c r="H204" s="12" t="s">
        <v>320</v>
      </c>
      <c r="I204" s="28">
        <v>2024</v>
      </c>
      <c r="J204" s="93">
        <v>45306</v>
      </c>
      <c r="K204" s="28" t="s">
        <v>68</v>
      </c>
      <c r="L204" s="28" t="s">
        <v>28</v>
      </c>
      <c r="M204" s="95">
        <v>45621</v>
      </c>
      <c r="N204" s="12" t="s">
        <v>455</v>
      </c>
      <c r="O204" s="92" t="s">
        <v>64</v>
      </c>
      <c r="P204" s="12" t="s">
        <v>34</v>
      </c>
      <c r="Q204" s="12" t="s">
        <v>31</v>
      </c>
      <c r="R204" s="21" t="s">
        <v>465</v>
      </c>
      <c r="S204" s="12" t="s">
        <v>289</v>
      </c>
      <c r="T204" s="12" t="s">
        <v>290</v>
      </c>
      <c r="U204" s="95">
        <v>45622</v>
      </c>
      <c r="V204" s="95">
        <v>45652</v>
      </c>
      <c r="W204" s="21">
        <f t="shared" ca="1" si="23"/>
        <v>-433</v>
      </c>
      <c r="X204" s="12" t="str">
        <f t="shared" ca="1" si="24"/>
        <v>Vencido</v>
      </c>
      <c r="Y204" s="12" t="s">
        <v>466</v>
      </c>
    </row>
    <row r="205" spans="1:25" ht="65.25" customHeight="1">
      <c r="A205" s="12" t="s">
        <v>189</v>
      </c>
      <c r="B205" s="12" t="s">
        <v>467</v>
      </c>
      <c r="C205" s="80">
        <v>16110517</v>
      </c>
      <c r="D205" s="81">
        <v>1</v>
      </c>
      <c r="E205" s="28" t="e">
        <f ca="1">DATEDIF(#REF!,TODAY(),"Y")</f>
        <v>#REF!</v>
      </c>
      <c r="F205" s="28" t="s">
        <v>25</v>
      </c>
      <c r="G205" s="12" t="s">
        <v>74</v>
      </c>
      <c r="H205" s="12" t="s">
        <v>320</v>
      </c>
      <c r="I205" s="28">
        <v>2022</v>
      </c>
      <c r="J205" s="93">
        <v>44623</v>
      </c>
      <c r="K205" s="28" t="s">
        <v>27</v>
      </c>
      <c r="L205" s="28" t="s">
        <v>39</v>
      </c>
      <c r="M205" s="93">
        <v>45716</v>
      </c>
      <c r="N205" s="12" t="s">
        <v>468</v>
      </c>
      <c r="O205" s="94" t="s">
        <v>6</v>
      </c>
      <c r="P205" s="12" t="s">
        <v>158</v>
      </c>
      <c r="Q205" s="12" t="s">
        <v>469</v>
      </c>
      <c r="R205" s="21" t="s">
        <v>470</v>
      </c>
      <c r="S205" s="12" t="s">
        <v>289</v>
      </c>
      <c r="T205" s="12" t="s">
        <v>294</v>
      </c>
      <c r="U205" s="95">
        <v>45855</v>
      </c>
      <c r="V205" s="95">
        <v>45886</v>
      </c>
      <c r="W205" s="21">
        <f t="shared" ref="W205:W210" ca="1" si="25">V205-TODAY()</f>
        <v>-199</v>
      </c>
      <c r="X205" s="12" t="str">
        <f t="shared" ref="X205:X210" ca="1" si="26">IF(W205&gt;=20,"Vigente",IF(AND(W205&gt;=1,W205&lt;=20),"Por Vencer","Vencido"))</f>
        <v>Vencido</v>
      </c>
      <c r="Y205" s="12"/>
    </row>
    <row r="206" spans="1:25" ht="65.25" customHeight="1">
      <c r="A206" s="12" t="s">
        <v>189</v>
      </c>
      <c r="B206" s="12" t="s">
        <v>471</v>
      </c>
      <c r="C206" s="80">
        <v>3903618</v>
      </c>
      <c r="D206" s="26">
        <v>5</v>
      </c>
      <c r="E206" s="12">
        <v>87</v>
      </c>
      <c r="F206" s="28" t="s">
        <v>25</v>
      </c>
      <c r="G206" s="28" t="s">
        <v>26</v>
      </c>
      <c r="H206" s="17" t="s">
        <v>320</v>
      </c>
      <c r="I206" s="28">
        <v>2025</v>
      </c>
      <c r="J206" s="93">
        <v>45845</v>
      </c>
      <c r="K206" s="28" t="s">
        <v>172</v>
      </c>
      <c r="L206" s="28" t="s">
        <v>472</v>
      </c>
      <c r="M206" s="12"/>
      <c r="N206" s="28"/>
      <c r="O206" s="92" t="s">
        <v>64</v>
      </c>
      <c r="P206" s="12"/>
      <c r="Q206" s="12" t="s">
        <v>31</v>
      </c>
      <c r="R206" s="12" t="s">
        <v>473</v>
      </c>
      <c r="S206" s="12" t="s">
        <v>289</v>
      </c>
      <c r="T206" s="12" t="s">
        <v>433</v>
      </c>
      <c r="U206" s="95">
        <v>45853</v>
      </c>
      <c r="V206" s="95">
        <v>45884</v>
      </c>
      <c r="W206" s="21">
        <f t="shared" ca="1" si="25"/>
        <v>-201</v>
      </c>
      <c r="X206" s="11" t="str">
        <f t="shared" ca="1" si="26"/>
        <v>Vencido</v>
      </c>
    </row>
    <row r="207" spans="1:25" ht="65.25" customHeight="1">
      <c r="A207" s="12" t="s">
        <v>65</v>
      </c>
      <c r="B207" s="12" t="s">
        <v>474</v>
      </c>
      <c r="C207" s="80">
        <v>5695508</v>
      </c>
      <c r="D207" s="26">
        <v>9</v>
      </c>
      <c r="E207" s="12">
        <v>85</v>
      </c>
      <c r="F207" s="28" t="s">
        <v>475</v>
      </c>
      <c r="G207" s="28" t="s">
        <v>113</v>
      </c>
      <c r="H207" s="17" t="s">
        <v>320</v>
      </c>
      <c r="I207" s="28">
        <v>2025</v>
      </c>
      <c r="J207" s="93">
        <v>45832</v>
      </c>
      <c r="K207" s="28" t="s">
        <v>68</v>
      </c>
      <c r="L207" s="28" t="s">
        <v>246</v>
      </c>
      <c r="M207" s="95">
        <v>45838</v>
      </c>
      <c r="N207" s="28" t="s">
        <v>476</v>
      </c>
      <c r="O207" s="92" t="s">
        <v>64</v>
      </c>
      <c r="P207" s="12" t="s">
        <v>158</v>
      </c>
      <c r="Q207" s="12" t="s">
        <v>469</v>
      </c>
      <c r="R207" s="12" t="s">
        <v>477</v>
      </c>
      <c r="S207" s="12" t="s">
        <v>289</v>
      </c>
      <c r="T207" s="12" t="s">
        <v>478</v>
      </c>
      <c r="U207" s="95">
        <v>45838</v>
      </c>
      <c r="V207" s="95">
        <v>45868</v>
      </c>
      <c r="W207" s="21">
        <f t="shared" ca="1" si="25"/>
        <v>-217</v>
      </c>
      <c r="X207" s="11" t="str">
        <f t="shared" ca="1" si="26"/>
        <v>Vencido</v>
      </c>
    </row>
    <row r="208" spans="1:25" customFormat="1" ht="50.1" customHeight="1">
      <c r="A208" s="12" t="s">
        <v>65</v>
      </c>
      <c r="B208" s="37" t="s">
        <v>479</v>
      </c>
      <c r="C208" s="35">
        <v>8909067</v>
      </c>
      <c r="D208" s="35">
        <v>9</v>
      </c>
      <c r="E208" s="61">
        <v>66</v>
      </c>
      <c r="F208" s="35" t="s">
        <v>25</v>
      </c>
      <c r="G208" s="35" t="s">
        <v>198</v>
      </c>
      <c r="H208" s="17" t="s">
        <v>316</v>
      </c>
      <c r="I208" s="35" t="s">
        <v>179</v>
      </c>
      <c r="J208" s="35" t="s">
        <v>480</v>
      </c>
      <c r="K208" s="35" t="s">
        <v>68</v>
      </c>
      <c r="L208" s="35" t="s">
        <v>274</v>
      </c>
      <c r="M208" s="36">
        <v>45847</v>
      </c>
      <c r="N208" s="37" t="s">
        <v>481</v>
      </c>
      <c r="O208" s="16" t="s">
        <v>64</v>
      </c>
      <c r="P208" s="35" t="s">
        <v>158</v>
      </c>
      <c r="Q208" s="37" t="s">
        <v>469</v>
      </c>
      <c r="R208" s="37" t="s">
        <v>482</v>
      </c>
      <c r="S208" s="35" t="s">
        <v>293</v>
      </c>
      <c r="T208" s="35" t="s">
        <v>294</v>
      </c>
      <c r="U208" s="36">
        <v>45847</v>
      </c>
      <c r="V208" s="36">
        <v>45939</v>
      </c>
      <c r="W208" s="11">
        <f t="shared" ca="1" si="25"/>
        <v>-146</v>
      </c>
      <c r="X208" s="11" t="str">
        <f t="shared" ca="1" si="26"/>
        <v>Vencido</v>
      </c>
    </row>
    <row r="209" spans="1:24" customFormat="1" ht="50.1" customHeight="1">
      <c r="A209" s="12" t="s">
        <v>189</v>
      </c>
      <c r="B209" s="12" t="s">
        <v>483</v>
      </c>
      <c r="C209" s="13">
        <v>4785743</v>
      </c>
      <c r="D209" s="14">
        <v>0</v>
      </c>
      <c r="E209" s="15">
        <v>82</v>
      </c>
      <c r="F209" s="25" t="s">
        <v>25</v>
      </c>
      <c r="G209" s="16" t="s">
        <v>60</v>
      </c>
      <c r="H209" s="17" t="s">
        <v>316</v>
      </c>
      <c r="I209" s="16">
        <v>2025</v>
      </c>
      <c r="J209" s="32">
        <v>45695</v>
      </c>
      <c r="K209" s="16" t="s">
        <v>68</v>
      </c>
      <c r="L209" s="16" t="s">
        <v>28</v>
      </c>
      <c r="M209" s="33">
        <v>45742</v>
      </c>
      <c r="N209" s="28" t="s">
        <v>301</v>
      </c>
      <c r="O209" s="16" t="s">
        <v>64</v>
      </c>
      <c r="P209" s="11" t="s">
        <v>158</v>
      </c>
      <c r="Q209" s="172" t="s">
        <v>228</v>
      </c>
      <c r="R209" s="12" t="s">
        <v>484</v>
      </c>
      <c r="S209" s="11" t="s">
        <v>303</v>
      </c>
      <c r="T209" s="11" t="s">
        <v>294</v>
      </c>
      <c r="U209" s="33">
        <v>45750</v>
      </c>
      <c r="V209" s="33">
        <v>45841</v>
      </c>
      <c r="W209" s="11">
        <f t="shared" ca="1" si="25"/>
        <v>-244</v>
      </c>
      <c r="X209" s="11" t="str">
        <f t="shared" ca="1" si="26"/>
        <v>Vencido</v>
      </c>
    </row>
    <row r="210" spans="1:24" customFormat="1" ht="50.1" customHeight="1">
      <c r="A210" s="12" t="s">
        <v>65</v>
      </c>
      <c r="B210" s="12" t="s">
        <v>485</v>
      </c>
      <c r="C210" s="13">
        <v>7051081</v>
      </c>
      <c r="D210" s="14">
        <v>2</v>
      </c>
      <c r="E210" s="15">
        <v>67</v>
      </c>
      <c r="F210" s="16" t="s">
        <v>25</v>
      </c>
      <c r="G210" s="16" t="s">
        <v>67</v>
      </c>
      <c r="H210" s="17" t="s">
        <v>316</v>
      </c>
      <c r="I210" s="16">
        <v>2024</v>
      </c>
      <c r="J210" s="32">
        <v>45638</v>
      </c>
      <c r="K210" s="16" t="s">
        <v>68</v>
      </c>
      <c r="L210" s="16" t="s">
        <v>28</v>
      </c>
      <c r="M210" s="33">
        <v>45842</v>
      </c>
      <c r="N210" s="28" t="s">
        <v>317</v>
      </c>
      <c r="O210" s="16" t="s">
        <v>64</v>
      </c>
      <c r="P210" s="11" t="s">
        <v>158</v>
      </c>
      <c r="Q210" s="172" t="s">
        <v>469</v>
      </c>
      <c r="R210" s="12" t="s">
        <v>317</v>
      </c>
      <c r="S210" s="11" t="s">
        <v>293</v>
      </c>
      <c r="T210" s="11" t="s">
        <v>294</v>
      </c>
      <c r="U210" s="33">
        <v>45861</v>
      </c>
      <c r="V210" s="33">
        <v>45953</v>
      </c>
      <c r="W210" s="11">
        <f t="shared" ca="1" si="25"/>
        <v>-132</v>
      </c>
      <c r="X210" s="11" t="str">
        <f t="shared" ca="1" si="26"/>
        <v>Vencido</v>
      </c>
    </row>
    <row r="211" spans="1:24" customFormat="1" ht="50.1" customHeight="1">
      <c r="A211" s="12" t="s">
        <v>65</v>
      </c>
      <c r="B211" s="12" t="s">
        <v>486</v>
      </c>
      <c r="C211" s="13">
        <v>6849592</v>
      </c>
      <c r="D211" s="14" t="s">
        <v>93</v>
      </c>
      <c r="E211" s="15">
        <v>71</v>
      </c>
      <c r="F211" s="16" t="s">
        <v>70</v>
      </c>
      <c r="G211" s="28" t="s">
        <v>487</v>
      </c>
      <c r="H211" s="17" t="s">
        <v>316</v>
      </c>
      <c r="I211" s="16" t="s">
        <v>179</v>
      </c>
      <c r="J211" s="16" t="s">
        <v>183</v>
      </c>
      <c r="K211" s="16" t="s">
        <v>68</v>
      </c>
      <c r="L211" s="16" t="s">
        <v>246</v>
      </c>
      <c r="M211" s="33">
        <v>45679</v>
      </c>
      <c r="N211" s="28" t="s">
        <v>488</v>
      </c>
      <c r="O211" s="96" t="s">
        <v>2</v>
      </c>
      <c r="P211" s="11" t="s">
        <v>158</v>
      </c>
      <c r="Q211" s="12" t="s">
        <v>228</v>
      </c>
      <c r="R211" s="12" t="s">
        <v>489</v>
      </c>
      <c r="S211" s="11" t="s">
        <v>289</v>
      </c>
      <c r="T211" s="11" t="s">
        <v>327</v>
      </c>
      <c r="U211" s="33">
        <v>45750</v>
      </c>
      <c r="V211" s="33">
        <v>45780</v>
      </c>
      <c r="W211" s="11">
        <f t="shared" ref="W211:W226" ca="1" si="27">V211-TODAY()</f>
        <v>-305</v>
      </c>
      <c r="X211" s="11" t="str">
        <f t="shared" ref="X211:X226" ca="1" si="28">IF(W211&gt;=20,"Vigente",IF(AND(W211&gt;=1,W211&lt;=20),"Por Vencer","Vencido"))</f>
        <v>Vencido</v>
      </c>
    </row>
    <row r="212" spans="1:24" customFormat="1" ht="50.1" customHeight="1">
      <c r="A212" s="12" t="s">
        <v>65</v>
      </c>
      <c r="B212" s="12" t="s">
        <v>490</v>
      </c>
      <c r="C212" s="13">
        <v>9320530</v>
      </c>
      <c r="D212" s="14">
        <v>8</v>
      </c>
      <c r="E212" s="15">
        <v>58</v>
      </c>
      <c r="F212" s="16" t="s">
        <v>70</v>
      </c>
      <c r="G212" s="16" t="s">
        <v>219</v>
      </c>
      <c r="H212" s="17" t="s">
        <v>316</v>
      </c>
      <c r="I212" s="16">
        <v>2024</v>
      </c>
      <c r="J212" s="32">
        <v>45547</v>
      </c>
      <c r="K212" s="16" t="s">
        <v>68</v>
      </c>
      <c r="L212" s="16" t="s">
        <v>28</v>
      </c>
      <c r="M212" s="33">
        <v>45665</v>
      </c>
      <c r="N212" s="28" t="s">
        <v>317</v>
      </c>
      <c r="O212" s="16" t="s">
        <v>64</v>
      </c>
      <c r="P212" s="11" t="s">
        <v>158</v>
      </c>
      <c r="Q212" s="12" t="s">
        <v>230</v>
      </c>
      <c r="R212" s="21" t="s">
        <v>317</v>
      </c>
      <c r="S212" s="11" t="s">
        <v>293</v>
      </c>
      <c r="T212" s="11" t="s">
        <v>282</v>
      </c>
      <c r="U212" s="33">
        <v>45750</v>
      </c>
      <c r="V212" s="33">
        <v>45841</v>
      </c>
      <c r="W212" s="11">
        <f t="shared" ca="1" si="27"/>
        <v>-244</v>
      </c>
      <c r="X212" s="11" t="str">
        <f t="shared" ca="1" si="28"/>
        <v>Vencido</v>
      </c>
    </row>
    <row r="213" spans="1:24" customFormat="1" ht="50.1" customHeight="1">
      <c r="A213" s="12" t="s">
        <v>189</v>
      </c>
      <c r="B213" s="12" t="s">
        <v>491</v>
      </c>
      <c r="C213" s="29">
        <v>5221439</v>
      </c>
      <c r="D213" s="55">
        <v>4</v>
      </c>
      <c r="E213" s="15">
        <v>86</v>
      </c>
      <c r="F213" s="16" t="s">
        <v>25</v>
      </c>
      <c r="G213" s="16" t="s">
        <v>60</v>
      </c>
      <c r="H213" s="17" t="s">
        <v>316</v>
      </c>
      <c r="I213" s="16">
        <v>2019</v>
      </c>
      <c r="J213" s="38">
        <v>43628</v>
      </c>
      <c r="K213" s="39" t="s">
        <v>68</v>
      </c>
      <c r="L213" s="16" t="s">
        <v>28</v>
      </c>
      <c r="M213" s="32">
        <v>43717</v>
      </c>
      <c r="N213" s="12" t="s">
        <v>492</v>
      </c>
      <c r="O213" s="16" t="s">
        <v>64</v>
      </c>
      <c r="P213" s="11" t="s">
        <v>34</v>
      </c>
      <c r="Q213" s="12" t="s">
        <v>31</v>
      </c>
      <c r="R213" s="63" t="s">
        <v>292</v>
      </c>
      <c r="S213" s="11" t="s">
        <v>293</v>
      </c>
      <c r="T213" s="11" t="s">
        <v>294</v>
      </c>
      <c r="U213" s="33">
        <v>45567</v>
      </c>
      <c r="V213" s="33">
        <v>45629</v>
      </c>
      <c r="W213" s="11">
        <f t="shared" ca="1" si="27"/>
        <v>-456</v>
      </c>
      <c r="X213" s="11" t="str">
        <f t="shared" ca="1" si="28"/>
        <v>Vencido</v>
      </c>
    </row>
    <row r="214" spans="1:24" customFormat="1" ht="50.1" customHeight="1">
      <c r="A214" s="12" t="s">
        <v>189</v>
      </c>
      <c r="B214" s="21" t="s">
        <v>493</v>
      </c>
      <c r="C214" s="22">
        <v>7054461</v>
      </c>
      <c r="D214" s="24" t="s">
        <v>135</v>
      </c>
      <c r="E214" s="17">
        <v>73</v>
      </c>
      <c r="F214" s="17" t="s">
        <v>25</v>
      </c>
      <c r="G214" s="17" t="s">
        <v>60</v>
      </c>
      <c r="H214" s="17" t="s">
        <v>316</v>
      </c>
      <c r="I214" s="17">
        <v>2022</v>
      </c>
      <c r="J214" s="34">
        <v>44587</v>
      </c>
      <c r="K214" s="17" t="s">
        <v>27</v>
      </c>
      <c r="L214" s="17" t="s">
        <v>28</v>
      </c>
      <c r="M214" s="34">
        <v>45224</v>
      </c>
      <c r="N214" s="40" t="s">
        <v>494</v>
      </c>
      <c r="O214" s="96" t="s">
        <v>2</v>
      </c>
      <c r="P214" s="20" t="s">
        <v>158</v>
      </c>
      <c r="Q214" s="21" t="s">
        <v>230</v>
      </c>
      <c r="R214" s="21" t="s">
        <v>495</v>
      </c>
      <c r="S214" s="41" t="s">
        <v>289</v>
      </c>
      <c r="T214" s="20" t="s">
        <v>294</v>
      </c>
      <c r="U214" s="41">
        <v>45749</v>
      </c>
      <c r="V214" s="41">
        <v>45779</v>
      </c>
      <c r="W214" s="11">
        <f t="shared" ca="1" si="27"/>
        <v>-306</v>
      </c>
      <c r="X214" s="11" t="str">
        <f t="shared" ca="1" si="28"/>
        <v>Vencido</v>
      </c>
    </row>
    <row r="215" spans="1:24" s="2" customFormat="1" ht="50.1" customHeight="1">
      <c r="A215" s="21" t="s">
        <v>65</v>
      </c>
      <c r="B215" s="21" t="s">
        <v>496</v>
      </c>
      <c r="C215" s="22">
        <v>11008731</v>
      </c>
      <c r="D215" s="24">
        <v>4</v>
      </c>
      <c r="E215" s="24"/>
      <c r="F215" s="17" t="s">
        <v>70</v>
      </c>
      <c r="G215" s="17" t="s">
        <v>86</v>
      </c>
      <c r="H215" s="17" t="s">
        <v>316</v>
      </c>
      <c r="I215" s="17">
        <v>2022</v>
      </c>
      <c r="J215" s="34">
        <v>44686</v>
      </c>
      <c r="K215" s="17" t="s">
        <v>167</v>
      </c>
      <c r="L215" s="17" t="s">
        <v>39</v>
      </c>
      <c r="M215" s="34">
        <v>45434</v>
      </c>
      <c r="N215" s="40" t="s">
        <v>497</v>
      </c>
      <c r="O215" s="96" t="s">
        <v>2</v>
      </c>
      <c r="P215" s="20" t="s">
        <v>155</v>
      </c>
      <c r="Q215" s="21" t="s">
        <v>230</v>
      </c>
      <c r="R215" s="167" t="s">
        <v>498</v>
      </c>
      <c r="S215" s="20" t="s">
        <v>281</v>
      </c>
      <c r="T215" s="20" t="s">
        <v>282</v>
      </c>
      <c r="U215" s="41">
        <v>45546</v>
      </c>
      <c r="V215" s="41">
        <v>45576</v>
      </c>
      <c r="W215" s="20">
        <f t="shared" ca="1" si="27"/>
        <v>-509</v>
      </c>
      <c r="X215" s="20" t="str">
        <f t="shared" ca="1" si="28"/>
        <v>Vencido</v>
      </c>
    </row>
    <row r="216" spans="1:24" customFormat="1" ht="50.1" customHeight="1">
      <c r="A216" s="12" t="s">
        <v>189</v>
      </c>
      <c r="B216" s="21" t="s">
        <v>499</v>
      </c>
      <c r="C216" s="22">
        <v>7289271</v>
      </c>
      <c r="D216" s="24">
        <v>2</v>
      </c>
      <c r="E216" s="24">
        <v>71</v>
      </c>
      <c r="F216" s="17" t="s">
        <v>43</v>
      </c>
      <c r="G216" s="17" t="s">
        <v>26</v>
      </c>
      <c r="H216" s="17" t="s">
        <v>316</v>
      </c>
      <c r="I216" s="17">
        <v>2020</v>
      </c>
      <c r="J216" s="34">
        <v>44601</v>
      </c>
      <c r="K216" s="17" t="s">
        <v>27</v>
      </c>
      <c r="L216" s="17" t="s">
        <v>28</v>
      </c>
      <c r="M216" s="34">
        <v>44669</v>
      </c>
      <c r="N216" s="21" t="s">
        <v>435</v>
      </c>
      <c r="O216" s="16" t="s">
        <v>64</v>
      </c>
      <c r="P216" s="20" t="s">
        <v>34</v>
      </c>
      <c r="Q216" s="21" t="s">
        <v>469</v>
      </c>
      <c r="R216" s="21" t="s">
        <v>500</v>
      </c>
      <c r="S216" s="20" t="s">
        <v>289</v>
      </c>
      <c r="T216" s="20" t="s">
        <v>299</v>
      </c>
      <c r="U216" s="41">
        <v>45539</v>
      </c>
      <c r="V216" s="41">
        <v>45569</v>
      </c>
      <c r="W216" s="11">
        <f t="shared" ca="1" si="27"/>
        <v>-516</v>
      </c>
      <c r="X216" s="11" t="str">
        <f t="shared" ca="1" si="28"/>
        <v>Vencido</v>
      </c>
    </row>
    <row r="217" spans="1:24" customFormat="1" ht="50.1" customHeight="1">
      <c r="A217" s="12" t="s">
        <v>65</v>
      </c>
      <c r="B217" s="12" t="s">
        <v>501</v>
      </c>
      <c r="C217" s="13">
        <v>5680853</v>
      </c>
      <c r="D217" s="15">
        <v>1</v>
      </c>
      <c r="E217" s="15">
        <v>77</v>
      </c>
      <c r="F217" s="16" t="s">
        <v>25</v>
      </c>
      <c r="G217" s="16" t="s">
        <v>258</v>
      </c>
      <c r="H217" s="17" t="s">
        <v>316</v>
      </c>
      <c r="I217" s="16">
        <v>2024</v>
      </c>
      <c r="J217" s="32">
        <v>45469</v>
      </c>
      <c r="K217" s="16" t="s">
        <v>68</v>
      </c>
      <c r="L217" s="16" t="s">
        <v>174</v>
      </c>
      <c r="M217" s="33">
        <v>45532</v>
      </c>
      <c r="N217" s="28" t="s">
        <v>301</v>
      </c>
      <c r="O217" s="16" t="s">
        <v>64</v>
      </c>
      <c r="P217" s="11" t="s">
        <v>158</v>
      </c>
      <c r="Q217" s="12" t="s">
        <v>31</v>
      </c>
      <c r="R217" s="12" t="s">
        <v>502</v>
      </c>
      <c r="S217" s="11" t="s">
        <v>289</v>
      </c>
      <c r="T217" s="11" t="s">
        <v>282</v>
      </c>
      <c r="U217" s="33">
        <v>45534</v>
      </c>
      <c r="V217" s="33">
        <v>45565</v>
      </c>
      <c r="W217" s="11">
        <f t="shared" ca="1" si="27"/>
        <v>-520</v>
      </c>
      <c r="X217" s="11" t="str">
        <f t="shared" ca="1" si="28"/>
        <v>Vencido</v>
      </c>
    </row>
    <row r="218" spans="1:24" customFormat="1" ht="50.1" customHeight="1">
      <c r="A218" s="12" t="s">
        <v>65</v>
      </c>
      <c r="B218" s="21" t="s">
        <v>503</v>
      </c>
      <c r="C218" s="22">
        <v>8928471</v>
      </c>
      <c r="D218" s="24">
        <v>6</v>
      </c>
      <c r="E218" s="24"/>
      <c r="F218" s="17" t="s">
        <v>25</v>
      </c>
      <c r="G218" s="17" t="s">
        <v>88</v>
      </c>
      <c r="H218" s="17" t="s">
        <v>316</v>
      </c>
      <c r="I218" s="17">
        <v>2024</v>
      </c>
      <c r="J218" s="17" t="s">
        <v>183</v>
      </c>
      <c r="K218" s="17" t="s">
        <v>68</v>
      </c>
      <c r="L218" s="17" t="s">
        <v>39</v>
      </c>
      <c r="M218" s="34">
        <v>45462</v>
      </c>
      <c r="N218" s="21" t="s">
        <v>504</v>
      </c>
      <c r="O218" s="96" t="s">
        <v>2</v>
      </c>
      <c r="P218" s="20" t="s">
        <v>158</v>
      </c>
      <c r="Q218" s="21" t="s">
        <v>31</v>
      </c>
      <c r="R218" s="21" t="s">
        <v>505</v>
      </c>
      <c r="S218" s="20" t="s">
        <v>289</v>
      </c>
      <c r="T218" s="20" t="s">
        <v>294</v>
      </c>
      <c r="U218" s="41">
        <v>45470</v>
      </c>
      <c r="V218" s="41">
        <v>45500</v>
      </c>
      <c r="W218" s="11">
        <f t="shared" ca="1" si="27"/>
        <v>-585</v>
      </c>
      <c r="X218" s="11" t="str">
        <f t="shared" ca="1" si="28"/>
        <v>Vencido</v>
      </c>
    </row>
    <row r="219" spans="1:24" customFormat="1" ht="50.1" customHeight="1">
      <c r="A219" s="12" t="s">
        <v>189</v>
      </c>
      <c r="B219" s="21" t="s">
        <v>506</v>
      </c>
      <c r="C219" s="22">
        <v>9342510</v>
      </c>
      <c r="D219" s="24">
        <v>3</v>
      </c>
      <c r="E219" s="24"/>
      <c r="F219" s="17" t="s">
        <v>57</v>
      </c>
      <c r="G219" s="17" t="s">
        <v>60</v>
      </c>
      <c r="H219" s="17" t="s">
        <v>316</v>
      </c>
      <c r="I219" s="17">
        <v>2023</v>
      </c>
      <c r="J219" s="34">
        <v>45134</v>
      </c>
      <c r="K219" s="17" t="s">
        <v>27</v>
      </c>
      <c r="L219" s="17" t="s">
        <v>39</v>
      </c>
      <c r="M219" s="34">
        <v>45154</v>
      </c>
      <c r="N219" s="21" t="s">
        <v>507</v>
      </c>
      <c r="O219" s="96" t="s">
        <v>2</v>
      </c>
      <c r="P219" s="20" t="s">
        <v>34</v>
      </c>
      <c r="Q219" s="21" t="s">
        <v>31</v>
      </c>
      <c r="R219" s="65" t="s">
        <v>508</v>
      </c>
      <c r="S219" s="20"/>
      <c r="T219" s="20" t="s">
        <v>286</v>
      </c>
      <c r="U219" s="41">
        <v>45155</v>
      </c>
      <c r="V219" s="41"/>
      <c r="W219" s="11">
        <f t="shared" ca="1" si="27"/>
        <v>-46085</v>
      </c>
      <c r="X219" s="11" t="str">
        <f t="shared" ca="1" si="28"/>
        <v>Vencido</v>
      </c>
    </row>
    <row r="220" spans="1:24" customFormat="1" ht="50.1" customHeight="1">
      <c r="A220" s="12" t="s">
        <v>189</v>
      </c>
      <c r="B220" s="12" t="s">
        <v>509</v>
      </c>
      <c r="C220" s="13">
        <v>5450135</v>
      </c>
      <c r="D220" s="15">
        <v>8</v>
      </c>
      <c r="E220" s="15">
        <v>75</v>
      </c>
      <c r="F220" s="16" t="s">
        <v>25</v>
      </c>
      <c r="G220" s="16" t="s">
        <v>60</v>
      </c>
      <c r="H220" s="17" t="s">
        <v>316</v>
      </c>
      <c r="I220" s="16">
        <v>2025</v>
      </c>
      <c r="J220" s="32">
        <v>45681</v>
      </c>
      <c r="K220" s="16" t="s">
        <v>172</v>
      </c>
      <c r="L220" s="16" t="s">
        <v>246</v>
      </c>
      <c r="M220" s="11" t="s">
        <v>185</v>
      </c>
      <c r="N220" s="28" t="s">
        <v>185</v>
      </c>
      <c r="O220" s="16" t="s">
        <v>64</v>
      </c>
      <c r="P220" s="11" t="s">
        <v>158</v>
      </c>
      <c r="Q220" s="12" t="s">
        <v>31</v>
      </c>
      <c r="R220" s="12" t="s">
        <v>510</v>
      </c>
      <c r="S220" s="11" t="s">
        <v>289</v>
      </c>
      <c r="T220" s="11" t="s">
        <v>282</v>
      </c>
      <c r="U220" s="33">
        <v>45848</v>
      </c>
      <c r="V220" s="33">
        <v>45879</v>
      </c>
      <c r="W220" s="11">
        <f t="shared" ca="1" si="27"/>
        <v>-206</v>
      </c>
      <c r="X220" s="11" t="str">
        <f t="shared" ca="1" si="28"/>
        <v>Vencido</v>
      </c>
    </row>
    <row r="221" spans="1:24" customFormat="1" ht="50.1" customHeight="1">
      <c r="A221" s="12" t="s">
        <v>189</v>
      </c>
      <c r="B221" s="26" t="s">
        <v>511</v>
      </c>
      <c r="C221" s="11">
        <v>4965138</v>
      </c>
      <c r="D221" s="11">
        <v>4</v>
      </c>
      <c r="E221" s="15">
        <v>81</v>
      </c>
      <c r="F221" s="16" t="s">
        <v>33</v>
      </c>
      <c r="G221" s="16" t="s">
        <v>77</v>
      </c>
      <c r="H221" s="17" t="s">
        <v>316</v>
      </c>
      <c r="I221" s="16">
        <v>2025</v>
      </c>
      <c r="J221" s="33">
        <v>45749</v>
      </c>
      <c r="K221" s="11" t="s">
        <v>68</v>
      </c>
      <c r="L221" s="16" t="s">
        <v>267</v>
      </c>
      <c r="M221" s="35"/>
      <c r="N221" s="37"/>
      <c r="O221" s="16" t="s">
        <v>64</v>
      </c>
      <c r="P221" s="35"/>
      <c r="Q221" s="37" t="s">
        <v>469</v>
      </c>
      <c r="R221" s="37" t="s">
        <v>512</v>
      </c>
      <c r="S221" s="35"/>
      <c r="T221" s="35"/>
      <c r="U221" s="35"/>
      <c r="V221" s="35"/>
      <c r="W221" s="11">
        <f t="shared" ca="1" si="27"/>
        <v>-46085</v>
      </c>
      <c r="X221" s="11" t="str">
        <f t="shared" ca="1" si="28"/>
        <v>Vencido</v>
      </c>
    </row>
    <row r="222" spans="1:24" s="3" customFormat="1" ht="50.1" customHeight="1">
      <c r="A222" s="12" t="s">
        <v>189</v>
      </c>
      <c r="B222" s="12" t="s">
        <v>513</v>
      </c>
      <c r="C222" s="11">
        <v>4249337</v>
      </c>
      <c r="D222" s="11">
        <v>6</v>
      </c>
      <c r="E222" s="15">
        <v>85</v>
      </c>
      <c r="F222" s="11" t="s">
        <v>255</v>
      </c>
      <c r="G222" s="16" t="s">
        <v>77</v>
      </c>
      <c r="H222" s="17" t="s">
        <v>316</v>
      </c>
      <c r="I222" s="16">
        <v>2025</v>
      </c>
      <c r="J222" s="33">
        <v>45750</v>
      </c>
      <c r="K222" s="11" t="s">
        <v>68</v>
      </c>
      <c r="L222" s="16" t="s">
        <v>267</v>
      </c>
      <c r="M222" s="11"/>
      <c r="N222" s="12"/>
      <c r="O222" s="16" t="s">
        <v>64</v>
      </c>
      <c r="P222" s="11"/>
      <c r="Q222" s="12" t="s">
        <v>31</v>
      </c>
      <c r="R222" s="37" t="s">
        <v>512</v>
      </c>
      <c r="S222" s="11"/>
      <c r="T222" s="11"/>
      <c r="U222" s="11"/>
      <c r="V222" s="11"/>
      <c r="W222" s="11">
        <f t="shared" ca="1" si="27"/>
        <v>-46085</v>
      </c>
      <c r="X222" s="11" t="str">
        <f t="shared" ca="1" si="28"/>
        <v>Vencido</v>
      </c>
    </row>
    <row r="223" spans="1:24" customFormat="1" ht="50.1" customHeight="1">
      <c r="A223" s="12" t="s">
        <v>189</v>
      </c>
      <c r="B223" s="37" t="s">
        <v>514</v>
      </c>
      <c r="C223" s="35">
        <v>6473807</v>
      </c>
      <c r="D223" s="35">
        <v>0</v>
      </c>
      <c r="E223" s="61">
        <v>74</v>
      </c>
      <c r="F223" s="35" t="s">
        <v>25</v>
      </c>
      <c r="G223" s="35" t="s">
        <v>77</v>
      </c>
      <c r="H223" s="17" t="s">
        <v>316</v>
      </c>
      <c r="I223" s="35"/>
      <c r="J223" s="35"/>
      <c r="K223" s="35" t="s">
        <v>68</v>
      </c>
      <c r="L223" s="35" t="s">
        <v>246</v>
      </c>
      <c r="M223" s="35" t="s">
        <v>515</v>
      </c>
      <c r="N223" s="37" t="s">
        <v>516</v>
      </c>
      <c r="O223" s="16" t="s">
        <v>64</v>
      </c>
      <c r="P223" s="35" t="s">
        <v>158</v>
      </c>
      <c r="Q223" s="37" t="s">
        <v>228</v>
      </c>
      <c r="R223" s="37" t="s">
        <v>517</v>
      </c>
      <c r="S223" s="35" t="s">
        <v>289</v>
      </c>
      <c r="T223" s="35" t="s">
        <v>518</v>
      </c>
      <c r="U223" s="35" t="s">
        <v>515</v>
      </c>
      <c r="V223" s="35" t="s">
        <v>519</v>
      </c>
      <c r="W223" s="11" t="e">
        <f t="shared" ca="1" si="27"/>
        <v>#VALUE!</v>
      </c>
      <c r="X223" s="11" t="e">
        <f t="shared" ca="1" si="28"/>
        <v>#VALUE!</v>
      </c>
    </row>
    <row r="224" spans="1:24" customFormat="1" ht="50.1" customHeight="1">
      <c r="A224" s="12" t="s">
        <v>65</v>
      </c>
      <c r="B224" s="37" t="s">
        <v>520</v>
      </c>
      <c r="C224" s="35">
        <v>11162660</v>
      </c>
      <c r="D224" s="35" t="s">
        <v>93</v>
      </c>
      <c r="E224" s="61">
        <v>57</v>
      </c>
      <c r="F224" s="16" t="s">
        <v>25</v>
      </c>
      <c r="G224" s="35" t="s">
        <v>86</v>
      </c>
      <c r="H224" s="17" t="s">
        <v>316</v>
      </c>
      <c r="I224" s="35" t="s">
        <v>179</v>
      </c>
      <c r="J224" s="35" t="s">
        <v>480</v>
      </c>
      <c r="K224" s="35" t="s">
        <v>68</v>
      </c>
      <c r="L224" s="35" t="s">
        <v>162</v>
      </c>
      <c r="M224" s="36">
        <v>45812</v>
      </c>
      <c r="N224" s="37" t="s">
        <v>317</v>
      </c>
      <c r="O224" s="16" t="s">
        <v>64</v>
      </c>
      <c r="P224" s="11" t="s">
        <v>158</v>
      </c>
      <c r="Q224" s="37" t="s">
        <v>31</v>
      </c>
      <c r="R224" s="37" t="s">
        <v>317</v>
      </c>
      <c r="S224" s="35" t="s">
        <v>293</v>
      </c>
      <c r="T224" s="35" t="s">
        <v>282</v>
      </c>
      <c r="U224" s="36">
        <v>45833</v>
      </c>
      <c r="V224" s="36">
        <v>45925</v>
      </c>
      <c r="W224" s="11">
        <f t="shared" ca="1" si="27"/>
        <v>-160</v>
      </c>
      <c r="X224" s="11" t="str">
        <f t="shared" ca="1" si="28"/>
        <v>Vencido</v>
      </c>
    </row>
    <row r="225" spans="1:24" customFormat="1" ht="50.1" customHeight="1">
      <c r="A225" s="12" t="s">
        <v>189</v>
      </c>
      <c r="B225" s="37" t="s">
        <v>521</v>
      </c>
      <c r="C225" s="35">
        <v>12397652</v>
      </c>
      <c r="D225" s="35">
        <v>5</v>
      </c>
      <c r="E225" s="61">
        <v>51</v>
      </c>
      <c r="F225" s="35" t="s">
        <v>70</v>
      </c>
      <c r="G225" s="62" t="s">
        <v>60</v>
      </c>
      <c r="H225" s="17" t="s">
        <v>316</v>
      </c>
      <c r="I225" s="35">
        <v>2025</v>
      </c>
      <c r="J225" s="36">
        <v>45776</v>
      </c>
      <c r="K225" s="35" t="s">
        <v>68</v>
      </c>
      <c r="L225" s="36" t="s">
        <v>174</v>
      </c>
      <c r="M225" s="36">
        <v>45826</v>
      </c>
      <c r="N225" s="37" t="s">
        <v>522</v>
      </c>
      <c r="O225" s="96" t="s">
        <v>2</v>
      </c>
      <c r="P225" s="35" t="s">
        <v>158</v>
      </c>
      <c r="Q225" s="37" t="s">
        <v>469</v>
      </c>
      <c r="R225" s="37" t="s">
        <v>523</v>
      </c>
      <c r="S225" s="35" t="s">
        <v>289</v>
      </c>
      <c r="T225" s="35" t="s">
        <v>282</v>
      </c>
      <c r="U225" s="36">
        <v>45833</v>
      </c>
      <c r="V225" s="36">
        <v>45863</v>
      </c>
      <c r="W225" s="11">
        <f t="shared" ca="1" si="27"/>
        <v>-222</v>
      </c>
      <c r="X225" s="11" t="str">
        <f t="shared" ca="1" si="28"/>
        <v>Vencido</v>
      </c>
    </row>
    <row r="226" spans="1:24" customFormat="1" ht="50.1" customHeight="1">
      <c r="A226" s="12" t="s">
        <v>189</v>
      </c>
      <c r="B226" s="37" t="s">
        <v>524</v>
      </c>
      <c r="C226" s="35">
        <v>6853480</v>
      </c>
      <c r="D226" s="35">
        <v>1</v>
      </c>
      <c r="E226" s="61">
        <v>72</v>
      </c>
      <c r="F226" s="35" t="s">
        <v>25</v>
      </c>
      <c r="G226" s="35" t="s">
        <v>60</v>
      </c>
      <c r="H226" s="17" t="s">
        <v>316</v>
      </c>
      <c r="I226" s="35">
        <v>2025</v>
      </c>
      <c r="J226" s="36">
        <v>45936</v>
      </c>
      <c r="K226" s="35" t="s">
        <v>27</v>
      </c>
      <c r="L226" s="35" t="s">
        <v>274</v>
      </c>
      <c r="M226" s="36">
        <v>45826</v>
      </c>
      <c r="N226" s="37" t="s">
        <v>367</v>
      </c>
      <c r="O226" s="16" t="s">
        <v>64</v>
      </c>
      <c r="P226" s="35"/>
      <c r="Q226" s="37" t="s">
        <v>31</v>
      </c>
      <c r="R226" s="37" t="s">
        <v>317</v>
      </c>
      <c r="S226" s="35" t="s">
        <v>293</v>
      </c>
      <c r="T226" s="35" t="s">
        <v>282</v>
      </c>
      <c r="U226" s="36">
        <v>45833</v>
      </c>
      <c r="V226" s="36">
        <v>45925</v>
      </c>
      <c r="W226" s="11">
        <f t="shared" ca="1" si="27"/>
        <v>-160</v>
      </c>
      <c r="X226" s="11" t="str">
        <f t="shared" ca="1" si="28"/>
        <v>Vencido</v>
      </c>
    </row>
    <row r="227" spans="1:24" customFormat="1" ht="50.1" customHeight="1">
      <c r="A227" s="12" t="s">
        <v>65</v>
      </c>
      <c r="B227" s="37" t="s">
        <v>525</v>
      </c>
      <c r="C227" s="35">
        <v>4975257</v>
      </c>
      <c r="D227" s="35">
        <v>1</v>
      </c>
      <c r="E227" s="61">
        <v>79</v>
      </c>
      <c r="F227" s="35" t="s">
        <v>526</v>
      </c>
      <c r="G227" s="62" t="s">
        <v>67</v>
      </c>
      <c r="H227" s="17" t="s">
        <v>316</v>
      </c>
      <c r="I227" s="35">
        <v>2025</v>
      </c>
      <c r="J227" s="36">
        <v>45888</v>
      </c>
      <c r="K227" s="35"/>
      <c r="L227" s="35" t="s">
        <v>149</v>
      </c>
      <c r="M227" s="35"/>
      <c r="N227" s="37"/>
      <c r="O227" s="16" t="s">
        <v>64</v>
      </c>
      <c r="P227" s="35"/>
      <c r="Q227" s="37" t="s">
        <v>469</v>
      </c>
      <c r="R227" s="37"/>
      <c r="S227" s="35"/>
      <c r="T227" s="35"/>
      <c r="U227" s="35"/>
      <c r="V227" s="35"/>
      <c r="W227" s="11">
        <f t="shared" ref="W227:W232" ca="1" si="29">V227-TODAY()</f>
        <v>-46085</v>
      </c>
      <c r="X227" s="11" t="str">
        <f t="shared" ref="X227:X232" ca="1" si="30">IF(W227&gt;=20,"Vigente",IF(AND(W227&gt;=1,W227&lt;=20),"Por Vencer","Vencido"))</f>
        <v>Vencido</v>
      </c>
    </row>
    <row r="228" spans="1:24" customFormat="1" ht="50.1" customHeight="1">
      <c r="A228" s="12" t="s">
        <v>189</v>
      </c>
      <c r="B228" s="12" t="s">
        <v>527</v>
      </c>
      <c r="C228" s="56">
        <v>8192015</v>
      </c>
      <c r="D228" s="15" t="s">
        <v>93</v>
      </c>
      <c r="E228" s="15">
        <v>69</v>
      </c>
      <c r="F228" s="16" t="s">
        <v>70</v>
      </c>
      <c r="G228" s="16" t="s">
        <v>60</v>
      </c>
      <c r="H228" s="17" t="s">
        <v>316</v>
      </c>
      <c r="I228" s="16">
        <v>2022</v>
      </c>
      <c r="J228" s="32">
        <v>44871</v>
      </c>
      <c r="K228" s="16" t="s">
        <v>68</v>
      </c>
      <c r="L228" s="16" t="s">
        <v>28</v>
      </c>
      <c r="M228" s="32">
        <v>44161</v>
      </c>
      <c r="N228" s="28" t="s">
        <v>528</v>
      </c>
      <c r="O228" s="16" t="s">
        <v>64</v>
      </c>
      <c r="P228" s="11" t="s">
        <v>158</v>
      </c>
      <c r="Q228" s="12" t="s">
        <v>230</v>
      </c>
      <c r="R228" s="21" t="s">
        <v>529</v>
      </c>
      <c r="S228" s="11" t="s">
        <v>289</v>
      </c>
      <c r="T228" s="11" t="s">
        <v>530</v>
      </c>
      <c r="U228" s="33" t="s">
        <v>531</v>
      </c>
      <c r="V228" s="33">
        <v>45828</v>
      </c>
      <c r="W228" s="11">
        <f t="shared" ca="1" si="29"/>
        <v>-257</v>
      </c>
      <c r="X228" s="11" t="str">
        <f t="shared" ca="1" si="30"/>
        <v>Vencido</v>
      </c>
    </row>
    <row r="229" spans="1:24" customFormat="1" ht="50.1" customHeight="1">
      <c r="A229" s="12" t="s">
        <v>65</v>
      </c>
      <c r="B229" s="12" t="s">
        <v>532</v>
      </c>
      <c r="C229" s="13">
        <v>7482557</v>
      </c>
      <c r="D229" s="15">
        <v>5</v>
      </c>
      <c r="E229" s="15">
        <v>70</v>
      </c>
      <c r="F229" s="16" t="s">
        <v>33</v>
      </c>
      <c r="G229" s="16" t="s">
        <v>67</v>
      </c>
      <c r="H229" s="17" t="s">
        <v>316</v>
      </c>
      <c r="I229" s="16">
        <v>2022</v>
      </c>
      <c r="J229" s="32">
        <v>44595</v>
      </c>
      <c r="K229" s="16" t="s">
        <v>27</v>
      </c>
      <c r="L229" s="16" t="s">
        <v>274</v>
      </c>
      <c r="M229" s="32">
        <v>45874</v>
      </c>
      <c r="N229" s="12" t="s">
        <v>301</v>
      </c>
      <c r="O229" s="16" t="s">
        <v>64</v>
      </c>
      <c r="P229" s="11" t="s">
        <v>158</v>
      </c>
      <c r="Q229" s="12" t="s">
        <v>31</v>
      </c>
      <c r="R229" s="12" t="s">
        <v>367</v>
      </c>
      <c r="S229" s="33" t="s">
        <v>293</v>
      </c>
      <c r="T229" s="11" t="s">
        <v>294</v>
      </c>
      <c r="U229" s="33">
        <v>45897</v>
      </c>
      <c r="V229" s="33">
        <v>46019</v>
      </c>
      <c r="W229" s="11">
        <f t="shared" ca="1" si="29"/>
        <v>-66</v>
      </c>
      <c r="X229" s="11" t="str">
        <f t="shared" ca="1" si="30"/>
        <v>Vencido</v>
      </c>
    </row>
    <row r="230" spans="1:24" customFormat="1" ht="50.1" customHeight="1">
      <c r="A230" s="12" t="s">
        <v>189</v>
      </c>
      <c r="B230" s="12" t="s">
        <v>533</v>
      </c>
      <c r="C230" s="13">
        <v>8744185</v>
      </c>
      <c r="D230" s="15">
        <v>7</v>
      </c>
      <c r="E230" s="15">
        <v>65</v>
      </c>
      <c r="F230" s="16" t="s">
        <v>70</v>
      </c>
      <c r="G230" s="16" t="s">
        <v>60</v>
      </c>
      <c r="H230" s="17" t="s">
        <v>316</v>
      </c>
      <c r="I230" s="16">
        <v>2023</v>
      </c>
      <c r="J230" s="32">
        <v>45133</v>
      </c>
      <c r="K230" s="16" t="s">
        <v>27</v>
      </c>
      <c r="L230" s="16" t="s">
        <v>39</v>
      </c>
      <c r="M230" s="32">
        <v>45518</v>
      </c>
      <c r="N230" s="28" t="s">
        <v>534</v>
      </c>
      <c r="O230" s="96" t="s">
        <v>2</v>
      </c>
      <c r="P230" s="11" t="s">
        <v>158</v>
      </c>
      <c r="Q230" s="12" t="s">
        <v>31</v>
      </c>
      <c r="R230" s="21" t="s">
        <v>535</v>
      </c>
      <c r="S230" s="11" t="s">
        <v>281</v>
      </c>
      <c r="T230" s="11" t="s">
        <v>294</v>
      </c>
      <c r="U230" s="33">
        <v>45751</v>
      </c>
      <c r="V230" s="33">
        <v>45812</v>
      </c>
      <c r="W230" s="11">
        <f t="shared" ca="1" si="29"/>
        <v>-273</v>
      </c>
      <c r="X230" s="11" t="str">
        <f t="shared" ca="1" si="30"/>
        <v>Vencido</v>
      </c>
    </row>
    <row r="231" spans="1:24" customFormat="1" ht="50.1" customHeight="1">
      <c r="A231" s="12" t="s">
        <v>65</v>
      </c>
      <c r="B231" s="37" t="s">
        <v>536</v>
      </c>
      <c r="C231" s="35">
        <v>4056803</v>
      </c>
      <c r="D231" s="35">
        <v>4</v>
      </c>
      <c r="E231" s="61">
        <v>88</v>
      </c>
      <c r="F231" s="35" t="s">
        <v>537</v>
      </c>
      <c r="G231" s="35" t="s">
        <v>538</v>
      </c>
      <c r="H231" s="17" t="s">
        <v>316</v>
      </c>
      <c r="I231" s="35" t="s">
        <v>179</v>
      </c>
      <c r="J231" s="35" t="s">
        <v>480</v>
      </c>
      <c r="K231" s="35" t="s">
        <v>68</v>
      </c>
      <c r="L231" s="35" t="s">
        <v>149</v>
      </c>
      <c r="M231" s="35"/>
      <c r="N231" s="37"/>
      <c r="O231" s="16" t="s">
        <v>64</v>
      </c>
      <c r="P231" s="35"/>
      <c r="Q231" s="37" t="s">
        <v>31</v>
      </c>
      <c r="R231" s="37" t="s">
        <v>539</v>
      </c>
      <c r="S231" s="35" t="s">
        <v>289</v>
      </c>
      <c r="T231" s="35" t="s">
        <v>540</v>
      </c>
      <c r="U231" s="36">
        <v>45967</v>
      </c>
      <c r="V231" s="36">
        <v>46332</v>
      </c>
      <c r="W231" s="11">
        <f t="shared" ca="1" si="29"/>
        <v>247</v>
      </c>
      <c r="X231" s="11" t="str">
        <f t="shared" ca="1" si="30"/>
        <v>Vigente</v>
      </c>
    </row>
    <row r="232" spans="1:24" customFormat="1" ht="50.1" customHeight="1">
      <c r="A232" s="12" t="s">
        <v>65</v>
      </c>
      <c r="B232" s="37" t="s">
        <v>541</v>
      </c>
      <c r="C232" s="35">
        <v>22784570</v>
      </c>
      <c r="D232" s="35">
        <v>8</v>
      </c>
      <c r="E232" s="61">
        <v>17</v>
      </c>
      <c r="F232" s="35" t="s">
        <v>25</v>
      </c>
      <c r="G232" s="35" t="s">
        <v>542</v>
      </c>
      <c r="H232" s="17" t="s">
        <v>316</v>
      </c>
      <c r="I232" s="35" t="s">
        <v>179</v>
      </c>
      <c r="J232" s="35" t="s">
        <v>480</v>
      </c>
      <c r="K232" s="35" t="s">
        <v>172</v>
      </c>
      <c r="L232" s="35" t="s">
        <v>331</v>
      </c>
      <c r="M232" s="36">
        <v>45938</v>
      </c>
      <c r="N232" s="4" t="s">
        <v>543</v>
      </c>
      <c r="O232" s="16" t="s">
        <v>64</v>
      </c>
      <c r="P232" s="35" t="s">
        <v>158</v>
      </c>
      <c r="Q232" s="173" t="s">
        <v>544</v>
      </c>
      <c r="R232" s="4" t="s">
        <v>545</v>
      </c>
      <c r="S232" s="35" t="s">
        <v>289</v>
      </c>
      <c r="T232" s="35" t="s">
        <v>294</v>
      </c>
      <c r="U232" s="36">
        <v>45938</v>
      </c>
      <c r="V232" s="36">
        <v>45969</v>
      </c>
      <c r="W232" s="11">
        <f t="shared" ca="1" si="29"/>
        <v>-116</v>
      </c>
      <c r="X232" s="11" t="str">
        <f t="shared" ca="1" si="30"/>
        <v>Vencido</v>
      </c>
    </row>
    <row r="233" spans="1:24" ht="40.5" customHeight="1">
      <c r="A233" s="12" t="s">
        <v>189</v>
      </c>
      <c r="B233" s="12" t="s">
        <v>546</v>
      </c>
      <c r="C233" s="13">
        <v>15042980</v>
      </c>
      <c r="D233" s="14">
        <v>3</v>
      </c>
      <c r="E233" s="15">
        <v>41</v>
      </c>
      <c r="F233" s="16" t="s">
        <v>475</v>
      </c>
      <c r="G233" s="16" t="s">
        <v>60</v>
      </c>
      <c r="H233" s="17" t="s">
        <v>316</v>
      </c>
      <c r="I233" s="16">
        <v>2025</v>
      </c>
      <c r="J233" s="32">
        <v>45702</v>
      </c>
      <c r="K233" s="16" t="s">
        <v>68</v>
      </c>
      <c r="L233" s="16" t="s">
        <v>246</v>
      </c>
      <c r="M233" s="33">
        <v>45882</v>
      </c>
      <c r="N233" s="171" t="s">
        <v>547</v>
      </c>
      <c r="O233" s="96" t="s">
        <v>2</v>
      </c>
      <c r="P233" s="11"/>
      <c r="Q233" s="12" t="s">
        <v>228</v>
      </c>
      <c r="R233" s="172" t="s">
        <v>548</v>
      </c>
      <c r="S233" s="175" t="s">
        <v>281</v>
      </c>
      <c r="T233" s="11" t="s">
        <v>282</v>
      </c>
      <c r="U233" s="33">
        <v>45896</v>
      </c>
      <c r="V233" s="33">
        <v>45957</v>
      </c>
      <c r="W233" s="11">
        <f ca="1">V233-TODAY()</f>
        <v>-128</v>
      </c>
      <c r="X233" s="11" t="str">
        <f ca="1">IF(W233&gt;=20,"Vigente",IF(AND(W233&gt;=1,W233&lt;=20),"Por Vencer","Vencido"))</f>
        <v>Vencido</v>
      </c>
    </row>
    <row r="234" spans="1:24" ht="40.5" customHeight="1">
      <c r="A234" s="12" t="s">
        <v>65</v>
      </c>
      <c r="B234" s="173" t="s">
        <v>549</v>
      </c>
      <c r="C234" s="35">
        <v>3659853</v>
      </c>
      <c r="D234" s="35">
        <v>0</v>
      </c>
      <c r="E234" s="61">
        <v>87</v>
      </c>
      <c r="F234" s="178" t="s">
        <v>25</v>
      </c>
      <c r="G234" s="178" t="s">
        <v>258</v>
      </c>
      <c r="H234" s="17" t="s">
        <v>316</v>
      </c>
      <c r="I234" s="178" t="s">
        <v>179</v>
      </c>
      <c r="J234" s="178" t="s">
        <v>480</v>
      </c>
      <c r="K234" s="178" t="s">
        <v>68</v>
      </c>
      <c r="L234" s="178" t="s">
        <v>274</v>
      </c>
      <c r="M234" s="36">
        <v>45987</v>
      </c>
      <c r="N234" s="173" t="s">
        <v>550</v>
      </c>
      <c r="O234" s="16" t="s">
        <v>64</v>
      </c>
      <c r="P234" s="35"/>
      <c r="Q234" s="37" t="s">
        <v>230</v>
      </c>
      <c r="R234" s="173" t="s">
        <v>317</v>
      </c>
      <c r="S234" s="178" t="s">
        <v>293</v>
      </c>
      <c r="T234" s="178" t="s">
        <v>282</v>
      </c>
      <c r="U234" s="36">
        <v>45987</v>
      </c>
      <c r="V234" s="36">
        <v>46079</v>
      </c>
      <c r="W234" s="35">
        <f ca="1">V234-TODAY()</f>
        <v>-6</v>
      </c>
      <c r="X234" s="11" t="str">
        <f ca="1">IF(W234&gt;=20,"Vigente",IF(AND(W234&gt;=1,W234&lt;=20),"Por Vencer","Vencido"))</f>
        <v>Vencido</v>
      </c>
    </row>
    <row r="235" spans="1:24" ht="40.5" customHeight="1">
      <c r="A235" s="12" t="s">
        <v>189</v>
      </c>
      <c r="B235" s="173" t="s">
        <v>551</v>
      </c>
      <c r="C235" s="35">
        <v>11512662</v>
      </c>
      <c r="D235" s="35">
        <v>8</v>
      </c>
      <c r="E235" s="61">
        <v>55</v>
      </c>
      <c r="F235" s="35" t="s">
        <v>537</v>
      </c>
      <c r="G235" s="35" t="s">
        <v>60</v>
      </c>
      <c r="H235" s="17" t="s">
        <v>316</v>
      </c>
      <c r="I235" s="35">
        <v>2025</v>
      </c>
      <c r="J235" s="36">
        <v>45971</v>
      </c>
      <c r="K235" s="35" t="s">
        <v>68</v>
      </c>
      <c r="L235" s="35" t="s">
        <v>149</v>
      </c>
      <c r="M235" s="35"/>
      <c r="N235" s="37"/>
      <c r="O235" s="16" t="s">
        <v>64</v>
      </c>
      <c r="P235" s="35"/>
      <c r="Q235" s="37" t="s">
        <v>228</v>
      </c>
      <c r="R235" s="37" t="s">
        <v>552</v>
      </c>
      <c r="S235" s="35" t="s">
        <v>289</v>
      </c>
      <c r="T235" s="35" t="s">
        <v>553</v>
      </c>
      <c r="U235" s="36">
        <v>45980</v>
      </c>
      <c r="V235" s="36">
        <v>46010</v>
      </c>
      <c r="W235" s="11">
        <f ca="1">V235-TODAY()</f>
        <v>-75</v>
      </c>
      <c r="X235" s="11" t="str">
        <f ca="1">IF(W235&gt;=20,"Vigente",IF(AND(W235&gt;=1,W235&lt;=20),"Por Vencer","Vencido"))</f>
        <v>Vencido</v>
      </c>
    </row>
  </sheetData>
  <autoFilter ref="A4:P204" xr:uid="{00000000-0009-0000-0000-000001000000}"/>
  <conditionalFormatting sqref="A89:A232">
    <cfRule type="containsText" dxfId="334" priority="33" operator="containsText" text="NO GES">
      <formula>NOT(ISERROR(SEARCH("NO GES",A89)))</formula>
    </cfRule>
  </conditionalFormatting>
  <conditionalFormatting sqref="A92:A232">
    <cfRule type="containsText" dxfId="333" priority="32" operator="containsText" text="GES ">
      <formula>NOT(ISERROR(SEARCH("GES ",A92)))</formula>
    </cfRule>
  </conditionalFormatting>
  <conditionalFormatting sqref="C148">
    <cfRule type="duplicateValues" dxfId="332" priority="971"/>
  </conditionalFormatting>
  <conditionalFormatting sqref="C149">
    <cfRule type="duplicateValues" dxfId="331" priority="959"/>
  </conditionalFormatting>
  <conditionalFormatting sqref="C150">
    <cfRule type="duplicateValues" dxfId="330" priority="947"/>
  </conditionalFormatting>
  <conditionalFormatting sqref="C151">
    <cfRule type="duplicateValues" dxfId="329" priority="930"/>
  </conditionalFormatting>
  <conditionalFormatting sqref="C152">
    <cfRule type="duplicateValues" dxfId="328" priority="918"/>
  </conditionalFormatting>
  <conditionalFormatting sqref="C153">
    <cfRule type="duplicateValues" dxfId="327" priority="906"/>
  </conditionalFormatting>
  <conditionalFormatting sqref="C154">
    <cfRule type="duplicateValues" dxfId="326" priority="894"/>
  </conditionalFormatting>
  <conditionalFormatting sqref="C155">
    <cfRule type="duplicateValues" dxfId="325" priority="877"/>
  </conditionalFormatting>
  <conditionalFormatting sqref="C156">
    <cfRule type="duplicateValues" dxfId="324" priority="864"/>
  </conditionalFormatting>
  <conditionalFormatting sqref="C157">
    <cfRule type="duplicateValues" dxfId="323" priority="852"/>
  </conditionalFormatting>
  <conditionalFormatting sqref="C158">
    <cfRule type="duplicateValues" dxfId="322" priority="840"/>
  </conditionalFormatting>
  <conditionalFormatting sqref="C159">
    <cfRule type="duplicateValues" dxfId="321" priority="828"/>
  </conditionalFormatting>
  <conditionalFormatting sqref="C160">
    <cfRule type="duplicateValues" dxfId="320" priority="816"/>
  </conditionalFormatting>
  <conditionalFormatting sqref="C161">
    <cfRule type="duplicateValues" dxfId="319" priority="799"/>
  </conditionalFormatting>
  <conditionalFormatting sqref="C162">
    <cfRule type="duplicateValues" dxfId="318" priority="786"/>
  </conditionalFormatting>
  <conditionalFormatting sqref="C163">
    <cfRule type="duplicateValues" dxfId="317" priority="774"/>
  </conditionalFormatting>
  <conditionalFormatting sqref="C164">
    <cfRule type="duplicateValues" dxfId="316" priority="762"/>
  </conditionalFormatting>
  <conditionalFormatting sqref="C165">
    <cfRule type="duplicateValues" dxfId="315" priority="745"/>
  </conditionalFormatting>
  <conditionalFormatting sqref="C166">
    <cfRule type="duplicateValues" dxfId="314" priority="728"/>
  </conditionalFormatting>
  <conditionalFormatting sqref="C167">
    <cfRule type="duplicateValues" dxfId="313" priority="711"/>
  </conditionalFormatting>
  <conditionalFormatting sqref="C168">
    <cfRule type="duplicateValues" dxfId="312" priority="699"/>
  </conditionalFormatting>
  <conditionalFormatting sqref="C169">
    <cfRule type="duplicateValues" dxfId="311" priority="687"/>
  </conditionalFormatting>
  <conditionalFormatting sqref="C170">
    <cfRule type="duplicateValues" dxfId="310" priority="675"/>
  </conditionalFormatting>
  <conditionalFormatting sqref="C171">
    <cfRule type="duplicateValues" dxfId="309" priority="663"/>
  </conditionalFormatting>
  <conditionalFormatting sqref="C172">
    <cfRule type="duplicateValues" dxfId="308" priority="651"/>
  </conditionalFormatting>
  <conditionalFormatting sqref="C173">
    <cfRule type="duplicateValues" dxfId="307" priority="639"/>
  </conditionalFormatting>
  <conditionalFormatting sqref="C174">
    <cfRule type="duplicateValues" dxfId="306" priority="627"/>
  </conditionalFormatting>
  <conditionalFormatting sqref="C175">
    <cfRule type="duplicateValues" dxfId="305" priority="615"/>
  </conditionalFormatting>
  <conditionalFormatting sqref="C176">
    <cfRule type="duplicateValues" dxfId="304" priority="603"/>
  </conditionalFormatting>
  <conditionalFormatting sqref="C177">
    <cfRule type="duplicateValues" dxfId="303" priority="591"/>
  </conditionalFormatting>
  <conditionalFormatting sqref="C178">
    <cfRule type="duplicateValues" dxfId="302" priority="579"/>
  </conditionalFormatting>
  <conditionalFormatting sqref="C179">
    <cfRule type="duplicateValues" dxfId="301" priority="567"/>
  </conditionalFormatting>
  <conditionalFormatting sqref="C180">
    <cfRule type="duplicateValues" dxfId="300" priority="555"/>
  </conditionalFormatting>
  <conditionalFormatting sqref="C181">
    <cfRule type="duplicateValues" dxfId="299" priority="538"/>
  </conditionalFormatting>
  <conditionalFormatting sqref="C182">
    <cfRule type="duplicateValues" dxfId="298" priority="521"/>
  </conditionalFormatting>
  <conditionalFormatting sqref="C183">
    <cfRule type="duplicateValues" dxfId="297" priority="504"/>
  </conditionalFormatting>
  <conditionalFormatting sqref="C184">
    <cfRule type="duplicateValues" dxfId="296" priority="487"/>
  </conditionalFormatting>
  <conditionalFormatting sqref="C185">
    <cfRule type="duplicateValues" dxfId="295" priority="466"/>
  </conditionalFormatting>
  <conditionalFormatting sqref="C186">
    <cfRule type="duplicateValues" dxfId="294" priority="446"/>
  </conditionalFormatting>
  <conditionalFormatting sqref="C187">
    <cfRule type="duplicateValues" dxfId="293" priority="430"/>
  </conditionalFormatting>
  <conditionalFormatting sqref="C188">
    <cfRule type="duplicateValues" dxfId="292" priority="417"/>
  </conditionalFormatting>
  <conditionalFormatting sqref="C189">
    <cfRule type="duplicateValues" dxfId="291" priority="400"/>
  </conditionalFormatting>
  <conditionalFormatting sqref="C190">
    <cfRule type="duplicateValues" dxfId="290" priority="383"/>
    <cfRule type="duplicateValues" dxfId="289" priority="384"/>
  </conditionalFormatting>
  <conditionalFormatting sqref="C191">
    <cfRule type="duplicateValues" dxfId="288" priority="371"/>
    <cfRule type="duplicateValues" dxfId="287" priority="372"/>
  </conditionalFormatting>
  <conditionalFormatting sqref="C192">
    <cfRule type="duplicateValues" dxfId="286" priority="359"/>
    <cfRule type="duplicateValues" dxfId="285" priority="360"/>
  </conditionalFormatting>
  <conditionalFormatting sqref="C193">
    <cfRule type="duplicateValues" dxfId="284" priority="347"/>
    <cfRule type="duplicateValues" dxfId="283" priority="348"/>
  </conditionalFormatting>
  <conditionalFormatting sqref="M126">
    <cfRule type="containsText" dxfId="282" priority="1201" operator="containsText" text="HOV">
      <formula>NOT(ISERROR(SEARCH("HOV",M126)))</formula>
    </cfRule>
    <cfRule type="containsText" dxfId="281" priority="1203" operator="containsText" text="HSP">
      <formula>NOT(ISERROR(SEARCH("HSP",M126)))</formula>
    </cfRule>
    <cfRule type="containsText" dxfId="280" priority="1204" operator="containsText" text="HLS">
      <formula>NOT(ISERROR(SEARCH("HLS",M126)))</formula>
    </cfRule>
    <cfRule type="containsText" dxfId="279" priority="1205" operator="containsText" text="HOV">
      <formula>NOT(ISERROR(SEARCH("HOV",M126)))</formula>
    </cfRule>
  </conditionalFormatting>
  <conditionalFormatting sqref="M142">
    <cfRule type="containsText" dxfId="278" priority="1039" operator="containsText" text="HOV">
      <formula>NOT(ISERROR(SEARCH("HOV",M142)))</formula>
    </cfRule>
    <cfRule type="containsText" dxfId="277" priority="1041" operator="containsText" text="HSP">
      <formula>NOT(ISERROR(SEARCH("HSP",M142)))</formula>
    </cfRule>
    <cfRule type="containsText" dxfId="276" priority="1042" operator="containsText" text="HLS">
      <formula>NOT(ISERROR(SEARCH("HLS",M142)))</formula>
    </cfRule>
    <cfRule type="containsText" dxfId="275" priority="1043" operator="containsText" text="HOV">
      <formula>NOT(ISERROR(SEARCH("HOV",M142)))</formula>
    </cfRule>
  </conditionalFormatting>
  <conditionalFormatting sqref="M144">
    <cfRule type="containsText" dxfId="274" priority="1017" operator="containsText" text="HOV">
      <formula>NOT(ISERROR(SEARCH("HOV",M144)))</formula>
    </cfRule>
    <cfRule type="containsText" dxfId="273" priority="1019" operator="containsText" text="HSP">
      <formula>NOT(ISERROR(SEARCH("HSP",M144)))</formula>
    </cfRule>
    <cfRule type="containsText" dxfId="272" priority="1020" operator="containsText" text="HLS">
      <formula>NOT(ISERROR(SEARCH("HLS",M144)))</formula>
    </cfRule>
    <cfRule type="containsText" dxfId="271" priority="1021" operator="containsText" text="HOV">
      <formula>NOT(ISERROR(SEARCH("HOV",M144)))</formula>
    </cfRule>
  </conditionalFormatting>
  <conditionalFormatting sqref="M155">
    <cfRule type="containsText" dxfId="270" priority="869" operator="containsText" text="HOV">
      <formula>NOT(ISERROR(SEARCH("HOV",M155)))</formula>
    </cfRule>
    <cfRule type="containsText" dxfId="269" priority="871" operator="containsText" text="HSP">
      <formula>NOT(ISERROR(SEARCH("HSP",M155)))</formula>
    </cfRule>
    <cfRule type="containsText" dxfId="268" priority="872" operator="containsText" text="HLS">
      <formula>NOT(ISERROR(SEARCH("HLS",M155)))</formula>
    </cfRule>
    <cfRule type="containsText" dxfId="267" priority="873" operator="containsText" text="HOV">
      <formula>NOT(ISERROR(SEARCH("HOV",M155)))</formula>
    </cfRule>
  </conditionalFormatting>
  <conditionalFormatting sqref="M143:N143">
    <cfRule type="containsText" dxfId="266" priority="1028" operator="containsText" text="HOV">
      <formula>NOT(ISERROR(SEARCH("HOV",M143)))</formula>
    </cfRule>
    <cfRule type="containsText" dxfId="265" priority="1030" operator="containsText" text="HSP">
      <formula>NOT(ISERROR(SEARCH("HSP",M143)))</formula>
    </cfRule>
    <cfRule type="containsText" dxfId="264" priority="1031" operator="containsText" text="HLS">
      <formula>NOT(ISERROR(SEARCH("HLS",M143)))</formula>
    </cfRule>
    <cfRule type="containsText" dxfId="263" priority="1032" operator="containsText" text="HOV">
      <formula>NOT(ISERROR(SEARCH("HOV",M143)))</formula>
    </cfRule>
  </conditionalFormatting>
  <conditionalFormatting sqref="M145:N145">
    <cfRule type="containsText" dxfId="262" priority="1006" operator="containsText" text="HOV">
      <formula>NOT(ISERROR(SEARCH("HOV",M145)))</formula>
    </cfRule>
    <cfRule type="containsText" dxfId="261" priority="1008" operator="containsText" text="HSP">
      <formula>NOT(ISERROR(SEARCH("HSP",M145)))</formula>
    </cfRule>
    <cfRule type="containsText" dxfId="260" priority="1009" operator="containsText" text="HLS">
      <formula>NOT(ISERROR(SEARCH("HLS",M145)))</formula>
    </cfRule>
    <cfRule type="containsText" dxfId="259" priority="1010" operator="containsText" text="HOV">
      <formula>NOT(ISERROR(SEARCH("HOV",M145)))</formula>
    </cfRule>
  </conditionalFormatting>
  <conditionalFormatting sqref="M146:N147">
    <cfRule type="containsText" dxfId="258" priority="973" operator="containsText" text="HOV">
      <formula>NOT(ISERROR(SEARCH("HOV",M146)))</formula>
    </cfRule>
    <cfRule type="containsText" dxfId="257" priority="974" operator="containsText" text="HSP">
      <formula>NOT(ISERROR(SEARCH("HSP",M146)))</formula>
    </cfRule>
    <cfRule type="containsText" dxfId="256" priority="975" operator="containsText" text="HLS">
      <formula>NOT(ISERROR(SEARCH("HLS",M146)))</formula>
    </cfRule>
    <cfRule type="containsText" dxfId="255" priority="976" operator="containsText" text="HOV">
      <formula>NOT(ISERROR(SEARCH("HOV",M146)))</formula>
    </cfRule>
  </conditionalFormatting>
  <conditionalFormatting sqref="M150:N150">
    <cfRule type="containsText" dxfId="254" priority="932" operator="containsText" text="HOV">
      <formula>NOT(ISERROR(SEARCH("HOV",M150)))</formula>
    </cfRule>
    <cfRule type="containsText" dxfId="253" priority="933" operator="containsText" text="HSP">
      <formula>NOT(ISERROR(SEARCH("HSP",M150)))</formula>
    </cfRule>
    <cfRule type="containsText" dxfId="252" priority="934" operator="containsText" text="HLS">
      <formula>NOT(ISERROR(SEARCH("HLS",M150)))</formula>
    </cfRule>
    <cfRule type="containsText" dxfId="251" priority="935" operator="containsText" text="HOV">
      <formula>NOT(ISERROR(SEARCH("HOV",M150)))</formula>
    </cfRule>
  </conditionalFormatting>
  <conditionalFormatting sqref="M154:N154">
    <cfRule type="containsText" dxfId="250" priority="879" operator="containsText" text="HOV">
      <formula>NOT(ISERROR(SEARCH("HOV",M154)))</formula>
    </cfRule>
    <cfRule type="containsText" dxfId="249" priority="880" operator="containsText" text="HSP">
      <formula>NOT(ISERROR(SEARCH("HSP",M154)))</formula>
    </cfRule>
    <cfRule type="containsText" dxfId="248" priority="881" operator="containsText" text="HLS">
      <formula>NOT(ISERROR(SEARCH("HLS",M154)))</formula>
    </cfRule>
    <cfRule type="containsText" dxfId="247" priority="882" operator="containsText" text="HOV">
      <formula>NOT(ISERROR(SEARCH("HOV",M154)))</formula>
    </cfRule>
  </conditionalFormatting>
  <conditionalFormatting sqref="N86">
    <cfRule type="containsText" dxfId="246" priority="1560" operator="containsText" text="HOV">
      <formula>NOT(ISERROR(SEARCH("HOV",N86)))</formula>
    </cfRule>
    <cfRule type="containsText" dxfId="245" priority="1561" operator="containsText" text="HSP">
      <formula>NOT(ISERROR(SEARCH("HSP",N86)))</formula>
    </cfRule>
    <cfRule type="containsText" dxfId="244" priority="1562" operator="containsText" text="HLS">
      <formula>NOT(ISERROR(SEARCH("HLS",N86)))</formula>
    </cfRule>
    <cfRule type="containsText" dxfId="243" priority="1563" operator="containsText" text="HOV">
      <formula>NOT(ISERROR(SEARCH("HOV",N86)))</formula>
    </cfRule>
  </conditionalFormatting>
  <conditionalFormatting sqref="N88:N125">
    <cfRule type="containsText" dxfId="242" priority="1212" operator="containsText" text="HOV">
      <formula>NOT(ISERROR(SEARCH("HOV",N88)))</formula>
    </cfRule>
    <cfRule type="containsText" dxfId="241" priority="1213" operator="containsText" text="HSP">
      <formula>NOT(ISERROR(SEARCH("HSP",N88)))</formula>
    </cfRule>
    <cfRule type="containsText" dxfId="240" priority="1214" operator="containsText" text="HLS">
      <formula>NOT(ISERROR(SEARCH("HLS",N88)))</formula>
    </cfRule>
    <cfRule type="containsText" dxfId="239" priority="1215" operator="containsText" text="HOV">
      <formula>NOT(ISERROR(SEARCH("HOV",N88)))</formula>
    </cfRule>
  </conditionalFormatting>
  <conditionalFormatting sqref="N91:N147">
    <cfRule type="containsText" dxfId="238" priority="978" operator="containsText" text="STGO">
      <formula>NOT(ISERROR(SEARCH("STGO",N91)))</formula>
    </cfRule>
  </conditionalFormatting>
  <conditionalFormatting sqref="N127:N141">
    <cfRule type="containsText" dxfId="237" priority="1050" operator="containsText" text="HOV">
      <formula>NOT(ISERROR(SEARCH("HOV",N127)))</formula>
    </cfRule>
    <cfRule type="containsText" dxfId="236" priority="1052" operator="containsText" text="HSP">
      <formula>NOT(ISERROR(SEARCH("HSP",N127)))</formula>
    </cfRule>
    <cfRule type="containsText" dxfId="235" priority="1053" operator="containsText" text="HLS">
      <formula>NOT(ISERROR(SEARCH("HLS",N127)))</formula>
    </cfRule>
    <cfRule type="containsText" dxfId="234" priority="1054" operator="containsText" text="HOV">
      <formula>NOT(ISERROR(SEARCH("HOV",N127)))</formula>
    </cfRule>
  </conditionalFormatting>
  <conditionalFormatting sqref="N148:N149">
    <cfRule type="containsText" dxfId="233" priority="952" operator="containsText" text="HOV">
      <formula>NOT(ISERROR(SEARCH("HOV",N148)))</formula>
    </cfRule>
    <cfRule type="containsText" dxfId="232" priority="953" operator="containsText" text="HSP">
      <formula>NOT(ISERROR(SEARCH("HSP",N148)))</formula>
    </cfRule>
    <cfRule type="containsText" dxfId="231" priority="954" operator="containsText" text="HLS">
      <formula>NOT(ISERROR(SEARCH("HLS",N148)))</formula>
    </cfRule>
    <cfRule type="containsText" dxfId="230" priority="955" operator="containsText" text="HOV">
      <formula>NOT(ISERROR(SEARCH("HOV",N148)))</formula>
    </cfRule>
  </conditionalFormatting>
  <conditionalFormatting sqref="N148:N150">
    <cfRule type="containsText" dxfId="229" priority="937" operator="containsText" text="STGO">
      <formula>NOT(ISERROR(SEARCH("STGO",N148)))</formula>
    </cfRule>
  </conditionalFormatting>
  <conditionalFormatting sqref="N151:N153">
    <cfRule type="containsText" dxfId="228" priority="899" operator="containsText" text="HOV">
      <formula>NOT(ISERROR(SEARCH("HOV",N151)))</formula>
    </cfRule>
    <cfRule type="containsText" dxfId="227" priority="900" operator="containsText" text="HSP">
      <formula>NOT(ISERROR(SEARCH("HSP",N151)))</formula>
    </cfRule>
    <cfRule type="containsText" dxfId="226" priority="901" operator="containsText" text="HLS">
      <formula>NOT(ISERROR(SEARCH("HLS",N151)))</formula>
    </cfRule>
    <cfRule type="containsText" dxfId="225" priority="902" operator="containsText" text="HOV">
      <formula>NOT(ISERROR(SEARCH("HOV",N151)))</formula>
    </cfRule>
  </conditionalFormatting>
  <conditionalFormatting sqref="N151:N154">
    <cfRule type="containsText" dxfId="224" priority="884" operator="containsText" text="STGO">
      <formula>NOT(ISERROR(SEARCH("STGO",N151)))</formula>
    </cfRule>
  </conditionalFormatting>
  <conditionalFormatting sqref="N155:N157">
    <cfRule type="containsText" dxfId="223" priority="843" operator="containsText" text="STGO">
      <formula>NOT(ISERROR(SEARCH("STGO",N155)))</formula>
    </cfRule>
  </conditionalFormatting>
  <conditionalFormatting sqref="N156:N157">
    <cfRule type="containsText" dxfId="222" priority="845" operator="containsText" text="HOV">
      <formula>NOT(ISERROR(SEARCH("HOV",N156)))</formula>
    </cfRule>
    <cfRule type="containsText" dxfId="221" priority="846" operator="containsText" text="HSP">
      <formula>NOT(ISERROR(SEARCH("HSP",N156)))</formula>
    </cfRule>
    <cfRule type="containsText" dxfId="220" priority="847" operator="containsText" text="HLS">
      <formula>NOT(ISERROR(SEARCH("HLS",N156)))</formula>
    </cfRule>
    <cfRule type="containsText" dxfId="219" priority="848" operator="containsText" text="HOV">
      <formula>NOT(ISERROR(SEARCH("HOV",N156)))</formula>
    </cfRule>
  </conditionalFormatting>
  <conditionalFormatting sqref="N161:N162">
    <cfRule type="containsText" dxfId="218" priority="779" operator="containsText" text="HOV">
      <formula>NOT(ISERROR(SEARCH("HOV",N161)))</formula>
    </cfRule>
    <cfRule type="containsText" dxfId="217" priority="780" operator="containsText" text="HSP">
      <formula>NOT(ISERROR(SEARCH("HSP",N161)))</formula>
    </cfRule>
    <cfRule type="containsText" dxfId="216" priority="781" operator="containsText" text="HLS">
      <formula>NOT(ISERROR(SEARCH("HLS",N161)))</formula>
    </cfRule>
    <cfRule type="containsText" dxfId="215" priority="782" operator="containsText" text="HOV">
      <formula>NOT(ISERROR(SEARCH("HOV",N161)))</formula>
    </cfRule>
  </conditionalFormatting>
  <conditionalFormatting sqref="N183:N189">
    <cfRule type="containsText" dxfId="214" priority="392" operator="containsText" text="HOV">
      <formula>NOT(ISERROR(SEARCH("HOV",N183)))</formula>
    </cfRule>
    <cfRule type="containsText" dxfId="213" priority="394" operator="containsText" text="HSP">
      <formula>NOT(ISERROR(SEARCH("HSP",N183)))</formula>
    </cfRule>
  </conditionalFormatting>
  <conditionalFormatting sqref="N185:N187">
    <cfRule type="containsText" dxfId="212" priority="425" operator="containsText" text="HLS">
      <formula>NOT(ISERROR(SEARCH("HLS",N185)))</formula>
    </cfRule>
  </conditionalFormatting>
  <conditionalFormatting sqref="N187">
    <cfRule type="containsText" dxfId="211" priority="426" operator="containsText" text="HOV">
      <formula>NOT(ISERROR(SEARCH("HOV",N187)))</formula>
    </cfRule>
  </conditionalFormatting>
  <conditionalFormatting sqref="N189">
    <cfRule type="containsText" dxfId="210" priority="395" operator="containsText" text="HLS">
      <formula>NOT(ISERROR(SEARCH("HLS",N189)))</formula>
    </cfRule>
    <cfRule type="containsText" dxfId="209" priority="396" operator="containsText" text="HOV">
      <formula>NOT(ISERROR(SEARCH("HOV",N189)))</formula>
    </cfRule>
  </conditionalFormatting>
  <conditionalFormatting sqref="N160:O160">
    <cfRule type="containsText" dxfId="208" priority="801" operator="containsText" text="HOV">
      <formula>NOT(ISERROR(SEARCH("HOV",N160)))</formula>
    </cfRule>
    <cfRule type="containsText" dxfId="207" priority="802" operator="containsText" text="HSP">
      <formula>NOT(ISERROR(SEARCH("HSP",N160)))</formula>
    </cfRule>
    <cfRule type="containsText" dxfId="206" priority="803" operator="containsText" text="HLS">
      <formula>NOT(ISERROR(SEARCH("HLS",N160)))</formula>
    </cfRule>
    <cfRule type="containsText" dxfId="205" priority="804" operator="containsText" text="HOV">
      <formula>NOT(ISERROR(SEARCH("HOV",N160)))</formula>
    </cfRule>
  </conditionalFormatting>
  <conditionalFormatting sqref="N164:O166">
    <cfRule type="containsText" dxfId="204" priority="713" operator="containsText" text="HOV">
      <formula>NOT(ISERROR(SEARCH("HOV",N164)))</formula>
    </cfRule>
    <cfRule type="containsText" dxfId="203" priority="714" operator="containsText" text="HSP">
      <formula>NOT(ISERROR(SEARCH("HSP",N164)))</formula>
    </cfRule>
    <cfRule type="containsText" dxfId="202" priority="715" operator="containsText" text="HLS">
      <formula>NOT(ISERROR(SEARCH("HLS",N164)))</formula>
    </cfRule>
    <cfRule type="containsText" dxfId="201" priority="716" operator="containsText" text="HOV">
      <formula>NOT(ISERROR(SEARCH("HOV",N164)))</formula>
    </cfRule>
  </conditionalFormatting>
  <conditionalFormatting sqref="N180:O182">
    <cfRule type="containsText" dxfId="200" priority="513" operator="containsText" text="HOV">
      <formula>NOT(ISERROR(SEARCH("HOV",N180)))</formula>
    </cfRule>
    <cfRule type="containsText" dxfId="199" priority="515" operator="containsText" text="HSP">
      <formula>NOT(ISERROR(SEARCH("HSP",N180)))</formula>
    </cfRule>
    <cfRule type="containsText" dxfId="198" priority="516" operator="containsText" text="HLS">
      <formula>NOT(ISERROR(SEARCH("HLS",N180)))</formula>
    </cfRule>
    <cfRule type="containsText" dxfId="197" priority="517" operator="containsText" text="HOV">
      <formula>NOT(ISERROR(SEARCH("HOV",N180)))</formula>
    </cfRule>
  </conditionalFormatting>
  <conditionalFormatting sqref="N183:O184">
    <cfRule type="containsText" dxfId="196" priority="474" operator="containsText" text="HLS">
      <formula>NOT(ISERROR(SEARCH("HLS",N183)))</formula>
    </cfRule>
    <cfRule type="containsText" dxfId="195" priority="475" operator="containsText" text="HOV">
      <formula>NOT(ISERROR(SEARCH("HOV",N183)))</formula>
    </cfRule>
  </conditionalFormatting>
  <conditionalFormatting sqref="N185:O186">
    <cfRule type="containsText" dxfId="194" priority="435" operator="containsText" text="HOV">
      <formula>NOT(ISERROR(SEARCH("HOV",N185)))</formula>
    </cfRule>
  </conditionalFormatting>
  <conditionalFormatting sqref="N188:O188">
    <cfRule type="containsText" dxfId="193" priority="404" operator="containsText" text="HLS">
      <formula>NOT(ISERROR(SEARCH("HLS",N188)))</formula>
    </cfRule>
    <cfRule type="containsText" dxfId="192" priority="405" operator="containsText" text="HOV">
      <formula>NOT(ISERROR(SEARCH("HOV",N188)))</formula>
    </cfRule>
  </conditionalFormatting>
  <conditionalFormatting sqref="N193:O193">
    <cfRule type="containsText" dxfId="191" priority="334" operator="containsText" text="HOV">
      <formula>NOT(ISERROR(SEARCH("HOV",N193)))</formula>
    </cfRule>
    <cfRule type="containsText" dxfId="190" priority="336" operator="containsText" text="HSP">
      <formula>NOT(ISERROR(SEARCH("HSP",N193)))</formula>
    </cfRule>
    <cfRule type="containsText" dxfId="189" priority="337" operator="containsText" text="HLS">
      <formula>NOT(ISERROR(SEARCH("HLS",N193)))</formula>
    </cfRule>
    <cfRule type="containsText" dxfId="188" priority="338" operator="containsText" text="HOV">
      <formula>NOT(ISERROR(SEARCH("HOV",N193)))</formula>
    </cfRule>
  </conditionalFormatting>
  <conditionalFormatting sqref="N206:O207">
    <cfRule type="containsText" dxfId="187" priority="226" operator="containsText" text="HOV">
      <formula>NOT(ISERROR(SEARCH("HOV",N206)))</formula>
    </cfRule>
    <cfRule type="containsText" dxfId="186" priority="227" operator="containsText" text="HSP">
      <formula>NOT(ISERROR(SEARCH("HSP",N206)))</formula>
    </cfRule>
    <cfRule type="containsText" dxfId="185" priority="228" operator="containsText" text="HLS">
      <formula>NOT(ISERROR(SEARCH("HLS",N206)))</formula>
    </cfRule>
    <cfRule type="containsText" dxfId="184" priority="229" operator="containsText" text="HOV">
      <formula>NOT(ISERROR(SEARCH("HOV",N206)))</formula>
    </cfRule>
  </conditionalFormatting>
  <conditionalFormatting sqref="O158:O159">
    <cfRule type="containsText" dxfId="183" priority="821" operator="containsText" text="HOV">
      <formula>NOT(ISERROR(SEARCH("HOV",O158)))</formula>
    </cfRule>
    <cfRule type="containsText" dxfId="182" priority="822" operator="containsText" text="HSP">
      <formula>NOT(ISERROR(SEARCH("HSP",O158)))</formula>
    </cfRule>
    <cfRule type="containsText" dxfId="181" priority="823" operator="containsText" text="HLS">
      <formula>NOT(ISERROR(SEARCH("HLS",O158)))</formula>
    </cfRule>
    <cfRule type="containsText" dxfId="180" priority="824" operator="containsText" text="HOV">
      <formula>NOT(ISERROR(SEARCH("HOV",O158)))</formula>
    </cfRule>
  </conditionalFormatting>
  <conditionalFormatting sqref="O158:O160">
    <cfRule type="containsText" dxfId="179" priority="806" operator="containsText" text="STGO">
      <formula>NOT(ISERROR(SEARCH("STGO",O158)))</formula>
    </cfRule>
  </conditionalFormatting>
  <conditionalFormatting sqref="O161:O166">
    <cfRule type="containsText" dxfId="178" priority="718" operator="containsText" text="STGO">
      <formula>NOT(ISERROR(SEARCH("STGO",O161)))</formula>
    </cfRule>
  </conditionalFormatting>
  <conditionalFormatting sqref="O163">
    <cfRule type="containsText" dxfId="177" priority="767" operator="containsText" text="HOV">
      <formula>NOT(ISERROR(SEARCH("HOV",O163)))</formula>
    </cfRule>
    <cfRule type="containsText" dxfId="176" priority="768" operator="containsText" text="HSP">
      <formula>NOT(ISERROR(SEARCH("HSP",O163)))</formula>
    </cfRule>
    <cfRule type="containsText" dxfId="175" priority="769" operator="containsText" text="HLS">
      <formula>NOT(ISERROR(SEARCH("HLS",O163)))</formula>
    </cfRule>
    <cfRule type="containsText" dxfId="174" priority="770" operator="containsText" text="HOV">
      <formula>NOT(ISERROR(SEARCH("HOV",O163)))</formula>
    </cfRule>
  </conditionalFormatting>
  <conditionalFormatting sqref="O167:O179">
    <cfRule type="containsText" dxfId="173" priority="560" operator="containsText" text="HOV">
      <formula>NOT(ISERROR(SEARCH("HOV",O167)))</formula>
    </cfRule>
    <cfRule type="containsText" dxfId="172" priority="561" operator="containsText" text="HSP">
      <formula>NOT(ISERROR(SEARCH("HSP",O167)))</formula>
    </cfRule>
    <cfRule type="containsText" dxfId="171" priority="562" operator="containsText" text="HLS">
      <formula>NOT(ISERROR(SEARCH("HLS",O167)))</formula>
    </cfRule>
    <cfRule type="containsText" dxfId="170" priority="563" operator="containsText" text="HOV">
      <formula>NOT(ISERROR(SEARCH("HOV",O167)))</formula>
    </cfRule>
  </conditionalFormatting>
  <conditionalFormatting sqref="O167:O181">
    <cfRule type="containsText" dxfId="169" priority="528" operator="containsText" text="STGO">
      <formula>NOT(ISERROR(SEARCH("STGO",O167)))</formula>
    </cfRule>
  </conditionalFormatting>
  <conditionalFormatting sqref="O182">
    <cfRule type="containsText" dxfId="168" priority="508" operator="containsText" text="HLS">
      <formula>NOT(ISERROR(SEARCH("HLS",O182)))</formula>
    </cfRule>
    <cfRule type="containsText" dxfId="167" priority="509" operator="containsText" text="HOV">
      <formula>NOT(ISERROR(SEARCH("HOV",O182)))</formula>
    </cfRule>
    <cfRule type="containsText" dxfId="166" priority="511" operator="containsText" text="STGO">
      <formula>NOT(ISERROR(SEARCH("STGO",O182)))</formula>
    </cfRule>
  </conditionalFormatting>
  <conditionalFormatting sqref="O182:O184">
    <cfRule type="containsText" dxfId="165" priority="472" operator="containsText" text="HOV">
      <formula>NOT(ISERROR(SEARCH("HOV",O182)))</formula>
    </cfRule>
    <cfRule type="containsText" dxfId="164" priority="473" operator="containsText" text="HSP">
      <formula>NOT(ISERROR(SEARCH("HSP",O182)))</formula>
    </cfRule>
  </conditionalFormatting>
  <conditionalFormatting sqref="O183:O184">
    <cfRule type="containsText" dxfId="163" priority="477" operator="containsText" text="STGO">
      <formula>NOT(ISERROR(SEARCH("STGO",O183)))</formula>
    </cfRule>
  </conditionalFormatting>
  <conditionalFormatting sqref="O184">
    <cfRule type="containsText" dxfId="162" priority="471" operator="containsText" text="HOV">
      <formula>NOT(ISERROR(SEARCH("HOV",O184)))</formula>
    </cfRule>
  </conditionalFormatting>
  <conditionalFormatting sqref="O184:O186">
    <cfRule type="containsText" dxfId="161" priority="432" operator="containsText" text="HOV">
      <formula>NOT(ISERROR(SEARCH("HOV",O184)))</formula>
    </cfRule>
    <cfRule type="containsText" dxfId="160" priority="433" operator="containsText" text="HSP">
      <formula>NOT(ISERROR(SEARCH("HSP",O184)))</formula>
    </cfRule>
    <cfRule type="containsText" dxfId="159" priority="434" operator="containsText" text="HLS">
      <formula>NOT(ISERROR(SEARCH("HLS",O184)))</formula>
    </cfRule>
  </conditionalFormatting>
  <conditionalFormatting sqref="O185:O186">
    <cfRule type="containsText" dxfId="158" priority="437" operator="containsText" text="STGO">
      <formula>NOT(ISERROR(SEARCH("STGO",O185)))</formula>
    </cfRule>
  </conditionalFormatting>
  <conditionalFormatting sqref="O187:O188">
    <cfRule type="containsText" dxfId="157" priority="407" operator="containsText" text="STGO">
      <formula>NOT(ISERROR(SEARCH("STGO",O187)))</formula>
    </cfRule>
  </conditionalFormatting>
  <conditionalFormatting sqref="O188:O192">
    <cfRule type="containsText" dxfId="156" priority="352" operator="containsText" text="HOV">
      <formula>NOT(ISERROR(SEARCH("HOV",O188)))</formula>
    </cfRule>
    <cfRule type="containsText" dxfId="155" priority="353" operator="containsText" text="HSP">
      <formula>NOT(ISERROR(SEARCH("HSP",O188)))</formula>
    </cfRule>
  </conditionalFormatting>
  <conditionalFormatting sqref="O189">
    <cfRule type="containsText" dxfId="154" priority="390" operator="containsText" text="STGO">
      <formula>NOT(ISERROR(SEARCH("STGO",O189)))</formula>
    </cfRule>
  </conditionalFormatting>
  <conditionalFormatting sqref="O189:O192">
    <cfRule type="containsText" dxfId="153" priority="354" operator="containsText" text="HLS">
      <formula>NOT(ISERROR(SEARCH("HLS",O189)))</formula>
    </cfRule>
    <cfRule type="containsText" dxfId="152" priority="355" operator="containsText" text="HOV">
      <formula>NOT(ISERROR(SEARCH("HOV",O189)))</formula>
    </cfRule>
  </conditionalFormatting>
  <conditionalFormatting sqref="O190:O193">
    <cfRule type="containsText" dxfId="151" priority="346" operator="containsText" text="STGO">
      <formula>NOT(ISERROR(SEARCH("STGO",O190)))</formula>
    </cfRule>
  </conditionalFormatting>
  <conditionalFormatting sqref="O194:O202">
    <cfRule type="containsText" dxfId="150" priority="280" operator="containsText" text="STGO">
      <formula>NOT(ISERROR(SEARCH("STGO",O194)))</formula>
    </cfRule>
  </conditionalFormatting>
  <conditionalFormatting sqref="O202">
    <cfRule type="containsText" dxfId="149" priority="276" operator="containsText" text="HOV">
      <formula>NOT(ISERROR(SEARCH("HOV",O202)))</formula>
    </cfRule>
    <cfRule type="containsText" dxfId="148" priority="277" operator="containsText" text="HSP">
      <formula>NOT(ISERROR(SEARCH("HSP",O202)))</formula>
    </cfRule>
    <cfRule type="containsText" dxfId="147" priority="278" operator="containsText" text="HLS">
      <formula>NOT(ISERROR(SEARCH("HLS",O202)))</formula>
    </cfRule>
    <cfRule type="containsText" dxfId="146" priority="279" operator="containsText" text="HOV">
      <formula>NOT(ISERROR(SEARCH("HOV",O202)))</formula>
    </cfRule>
  </conditionalFormatting>
  <conditionalFormatting sqref="O203:O207">
    <cfRule type="containsText" dxfId="145" priority="240" operator="containsText" text="STGO">
      <formula>NOT(ISERROR(SEARCH("STGO",O203)))</formula>
    </cfRule>
  </conditionalFormatting>
  <conditionalFormatting sqref="O208:O210">
    <cfRule type="containsText" dxfId="144" priority="199" operator="containsText" text="HOV">
      <formula>NOT(ISERROR(SEARCH("HOV",O208)))</formula>
    </cfRule>
    <cfRule type="containsText" dxfId="143" priority="200" operator="containsText" text="HSP">
      <formula>NOT(ISERROR(SEARCH("HSP",O208)))</formula>
    </cfRule>
    <cfRule type="containsText" dxfId="142" priority="201" operator="containsText" text="HLS">
      <formula>NOT(ISERROR(SEARCH("HLS",O208)))</formula>
    </cfRule>
    <cfRule type="containsText" dxfId="141" priority="202" operator="containsText" text="HOV">
      <formula>NOT(ISERROR(SEARCH("HOV",O208)))</formula>
    </cfRule>
  </conditionalFormatting>
  <conditionalFormatting sqref="O211">
    <cfRule type="containsText" dxfId="140" priority="193" operator="containsText" text="STGO">
      <formula>NOT(ISERROR(SEARCH("STGO",O211)))</formula>
    </cfRule>
  </conditionalFormatting>
  <conditionalFormatting sqref="O212:O213">
    <cfRule type="containsText" dxfId="139" priority="175" operator="containsText" text="HOV">
      <formula>NOT(ISERROR(SEARCH("HOV",O212)))</formula>
    </cfRule>
    <cfRule type="containsText" dxfId="138" priority="176" operator="containsText" text="HSP">
      <formula>NOT(ISERROR(SEARCH("HSP",O212)))</formula>
    </cfRule>
    <cfRule type="containsText" dxfId="137" priority="177" operator="containsText" text="HLS">
      <formula>NOT(ISERROR(SEARCH("HLS",O212)))</formula>
    </cfRule>
    <cfRule type="containsText" dxfId="136" priority="178" operator="containsText" text="HOV">
      <formula>NOT(ISERROR(SEARCH("HOV",O212)))</formula>
    </cfRule>
  </conditionalFormatting>
  <conditionalFormatting sqref="O214:O215">
    <cfRule type="containsText" dxfId="135" priority="169" operator="containsText" text="STGO">
      <formula>NOT(ISERROR(SEARCH("STGO",O214)))</formula>
    </cfRule>
  </conditionalFormatting>
  <conditionalFormatting sqref="O216:O217">
    <cfRule type="containsText" dxfId="134" priority="145" operator="containsText" text="HOV">
      <formula>NOT(ISERROR(SEARCH("HOV",O216)))</formula>
    </cfRule>
    <cfRule type="containsText" dxfId="133" priority="146" operator="containsText" text="HSP">
      <formula>NOT(ISERROR(SEARCH("HSP",O216)))</formula>
    </cfRule>
    <cfRule type="containsText" dxfId="132" priority="147" operator="containsText" text="HLS">
      <formula>NOT(ISERROR(SEARCH("HLS",O216)))</formula>
    </cfRule>
    <cfRule type="containsText" dxfId="131" priority="148" operator="containsText" text="HOV">
      <formula>NOT(ISERROR(SEARCH("HOV",O216)))</formula>
    </cfRule>
  </conditionalFormatting>
  <conditionalFormatting sqref="O218:O219">
    <cfRule type="containsText" dxfId="130" priority="133" operator="containsText" text="STGO">
      <formula>NOT(ISERROR(SEARCH("STGO",O218)))</formula>
    </cfRule>
  </conditionalFormatting>
  <conditionalFormatting sqref="O220:O224">
    <cfRule type="containsText" dxfId="129" priority="91" operator="containsText" text="HOV">
      <formula>NOT(ISERROR(SEARCH("HOV",O220)))</formula>
    </cfRule>
    <cfRule type="containsText" dxfId="128" priority="92" operator="containsText" text="HSP">
      <formula>NOT(ISERROR(SEARCH("HSP",O220)))</formula>
    </cfRule>
    <cfRule type="containsText" dxfId="127" priority="93" operator="containsText" text="HLS">
      <formula>NOT(ISERROR(SEARCH("HLS",O220)))</formula>
    </cfRule>
    <cfRule type="containsText" dxfId="126" priority="94" operator="containsText" text="HOV">
      <formula>NOT(ISERROR(SEARCH("HOV",O220)))</formula>
    </cfRule>
  </conditionalFormatting>
  <conditionalFormatting sqref="O225">
    <cfRule type="containsText" dxfId="125" priority="85" operator="containsText" text="STGO">
      <formula>NOT(ISERROR(SEARCH("STGO",O225)))</formula>
    </cfRule>
  </conditionalFormatting>
  <conditionalFormatting sqref="O226:O229">
    <cfRule type="containsText" dxfId="124" priority="49" operator="containsText" text="HOV">
      <formula>NOT(ISERROR(SEARCH("HOV",O226)))</formula>
    </cfRule>
    <cfRule type="containsText" dxfId="123" priority="50" operator="containsText" text="HSP">
      <formula>NOT(ISERROR(SEARCH("HSP",O226)))</formula>
    </cfRule>
    <cfRule type="containsText" dxfId="122" priority="51" operator="containsText" text="HLS">
      <formula>NOT(ISERROR(SEARCH("HLS",O226)))</formula>
    </cfRule>
    <cfRule type="containsText" dxfId="121" priority="52" operator="containsText" text="HOV">
      <formula>NOT(ISERROR(SEARCH("HOV",O226)))</formula>
    </cfRule>
  </conditionalFormatting>
  <conditionalFormatting sqref="O230">
    <cfRule type="containsText" dxfId="120" priority="43" operator="containsText" text="STGO">
      <formula>NOT(ISERROR(SEARCH("STGO",O230)))</formula>
    </cfRule>
  </conditionalFormatting>
  <conditionalFormatting sqref="O231:O232">
    <cfRule type="containsText" dxfId="119" priority="25" operator="containsText" text="HOV">
      <formula>NOT(ISERROR(SEARCH("HOV",O231)))</formula>
    </cfRule>
    <cfRule type="containsText" dxfId="118" priority="26" operator="containsText" text="HSP">
      <formula>NOT(ISERROR(SEARCH("HSP",O231)))</formula>
    </cfRule>
    <cfRule type="containsText" dxfId="117" priority="27" operator="containsText" text="HLS">
      <formula>NOT(ISERROR(SEARCH("HLS",O231)))</formula>
    </cfRule>
    <cfRule type="containsText" dxfId="116" priority="28" operator="containsText" text="HOV">
      <formula>NOT(ISERROR(SEARCH("HOV",O231)))</formula>
    </cfRule>
  </conditionalFormatting>
  <conditionalFormatting sqref="Q126">
    <cfRule type="containsText" dxfId="115" priority="1202" operator="containsText" text="CONTACTAR ">
      <formula>NOT(ISERROR(SEARCH("CONTACTAR ",Q126)))</formula>
    </cfRule>
  </conditionalFormatting>
  <conditionalFormatting sqref="Q141:Q147">
    <cfRule type="containsText" dxfId="114" priority="981" operator="containsText" text="CONTACTAR ">
      <formula>NOT(ISERROR(SEARCH("CONTACTAR ",Q141)))</formula>
    </cfRule>
  </conditionalFormatting>
  <conditionalFormatting sqref="Q150">
    <cfRule type="containsText" dxfId="113" priority="940" operator="containsText" text="CONTACTAR ">
      <formula>NOT(ISERROR(SEARCH("CONTACTAR ",Q150)))</formula>
    </cfRule>
  </conditionalFormatting>
  <conditionalFormatting sqref="Q154:Q155">
    <cfRule type="containsText" dxfId="112" priority="870" operator="containsText" text="CONTACTAR ">
      <formula>NOT(ISERROR(SEARCH("CONTACTAR ",Q154)))</formula>
    </cfRule>
  </conditionalFormatting>
  <conditionalFormatting sqref="R90:R91">
    <cfRule type="containsText" dxfId="111" priority="1556" operator="containsText" text="vigente">
      <formula>NOT(ISERROR(SEARCH("vigente",R90)))</formula>
    </cfRule>
    <cfRule type="containsText" dxfId="110" priority="1557" operator="containsText" text="por vencer">
      <formula>NOT(ISERROR(SEARCH("por vencer",R90)))</formula>
    </cfRule>
    <cfRule type="containsText" dxfId="109" priority="1558" operator="containsText" text="vencido">
      <formula>NOT(ISERROR(SEARCH("vencido",R90)))</formula>
    </cfRule>
  </conditionalFormatting>
  <conditionalFormatting sqref="R160:R161">
    <cfRule type="containsText" dxfId="108" priority="792" operator="containsText" text="CONTACTAR ">
      <formula>NOT(ISERROR(SEARCH("CONTACTAR ",R160)))</formula>
    </cfRule>
  </conditionalFormatting>
  <conditionalFormatting sqref="R164:R166">
    <cfRule type="containsText" dxfId="107" priority="721" operator="containsText" text="CONTACTAR ">
      <formula>NOT(ISERROR(SEARCH("CONTACTAR ",R164)))</formula>
    </cfRule>
  </conditionalFormatting>
  <conditionalFormatting sqref="R180:R184">
    <cfRule type="containsText" dxfId="106" priority="480" operator="containsText" text="CONTACTAR ">
      <formula>NOT(ISERROR(SEARCH("CONTACTAR ",R180)))</formula>
    </cfRule>
  </conditionalFormatting>
  <conditionalFormatting sqref="R185">
    <cfRule type="containsText" dxfId="105" priority="452" operator="containsText" text="HOV">
      <formula>NOT(ISERROR(SEARCH("HOV",R185)))</formula>
    </cfRule>
    <cfRule type="containsText" dxfId="104" priority="453" operator="containsText" text="HSP">
      <formula>NOT(ISERROR(SEARCH("HSP",R185)))</formula>
    </cfRule>
    <cfRule type="containsText" dxfId="103" priority="454" operator="containsText" text="HLS">
      <formula>NOT(ISERROR(SEARCH("HLS",R185)))</formula>
    </cfRule>
    <cfRule type="containsText" dxfId="102" priority="455" operator="containsText" text="HOV">
      <formula>NOT(ISERROR(SEARCH("HOV",R185)))</formula>
    </cfRule>
  </conditionalFormatting>
  <conditionalFormatting sqref="R187:R189">
    <cfRule type="containsText" dxfId="101" priority="393" operator="containsText" text="CONTACTAR ">
      <formula>NOT(ISERROR(SEARCH("CONTACTAR ",R187)))</formula>
    </cfRule>
  </conditionalFormatting>
  <conditionalFormatting sqref="R193">
    <cfRule type="containsText" dxfId="100" priority="335" operator="containsText" text="CONTACTAR ">
      <formula>NOT(ISERROR(SEARCH("CONTACTAR ",R193)))</formula>
    </cfRule>
  </conditionalFormatting>
  <conditionalFormatting sqref="R206:R207">
    <cfRule type="containsText" dxfId="99" priority="233" operator="containsText" text="CONTACTAR ">
      <formula>NOT(ISERROR(SEARCH("CONTACTAR ",R206)))</formula>
    </cfRule>
  </conditionalFormatting>
  <conditionalFormatting sqref="W94:W157">
    <cfRule type="containsText" dxfId="98" priority="849" operator="containsText" text="vigente">
      <formula>NOT(ISERROR(SEARCH("vigente",W94)))</formula>
    </cfRule>
    <cfRule type="containsText" dxfId="97" priority="850" operator="containsText" text="por vencer">
      <formula>NOT(ISERROR(SEARCH("por vencer",W94)))</formula>
    </cfRule>
    <cfRule type="containsText" dxfId="96" priority="851" operator="containsText" text="vencido">
      <formula>NOT(ISERROR(SEARCH("vencido",W94)))</formula>
    </cfRule>
  </conditionalFormatting>
  <conditionalFormatting sqref="X158:X222">
    <cfRule type="containsText" dxfId="95" priority="110" operator="containsText" text="vigente">
      <formula>NOT(ISERROR(SEARCH("vigente",X158)))</formula>
    </cfRule>
    <cfRule type="containsText" dxfId="94" priority="111" operator="containsText" text="por vencer">
      <formula>NOT(ISERROR(SEARCH("por vencer",X158)))</formula>
    </cfRule>
    <cfRule type="containsText" dxfId="93" priority="112" operator="containsText" text="vencido">
      <formula>NOT(ISERROR(SEARCH("vencido",X158)))</formula>
    </cfRule>
  </conditionalFormatting>
  <conditionalFormatting sqref="X224:X232">
    <cfRule type="containsText" dxfId="92" priority="29" operator="containsText" text="vigente">
      <formula>NOT(ISERROR(SEARCH("vigente",X224)))</formula>
    </cfRule>
    <cfRule type="containsText" dxfId="91" priority="30" operator="containsText" text="por vencer">
      <formula>NOT(ISERROR(SEARCH("por vencer",X224)))</formula>
    </cfRule>
    <cfRule type="containsText" dxfId="90" priority="31" operator="containsText" text="vencido">
      <formula>NOT(ISERROR(SEARCH("vencido",X224)))</formula>
    </cfRule>
  </conditionalFormatting>
  <conditionalFormatting sqref="A233">
    <cfRule type="containsText" dxfId="89" priority="23" operator="containsText" text="GES ">
      <formula>NOT(ISERROR(SEARCH("GES ",A233)))</formula>
    </cfRule>
    <cfRule type="containsText" dxfId="88" priority="24" operator="containsText" text="NO GES">
      <formula>NOT(ISERROR(SEARCH("NO GES",A233)))</formula>
    </cfRule>
  </conditionalFormatting>
  <conditionalFormatting sqref="O233">
    <cfRule type="containsText" dxfId="87" priority="19" operator="containsText" text="STGO">
      <formula>NOT(ISERROR(SEARCH("STGO",O233)))</formula>
    </cfRule>
  </conditionalFormatting>
  <conditionalFormatting sqref="X233">
    <cfRule type="containsText" dxfId="86" priority="20" operator="containsText" text="vigente">
      <formula>NOT(ISERROR(SEARCH("vigente",X233)))</formula>
    </cfRule>
    <cfRule type="containsText" dxfId="85" priority="21" operator="containsText" text="por vencer">
      <formula>NOT(ISERROR(SEARCH("por vencer",X233)))</formula>
    </cfRule>
    <cfRule type="containsText" dxfId="84" priority="22" operator="containsText" text="vencido">
      <formula>NOT(ISERROR(SEARCH("vencido",X233)))</formula>
    </cfRule>
  </conditionalFormatting>
  <conditionalFormatting sqref="A234">
    <cfRule type="containsText" dxfId="83" priority="17" operator="containsText" text="GES ">
      <formula>NOT(ISERROR(SEARCH("GES ",A234)))</formula>
    </cfRule>
    <cfRule type="containsText" dxfId="82" priority="18" operator="containsText" text="NO GES">
      <formula>NOT(ISERROR(SEARCH("NO GES",A234)))</formula>
    </cfRule>
  </conditionalFormatting>
  <conditionalFormatting sqref="O234">
    <cfRule type="containsText" dxfId="81" priority="10" operator="containsText" text="HOV">
      <formula>NOT(ISERROR(SEARCH("HOV",O234)))</formula>
    </cfRule>
    <cfRule type="containsText" dxfId="80" priority="11" operator="containsText" text="HSP">
      <formula>NOT(ISERROR(SEARCH("HSP",O234)))</formula>
    </cfRule>
    <cfRule type="containsText" dxfId="79" priority="12" operator="containsText" text="HLS">
      <formula>NOT(ISERROR(SEARCH("HLS",O234)))</formula>
    </cfRule>
    <cfRule type="containsText" dxfId="78" priority="13" operator="containsText" text="HOV">
      <formula>NOT(ISERROR(SEARCH("HOV",O234)))</formula>
    </cfRule>
  </conditionalFormatting>
  <conditionalFormatting sqref="X234">
    <cfRule type="containsText" dxfId="77" priority="14" operator="containsText" text="vigente">
      <formula>NOT(ISERROR(SEARCH("vigente",X234)))</formula>
    </cfRule>
    <cfRule type="containsText" dxfId="76" priority="15" operator="containsText" text="por vencer">
      <formula>NOT(ISERROR(SEARCH("por vencer",X234)))</formula>
    </cfRule>
    <cfRule type="containsText" dxfId="75" priority="16" operator="containsText" text="vencido">
      <formula>NOT(ISERROR(SEARCH("vencido",X234)))</formula>
    </cfRule>
  </conditionalFormatting>
  <conditionalFormatting sqref="A235">
    <cfRule type="containsText" dxfId="74" priority="8" operator="containsText" text="GES ">
      <formula>NOT(ISERROR(SEARCH("GES ",A235)))</formula>
    </cfRule>
    <cfRule type="containsText" dxfId="73" priority="9" operator="containsText" text="NO GES">
      <formula>NOT(ISERROR(SEARCH("NO GES",A235)))</formula>
    </cfRule>
  </conditionalFormatting>
  <conditionalFormatting sqref="O235">
    <cfRule type="containsText" dxfId="72" priority="1" operator="containsText" text="HOV">
      <formula>NOT(ISERROR(SEARCH("HOV",O235)))</formula>
    </cfRule>
    <cfRule type="containsText" dxfId="71" priority="2" operator="containsText" text="HSP">
      <formula>NOT(ISERROR(SEARCH("HSP",O235)))</formula>
    </cfRule>
    <cfRule type="containsText" dxfId="70" priority="3" operator="containsText" text="HLS">
      <formula>NOT(ISERROR(SEARCH("HLS",O235)))</formula>
    </cfRule>
    <cfRule type="containsText" dxfId="69" priority="4" operator="containsText" text="HOV">
      <formula>NOT(ISERROR(SEARCH("HOV",O235)))</formula>
    </cfRule>
  </conditionalFormatting>
  <conditionalFormatting sqref="X235">
    <cfRule type="containsText" dxfId="68" priority="5" operator="containsText" text="vigente">
      <formula>NOT(ISERROR(SEARCH("vigente",X235)))</formula>
    </cfRule>
    <cfRule type="containsText" dxfId="67" priority="6" operator="containsText" text="por vencer">
      <formula>NOT(ISERROR(SEARCH("por vencer",X235)))</formula>
    </cfRule>
    <cfRule type="containsText" dxfId="66" priority="7" operator="containsText" text="vencido">
      <formula>NOT(ISERROR(SEARCH("vencido",X235)))</formula>
    </cfRule>
  </conditionalFormatting>
  <dataValidations count="7">
    <dataValidation type="list" allowBlank="1" showInputMessage="1" showErrorMessage="1" sqref="A5 A98 A124 A129 A156 A158 A163 A204:A205 A7:A14 A17:A20 A25:A31 A55:A56 A66:A77 A82:A85 A88:A94 A100:A110 A112:A114 A117:A121 A132:A133 A136:A138 A148:A149 A151:A153 A167:A171 A173:A179 A190:A192 A194:A201" xr:uid="{00000000-0002-0000-0100-000000000000}">
      <formula1>"GES,NO GES"</formula1>
    </dataValidation>
    <dataValidation type="list" allowBlank="1" showInputMessage="1" showErrorMessage="1" sqref="J22 J25 J28 J59 J106 J108 J148 J151 K158 K171 K195 J7:J13 J17:J19 J30:J31 J55:J56 J66:J70 J73:J76 J82:J85 J88:J93 J100:J104 K167:K169 K173:K174 K197:K199 K205 K209:K210 K233" xr:uid="{00000000-0002-0000-0100-000001000000}">
      <formula1>"Si,No"</formula1>
    </dataValidation>
    <dataValidation type="list" allowBlank="1" showInputMessage="1" showErrorMessage="1" sqref="K25 K28 K55 K57 K59 K89 K106 K7:K11 K13:K14 K17:K18 K21:K22 K30:K31 K66:K70 K73:K75 K82:K85" xr:uid="{00000000-0002-0000-0100-000002000000}">
      <formula1>"Sospecha,Confirmacion,Etapificacion,Tratamiento,Seguimiento"</formula1>
    </dataValidation>
    <dataValidation type="list" allowBlank="1" showInputMessage="1" showErrorMessage="1" sqref="F39 F106 F158" xr:uid="{00000000-0002-0000-0100-000003000000}">
      <formula1>"Ovalle,Punitaqui ,Rio Hurtado,Combarbala,Monte patria"</formula1>
    </dataValidation>
    <dataValidation type="list" allowBlank="1" showInputMessage="1" showErrorMessage="1" sqref="K88 K95 L163 K90:K93 K98:K105 K107:K125 K127:K138 K148:K149 K151:K153 K156:K157 L158:L159 L167:L174 L176:L179 L190:L192 L194:L201 L203:L205 L209:L212 L233" xr:uid="{00000000-0002-0000-0100-000004000000}">
      <formula1>"Egreso,Confirmación,Etapificacion,Tratamiento,Seguimiento"</formula1>
    </dataValidation>
    <dataValidation type="list" allowBlank="1" showInputMessage="1" showErrorMessage="1" sqref="M88 M7:M13 M66:M70 M82:M85" xr:uid="{00000000-0002-0000-0100-000005000000}">
      <formula1>"Cirugia en Hospital de origen,Cirugia en Centro de derivacion,Quimioterapia neoadyuvante,Quimioterapia adyuvante,Quimioterapia paliativa,Quimioterapia + Rt,Quimioterapia + Ht,Hormonoterapia,Seguimiento,Cuidados paliativos exclusivos,Radiocirugia"</formula1>
    </dataValidation>
    <dataValidation type="list" allowBlank="1" showInputMessage="1" showErrorMessage="1" sqref="O116 O127 O148 P176 P191 P204 O6:O16 O82:O85 O88:O90 O92:O93 O99:O100 O151:O153 P167:P168 P171:P172 P195:P198 P224 P233" xr:uid="{00000000-0002-0000-0100-000006000000}">
      <formula1>"DETENIDO,CURSO"</formula1>
    </dataValidation>
  </dataValidation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165"/>
  <sheetViews>
    <sheetView tabSelected="1" zoomScale="70" zoomScaleNormal="70" workbookViewId="0">
      <pane ySplit="1" topLeftCell="A2" activePane="bottomLeft" state="frozen"/>
      <selection pane="bottomLeft" activeCell="G171" sqref="G171"/>
    </sheetView>
  </sheetViews>
  <sheetFormatPr defaultColWidth="11" defaultRowHeight="50.1" customHeight="1"/>
  <cols>
    <col min="1" max="1" width="8.75" customWidth="1"/>
    <col min="2" max="2" width="36.875" style="4" customWidth="1"/>
    <col min="4" max="4" width="5.75" customWidth="1"/>
    <col min="5" max="5" width="13.25" style="5" customWidth="1"/>
    <col min="6" max="6" width="17.375" customWidth="1"/>
    <col min="7" max="7" width="30.125" customWidth="1"/>
    <col min="8" max="8" width="22.625" customWidth="1"/>
    <col min="9" max="9" width="13" customWidth="1"/>
    <col min="10" max="10" width="15.875" customWidth="1"/>
    <col min="11" max="11" width="8.75" customWidth="1"/>
    <col min="12" max="12" width="17.25" customWidth="1"/>
    <col min="13" max="13" width="17" customWidth="1"/>
    <col min="14" max="14" width="29.125" style="4" customWidth="1"/>
    <col min="15" max="15" width="15.75" customWidth="1"/>
    <col min="16" max="16" width="13.25" customWidth="1"/>
    <col min="17" max="17" width="13.25" style="4" customWidth="1"/>
    <col min="18" max="18" width="60.125" style="4" customWidth="1"/>
    <col min="19" max="19" width="16.875" customWidth="1"/>
    <col min="20" max="20" width="16.75" customWidth="1"/>
    <col min="21" max="21" width="14.375" customWidth="1"/>
    <col min="22" max="22" width="15.75" customWidth="1"/>
    <col min="23" max="23" width="14.75" customWidth="1"/>
  </cols>
  <sheetData>
    <row r="1" spans="1:24" s="1" customFormat="1" ht="50.1" customHeight="1">
      <c r="B1" s="6"/>
      <c r="E1" s="7"/>
      <c r="N1" s="6"/>
      <c r="Q1" s="6"/>
      <c r="R1" s="6"/>
    </row>
    <row r="2" spans="1:24" ht="49.5" customHeight="1">
      <c r="A2" s="8" t="s">
        <v>7</v>
      </c>
      <c r="B2" s="8" t="s">
        <v>8</v>
      </c>
      <c r="C2" s="9" t="s">
        <v>9</v>
      </c>
      <c r="D2" s="10" t="s">
        <v>10</v>
      </c>
      <c r="E2" s="10" t="s">
        <v>11</v>
      </c>
      <c r="F2" s="9" t="s">
        <v>12</v>
      </c>
      <c r="G2" s="9" t="s">
        <v>554</v>
      </c>
      <c r="H2" s="9" t="s">
        <v>555</v>
      </c>
      <c r="I2" s="9" t="s">
        <v>14</v>
      </c>
      <c r="J2" s="8" t="s">
        <v>15</v>
      </c>
      <c r="K2" s="9" t="s">
        <v>16</v>
      </c>
      <c r="L2" s="9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42" t="s">
        <v>22</v>
      </c>
      <c r="R2" s="43" t="s">
        <v>556</v>
      </c>
      <c r="S2" s="44" t="s">
        <v>557</v>
      </c>
      <c r="T2" s="45" t="s">
        <v>558</v>
      </c>
      <c r="U2" s="46" t="s">
        <v>559</v>
      </c>
      <c r="V2" s="47" t="s">
        <v>560</v>
      </c>
      <c r="W2" s="48" t="s">
        <v>561</v>
      </c>
      <c r="X2" s="48" t="s">
        <v>562</v>
      </c>
    </row>
    <row r="3" spans="1:24" ht="50.1" hidden="1" customHeight="1">
      <c r="A3" s="12" t="s">
        <v>65</v>
      </c>
      <c r="B3" s="12" t="s">
        <v>563</v>
      </c>
      <c r="C3" s="13">
        <v>12039954</v>
      </c>
      <c r="D3" s="14">
        <v>3</v>
      </c>
      <c r="E3" s="15">
        <v>60</v>
      </c>
      <c r="F3" s="16" t="s">
        <v>43</v>
      </c>
      <c r="G3" s="16" t="s">
        <v>202</v>
      </c>
      <c r="H3" s="17" t="s">
        <v>316</v>
      </c>
      <c r="I3" s="16">
        <v>2019</v>
      </c>
      <c r="J3" s="32">
        <v>43676</v>
      </c>
      <c r="K3" s="16" t="s">
        <v>154</v>
      </c>
      <c r="L3" s="16" t="s">
        <v>28</v>
      </c>
      <c r="M3" s="32">
        <v>44347</v>
      </c>
      <c r="N3" s="12" t="s">
        <v>321</v>
      </c>
      <c r="O3" s="16" t="s">
        <v>64</v>
      </c>
      <c r="P3" s="11" t="s">
        <v>158</v>
      </c>
      <c r="Q3" s="12"/>
      <c r="R3" s="12" t="s">
        <v>564</v>
      </c>
      <c r="S3" s="11" t="s">
        <v>438</v>
      </c>
      <c r="T3" s="11" t="s">
        <v>518</v>
      </c>
      <c r="U3" s="33">
        <v>46048</v>
      </c>
      <c r="V3" s="33">
        <v>46413</v>
      </c>
      <c r="W3" s="11">
        <f ca="1">V3-TODAY()</f>
        <v>328</v>
      </c>
      <c r="X3" s="11" t="str">
        <f ca="1">IF(W3&gt;=20,"Vigente",IF(AND(W3&gt;=1,W3&lt;=20),"Por Vencer","Vencido"))</f>
        <v>Vigente</v>
      </c>
    </row>
    <row r="4" spans="1:24" ht="63.75" hidden="1" customHeight="1">
      <c r="A4" s="12" t="s">
        <v>189</v>
      </c>
      <c r="B4" s="12" t="s">
        <v>565</v>
      </c>
      <c r="C4" s="13">
        <v>5615085</v>
      </c>
      <c r="D4" s="14">
        <v>4</v>
      </c>
      <c r="E4" s="15">
        <v>78</v>
      </c>
      <c r="F4" s="16" t="s">
        <v>25</v>
      </c>
      <c r="G4" s="16" t="s">
        <v>60</v>
      </c>
      <c r="H4" s="17" t="s">
        <v>316</v>
      </c>
      <c r="I4" s="16">
        <v>2018</v>
      </c>
      <c r="J4" s="32">
        <v>43389</v>
      </c>
      <c r="K4" s="16" t="s">
        <v>27</v>
      </c>
      <c r="L4" s="16" t="s">
        <v>28</v>
      </c>
      <c r="M4" s="16" t="s">
        <v>185</v>
      </c>
      <c r="N4" s="12" t="s">
        <v>181</v>
      </c>
      <c r="O4" s="16" t="s">
        <v>64</v>
      </c>
      <c r="P4" s="11" t="s">
        <v>158</v>
      </c>
      <c r="Q4" s="12"/>
      <c r="R4" s="12" t="s">
        <v>566</v>
      </c>
      <c r="S4" s="11" t="s">
        <v>438</v>
      </c>
      <c r="T4" s="11" t="s">
        <v>553</v>
      </c>
      <c r="U4" s="33">
        <v>46043</v>
      </c>
      <c r="V4" s="33">
        <v>46408</v>
      </c>
      <c r="W4" s="11">
        <f ca="1">V4-TODAY()</f>
        <v>323</v>
      </c>
      <c r="X4" s="11" t="str">
        <f ca="1">IF(W4&gt;=20,"Vigente",IF(AND(W4&gt;=1,W4&lt;=20),"Por Vencer","Vencido"))</f>
        <v>Vigente</v>
      </c>
    </row>
    <row r="5" spans="1:24" ht="69" hidden="1" customHeight="1">
      <c r="A5" s="12" t="s">
        <v>189</v>
      </c>
      <c r="B5" s="12" t="s">
        <v>567</v>
      </c>
      <c r="C5" s="13">
        <v>11228083</v>
      </c>
      <c r="D5" s="14">
        <v>9</v>
      </c>
      <c r="E5" s="15">
        <v>57</v>
      </c>
      <c r="F5" s="16" t="s">
        <v>33</v>
      </c>
      <c r="G5" s="16" t="s">
        <v>77</v>
      </c>
      <c r="H5" s="17" t="s">
        <v>316</v>
      </c>
      <c r="I5" s="16" t="s">
        <v>179</v>
      </c>
      <c r="J5" s="16" t="s">
        <v>183</v>
      </c>
      <c r="K5" s="16" t="s">
        <v>27</v>
      </c>
      <c r="L5" s="16" t="s">
        <v>28</v>
      </c>
      <c r="M5" s="16" t="s">
        <v>185</v>
      </c>
      <c r="N5" s="12" t="s">
        <v>181</v>
      </c>
      <c r="O5" s="16" t="s">
        <v>64</v>
      </c>
      <c r="P5" s="11" t="s">
        <v>158</v>
      </c>
      <c r="Q5" s="12"/>
      <c r="R5" s="21" t="s">
        <v>568</v>
      </c>
      <c r="S5" s="11" t="s">
        <v>281</v>
      </c>
      <c r="T5" s="11" t="s">
        <v>282</v>
      </c>
      <c r="U5" s="33">
        <v>46014</v>
      </c>
      <c r="V5" s="33">
        <v>46076</v>
      </c>
      <c r="W5" s="11">
        <f ca="1">V5-TODAY()</f>
        <v>-9</v>
      </c>
      <c r="X5" s="11" t="str">
        <f ca="1">IF(W5&gt;=20,"Vigente",IF(AND(W5&gt;=1,W5&lt;=20),"Por Vencer","Vencido"))</f>
        <v>Vencido</v>
      </c>
    </row>
    <row r="6" spans="1:24" ht="50.1" hidden="1" customHeight="1">
      <c r="A6" s="12" t="s">
        <v>189</v>
      </c>
      <c r="B6" s="12" t="s">
        <v>569</v>
      </c>
      <c r="C6" s="13">
        <v>4200383</v>
      </c>
      <c r="D6" s="14">
        <v>2</v>
      </c>
      <c r="E6" s="15">
        <v>84</v>
      </c>
      <c r="F6" s="16" t="s">
        <v>25</v>
      </c>
      <c r="G6" s="16" t="s">
        <v>60</v>
      </c>
      <c r="H6" s="17" t="s">
        <v>316</v>
      </c>
      <c r="I6" s="16">
        <v>2014</v>
      </c>
      <c r="J6" s="32">
        <v>41748</v>
      </c>
      <c r="K6" s="16" t="s">
        <v>27</v>
      </c>
      <c r="L6" s="16" t="s">
        <v>28</v>
      </c>
      <c r="M6" s="32">
        <v>43723</v>
      </c>
      <c r="N6" s="12" t="s">
        <v>528</v>
      </c>
      <c r="O6" s="16" t="s">
        <v>64</v>
      </c>
      <c r="P6" s="11" t="s">
        <v>158</v>
      </c>
      <c r="Q6" s="12"/>
      <c r="R6" s="21" t="s">
        <v>570</v>
      </c>
      <c r="S6" s="11" t="s">
        <v>438</v>
      </c>
      <c r="T6" s="11" t="s">
        <v>518</v>
      </c>
      <c r="U6" s="33">
        <v>45965</v>
      </c>
      <c r="V6" s="33">
        <v>46330</v>
      </c>
      <c r="W6" s="11">
        <f ca="1">V6-TODAY()</f>
        <v>245</v>
      </c>
      <c r="X6" s="11" t="str">
        <f ca="1">IF(W6&gt;=20,"Vigente",IF(AND(W6&gt;=1,W6&lt;=20),"Por Vencer","Vencido"))</f>
        <v>Vigente</v>
      </c>
    </row>
    <row r="7" spans="1:24" ht="50.1" hidden="1" customHeight="1">
      <c r="A7" s="12" t="s">
        <v>65</v>
      </c>
      <c r="B7" s="12" t="s">
        <v>571</v>
      </c>
      <c r="C7" s="13">
        <v>8859986</v>
      </c>
      <c r="D7" s="14">
        <v>1</v>
      </c>
      <c r="E7" s="15">
        <v>67</v>
      </c>
      <c r="F7" s="16" t="s">
        <v>70</v>
      </c>
      <c r="G7" s="16" t="s">
        <v>86</v>
      </c>
      <c r="H7" s="17" t="s">
        <v>316</v>
      </c>
      <c r="I7" s="16">
        <v>2021</v>
      </c>
      <c r="J7" s="32">
        <v>44515</v>
      </c>
      <c r="K7" s="16" t="s">
        <v>167</v>
      </c>
      <c r="L7" s="16" t="s">
        <v>28</v>
      </c>
      <c r="M7" s="32">
        <v>44379</v>
      </c>
      <c r="N7" s="12" t="s">
        <v>528</v>
      </c>
      <c r="O7" s="16" t="s">
        <v>64</v>
      </c>
      <c r="P7" s="11" t="s">
        <v>158</v>
      </c>
      <c r="Q7" s="12"/>
      <c r="R7" s="21" t="s">
        <v>572</v>
      </c>
      <c r="S7" s="11" t="s">
        <v>573</v>
      </c>
      <c r="T7" s="11" t="s">
        <v>553</v>
      </c>
      <c r="U7" s="33">
        <v>46006</v>
      </c>
      <c r="V7" s="33">
        <v>46341</v>
      </c>
      <c r="W7" s="11">
        <f ca="1">V7-TODAY()</f>
        <v>256</v>
      </c>
      <c r="X7" s="11" t="str">
        <f ca="1">IF(W7&gt;=20,"Vigente",IF(AND(W7&gt;=1,W7&lt;=20),"Por Vencer","Vencido"))</f>
        <v>Vigente</v>
      </c>
    </row>
    <row r="8" spans="1:24" ht="50.1" hidden="1" customHeight="1">
      <c r="A8" s="12" t="s">
        <v>189</v>
      </c>
      <c r="B8" s="12" t="s">
        <v>574</v>
      </c>
      <c r="C8" s="18">
        <v>9260196</v>
      </c>
      <c r="D8" s="14" t="s">
        <v>135</v>
      </c>
      <c r="E8" s="15">
        <v>63</v>
      </c>
      <c r="F8" s="16" t="s">
        <v>25</v>
      </c>
      <c r="G8" s="16" t="s">
        <v>60</v>
      </c>
      <c r="H8" s="17" t="s">
        <v>316</v>
      </c>
      <c r="I8" s="16">
        <v>2023</v>
      </c>
      <c r="J8" s="32">
        <v>44995</v>
      </c>
      <c r="K8" s="16" t="s">
        <v>27</v>
      </c>
      <c r="L8" s="16" t="s">
        <v>28</v>
      </c>
      <c r="M8" s="32">
        <v>45356</v>
      </c>
      <c r="N8" s="12" t="s">
        <v>420</v>
      </c>
      <c r="O8" s="96" t="s">
        <v>2</v>
      </c>
      <c r="P8" s="11" t="s">
        <v>158</v>
      </c>
      <c r="Q8" s="12"/>
      <c r="R8" s="21" t="s">
        <v>575</v>
      </c>
      <c r="S8" s="11" t="s">
        <v>289</v>
      </c>
      <c r="T8" s="11" t="s">
        <v>282</v>
      </c>
      <c r="U8" s="33">
        <v>38641</v>
      </c>
      <c r="V8" s="33">
        <v>45977</v>
      </c>
      <c r="W8" s="11">
        <f ca="1">V8-TODAY()</f>
        <v>-108</v>
      </c>
      <c r="X8" s="11" t="str">
        <f ca="1">IF(W8&gt;=20,"Vigente",IF(AND(W8&gt;=1,W8&lt;=20),"Por Vencer","Vencido"))</f>
        <v>Vencido</v>
      </c>
    </row>
    <row r="9" spans="1:24" s="2" customFormat="1" ht="50.1" hidden="1" customHeight="1">
      <c r="A9" s="21" t="s">
        <v>189</v>
      </c>
      <c r="B9" s="21" t="s">
        <v>576</v>
      </c>
      <c r="C9" s="22">
        <v>8108342</v>
      </c>
      <c r="D9" s="23">
        <v>8</v>
      </c>
      <c r="E9" s="24">
        <v>65</v>
      </c>
      <c r="F9" s="17" t="s">
        <v>25</v>
      </c>
      <c r="G9" s="17" t="s">
        <v>60</v>
      </c>
      <c r="H9" s="17" t="s">
        <v>316</v>
      </c>
      <c r="I9" s="17" t="s">
        <v>179</v>
      </c>
      <c r="J9" s="17" t="s">
        <v>183</v>
      </c>
      <c r="K9" s="17" t="s">
        <v>68</v>
      </c>
      <c r="L9" s="17" t="s">
        <v>28</v>
      </c>
      <c r="M9" s="41">
        <v>44445</v>
      </c>
      <c r="N9" s="40" t="s">
        <v>577</v>
      </c>
      <c r="O9" s="17" t="s">
        <v>64</v>
      </c>
      <c r="P9" s="20" t="s">
        <v>34</v>
      </c>
      <c r="Q9" s="21" t="s">
        <v>578</v>
      </c>
      <c r="R9" s="21" t="s">
        <v>579</v>
      </c>
      <c r="S9" s="20" t="s">
        <v>289</v>
      </c>
      <c r="T9" s="20" t="s">
        <v>286</v>
      </c>
      <c r="U9" s="41">
        <v>45946</v>
      </c>
      <c r="V9" s="41">
        <v>45977</v>
      </c>
      <c r="W9" s="20">
        <f ca="1">V9-TODAY()</f>
        <v>-108</v>
      </c>
      <c r="X9" s="20" t="str">
        <f ca="1">IF(W9&gt;=20,"Vigente",IF(AND(W9&gt;=1,W9&lt;=20),"Por Vencer","Vencido"))</f>
        <v>Vencido</v>
      </c>
    </row>
    <row r="10" spans="1:24" s="2" customFormat="1" ht="50.1" hidden="1" customHeight="1">
      <c r="A10" s="21" t="s">
        <v>189</v>
      </c>
      <c r="B10" s="21" t="s">
        <v>580</v>
      </c>
      <c r="C10" s="22">
        <v>8052312</v>
      </c>
      <c r="D10" s="23">
        <v>2</v>
      </c>
      <c r="E10" s="170">
        <v>63.898630136986299</v>
      </c>
      <c r="F10" s="17" t="s">
        <v>25</v>
      </c>
      <c r="G10" s="17" t="s">
        <v>67</v>
      </c>
      <c r="H10" s="17" t="s">
        <v>316</v>
      </c>
      <c r="I10" s="17">
        <v>2022</v>
      </c>
      <c r="J10" s="34">
        <v>44718</v>
      </c>
      <c r="K10" s="17" t="s">
        <v>27</v>
      </c>
      <c r="L10" s="17" t="s">
        <v>28</v>
      </c>
      <c r="M10" s="34">
        <v>44809</v>
      </c>
      <c r="N10" s="21" t="s">
        <v>581</v>
      </c>
      <c r="O10" s="17" t="s">
        <v>64</v>
      </c>
      <c r="P10" s="20" t="s">
        <v>155</v>
      </c>
      <c r="Q10" s="21"/>
      <c r="R10" s="21" t="s">
        <v>582</v>
      </c>
      <c r="S10" s="20" t="s">
        <v>438</v>
      </c>
      <c r="T10" s="20" t="s">
        <v>294</v>
      </c>
      <c r="U10" s="41">
        <v>46014</v>
      </c>
      <c r="V10" s="41">
        <v>46076</v>
      </c>
      <c r="W10" s="20">
        <f ca="1">V10-TODAY()</f>
        <v>-9</v>
      </c>
      <c r="X10" s="20" t="str">
        <f ca="1">IF(W10&gt;=20,"Vigente",IF(AND(W10&gt;=1,W10&lt;=20),"Por Vencer","Vencido"))</f>
        <v>Vencido</v>
      </c>
    </row>
    <row r="11" spans="1:24" ht="50.1" hidden="1" customHeight="1">
      <c r="A11" s="12" t="s">
        <v>65</v>
      </c>
      <c r="B11" s="12" t="s">
        <v>583</v>
      </c>
      <c r="C11" s="13">
        <v>12167101</v>
      </c>
      <c r="D11" s="14">
        <v>8</v>
      </c>
      <c r="E11" s="15">
        <v>47</v>
      </c>
      <c r="F11" s="16" t="s">
        <v>25</v>
      </c>
      <c r="G11" s="16" t="s">
        <v>104</v>
      </c>
      <c r="H11" s="17" t="s">
        <v>316</v>
      </c>
      <c r="I11" s="16">
        <v>2023</v>
      </c>
      <c r="J11" s="32">
        <v>45194</v>
      </c>
      <c r="K11" s="16" t="s">
        <v>167</v>
      </c>
      <c r="L11" s="16" t="s">
        <v>28</v>
      </c>
      <c r="M11" s="32">
        <v>44768</v>
      </c>
      <c r="N11" s="12" t="s">
        <v>449</v>
      </c>
      <c r="O11" s="16" t="s">
        <v>64</v>
      </c>
      <c r="P11" s="11" t="s">
        <v>34</v>
      </c>
      <c r="Q11" s="12" t="s">
        <v>584</v>
      </c>
      <c r="R11" s="21" t="s">
        <v>585</v>
      </c>
      <c r="S11" s="11" t="s">
        <v>586</v>
      </c>
      <c r="T11" s="11" t="s">
        <v>299</v>
      </c>
      <c r="U11" s="33">
        <v>45687</v>
      </c>
      <c r="V11" s="33">
        <v>45868</v>
      </c>
      <c r="W11" s="11">
        <f ca="1">V11-TODAY()</f>
        <v>-217</v>
      </c>
      <c r="X11" s="11" t="str">
        <f ca="1">IF(W11&gt;=20,"Vigente",IF(AND(W11&gt;=1,W11&lt;=20),"Por Vencer","Vencido"))</f>
        <v>Vencido</v>
      </c>
    </row>
    <row r="12" spans="1:24" ht="50.1" hidden="1" customHeight="1">
      <c r="A12" s="12" t="s">
        <v>189</v>
      </c>
      <c r="B12" s="12" t="s">
        <v>587</v>
      </c>
      <c r="C12" s="13">
        <v>5885781</v>
      </c>
      <c r="D12" s="14">
        <v>5</v>
      </c>
      <c r="E12" s="15">
        <v>77</v>
      </c>
      <c r="F12" s="16" t="s">
        <v>25</v>
      </c>
      <c r="G12" s="16" t="s">
        <v>60</v>
      </c>
      <c r="H12" s="17" t="s">
        <v>316</v>
      </c>
      <c r="I12" s="16">
        <v>2022</v>
      </c>
      <c r="J12" s="32">
        <v>44705</v>
      </c>
      <c r="K12" s="16" t="s">
        <v>27</v>
      </c>
      <c r="L12" s="16" t="s">
        <v>28</v>
      </c>
      <c r="M12" s="32">
        <v>44774</v>
      </c>
      <c r="N12" s="12" t="s">
        <v>162</v>
      </c>
      <c r="O12" s="16" t="s">
        <v>64</v>
      </c>
      <c r="P12" s="11" t="s">
        <v>158</v>
      </c>
      <c r="Q12" s="12"/>
      <c r="R12" s="21" t="s">
        <v>588</v>
      </c>
      <c r="S12" s="11" t="s">
        <v>589</v>
      </c>
      <c r="T12" s="11" t="s">
        <v>553</v>
      </c>
      <c r="U12" s="33">
        <v>46006</v>
      </c>
      <c r="V12" s="33">
        <v>46310</v>
      </c>
      <c r="W12" s="11">
        <f ca="1">V12-TODAY()</f>
        <v>225</v>
      </c>
      <c r="X12" s="11" t="str">
        <f ca="1">IF(W12&gt;=20,"Vigente",IF(AND(W12&gt;=1,W12&lt;=20),"Por Vencer","Vencido"))</f>
        <v>Vigente</v>
      </c>
    </row>
    <row r="13" spans="1:24" ht="50.1" hidden="1" customHeight="1">
      <c r="A13" s="12" t="s">
        <v>65</v>
      </c>
      <c r="B13" s="12" t="s">
        <v>590</v>
      </c>
      <c r="C13" s="13">
        <v>4923004</v>
      </c>
      <c r="D13" s="14">
        <v>4</v>
      </c>
      <c r="E13" s="15">
        <v>80</v>
      </c>
      <c r="F13" s="16" t="s">
        <v>25</v>
      </c>
      <c r="G13" s="16" t="s">
        <v>88</v>
      </c>
      <c r="H13" s="17" t="s">
        <v>316</v>
      </c>
      <c r="I13" s="16">
        <v>2022</v>
      </c>
      <c r="J13" s="32">
        <v>44658</v>
      </c>
      <c r="K13" s="16" t="s">
        <v>154</v>
      </c>
      <c r="L13" s="16" t="s">
        <v>28</v>
      </c>
      <c r="M13" s="16" t="s">
        <v>185</v>
      </c>
      <c r="N13" s="12" t="s">
        <v>181</v>
      </c>
      <c r="O13" s="16" t="s">
        <v>64</v>
      </c>
      <c r="P13" s="11" t="s">
        <v>155</v>
      </c>
      <c r="Q13" s="12"/>
      <c r="R13" s="21" t="s">
        <v>591</v>
      </c>
      <c r="S13" s="11" t="s">
        <v>586</v>
      </c>
      <c r="T13" s="11" t="s">
        <v>540</v>
      </c>
      <c r="U13" s="33">
        <v>45979</v>
      </c>
      <c r="V13" s="33">
        <v>46160</v>
      </c>
      <c r="W13" s="11">
        <f ca="1">V13-TODAY()</f>
        <v>75</v>
      </c>
      <c r="X13" s="11" t="str">
        <f ca="1">IF(W13&gt;=20,"Vigente",IF(AND(W13&gt;=1,W13&lt;=20),"Por Vencer","Vencido"))</f>
        <v>Vigente</v>
      </c>
    </row>
    <row r="14" spans="1:24" ht="50.1" hidden="1" customHeight="1">
      <c r="A14" s="12" t="s">
        <v>189</v>
      </c>
      <c r="B14" s="12" t="s">
        <v>592</v>
      </c>
      <c r="C14" s="13">
        <v>5733794</v>
      </c>
      <c r="D14" s="14" t="s">
        <v>135</v>
      </c>
      <c r="E14" s="15">
        <v>82</v>
      </c>
      <c r="F14" s="16" t="s">
        <v>25</v>
      </c>
      <c r="G14" s="16" t="s">
        <v>60</v>
      </c>
      <c r="H14" s="17" t="s">
        <v>316</v>
      </c>
      <c r="I14" s="16">
        <v>2019</v>
      </c>
      <c r="J14" s="32">
        <v>43607</v>
      </c>
      <c r="K14" s="16" t="s">
        <v>27</v>
      </c>
      <c r="L14" s="16" t="s">
        <v>28</v>
      </c>
      <c r="M14" s="32">
        <v>43703</v>
      </c>
      <c r="N14" s="12" t="s">
        <v>593</v>
      </c>
      <c r="O14" s="16" t="s">
        <v>64</v>
      </c>
      <c r="P14" s="11" t="s">
        <v>158</v>
      </c>
      <c r="Q14" s="12"/>
      <c r="R14" s="21" t="s">
        <v>594</v>
      </c>
      <c r="S14" s="11" t="s">
        <v>438</v>
      </c>
      <c r="T14" s="11" t="s">
        <v>518</v>
      </c>
      <c r="U14" s="33">
        <v>46070</v>
      </c>
      <c r="V14" s="33">
        <v>46435</v>
      </c>
      <c r="W14" s="11">
        <f ca="1">V14-TODAY()</f>
        <v>350</v>
      </c>
      <c r="X14" s="11" t="str">
        <f ca="1">IF(W14&gt;=20,"Vigente",IF(AND(W14&gt;=1,W14&lt;=20),"Por Vencer","Vencido"))</f>
        <v>Vigente</v>
      </c>
    </row>
    <row r="15" spans="1:24" ht="82.5" hidden="1" customHeight="1">
      <c r="A15" s="12" t="s">
        <v>189</v>
      </c>
      <c r="B15" s="12" t="s">
        <v>595</v>
      </c>
      <c r="C15" s="13">
        <v>8470491</v>
      </c>
      <c r="D15" s="14">
        <v>1</v>
      </c>
      <c r="E15" s="15">
        <v>74</v>
      </c>
      <c r="F15" s="16" t="s">
        <v>25</v>
      </c>
      <c r="G15" s="16" t="s">
        <v>60</v>
      </c>
      <c r="H15" s="17" t="s">
        <v>316</v>
      </c>
      <c r="I15" s="16">
        <v>2021</v>
      </c>
      <c r="J15" s="32">
        <v>44561</v>
      </c>
      <c r="K15" s="16" t="s">
        <v>38</v>
      </c>
      <c r="L15" s="16" t="s">
        <v>28</v>
      </c>
      <c r="M15" s="32">
        <v>44746</v>
      </c>
      <c r="N15" s="12" t="s">
        <v>435</v>
      </c>
      <c r="O15" s="16" t="s">
        <v>64</v>
      </c>
      <c r="P15" s="11" t="s">
        <v>158</v>
      </c>
      <c r="Q15" s="172"/>
      <c r="R15" s="21" t="s">
        <v>596</v>
      </c>
      <c r="S15" s="11" t="s">
        <v>597</v>
      </c>
      <c r="T15" s="11" t="s">
        <v>327</v>
      </c>
      <c r="U15" s="33">
        <v>45915</v>
      </c>
      <c r="V15" s="33">
        <v>46280</v>
      </c>
      <c r="W15" s="11">
        <f ca="1">V15-TODAY()</f>
        <v>195</v>
      </c>
      <c r="X15" s="11" t="str">
        <f ca="1">IF(W15&gt;=20,"Vigente",IF(AND(W15&gt;=1,W15&lt;=20),"Por Vencer","Vencido"))</f>
        <v>Vigente</v>
      </c>
    </row>
    <row r="16" spans="1:24" s="2" customFormat="1" ht="50.1" hidden="1" customHeight="1">
      <c r="A16" s="21" t="s">
        <v>65</v>
      </c>
      <c r="B16" s="21" t="s">
        <v>598</v>
      </c>
      <c r="C16" s="22">
        <v>7306019</v>
      </c>
      <c r="D16" s="23">
        <v>2</v>
      </c>
      <c r="E16" s="24">
        <v>71</v>
      </c>
      <c r="F16" s="17" t="s">
        <v>25</v>
      </c>
      <c r="G16" s="17" t="s">
        <v>88</v>
      </c>
      <c r="H16" s="17" t="s">
        <v>316</v>
      </c>
      <c r="I16" s="17" t="s">
        <v>179</v>
      </c>
      <c r="J16" s="17" t="s">
        <v>183</v>
      </c>
      <c r="K16" s="17" t="s">
        <v>167</v>
      </c>
      <c r="L16" s="17" t="s">
        <v>28</v>
      </c>
      <c r="M16" s="34">
        <v>44893</v>
      </c>
      <c r="N16" s="21" t="s">
        <v>599</v>
      </c>
      <c r="O16" s="96" t="s">
        <v>2</v>
      </c>
      <c r="P16" s="20" t="s">
        <v>155</v>
      </c>
      <c r="Q16" s="21"/>
      <c r="R16" s="21" t="s">
        <v>600</v>
      </c>
      <c r="S16" s="20" t="s">
        <v>438</v>
      </c>
      <c r="T16" s="20" t="s">
        <v>282</v>
      </c>
      <c r="U16" s="41">
        <v>45946</v>
      </c>
      <c r="V16" s="41">
        <v>46038</v>
      </c>
      <c r="W16" s="20">
        <f ca="1">V16-TODAY()</f>
        <v>-47</v>
      </c>
      <c r="X16" s="20" t="str">
        <f ca="1">IF(W16&gt;=20,"Vigente",IF(AND(W16&gt;=1,W16&lt;=20),"Por Vencer","Vencido"))</f>
        <v>Vencido</v>
      </c>
    </row>
    <row r="17" spans="1:24" ht="50.1" hidden="1" customHeight="1">
      <c r="A17" s="12" t="s">
        <v>65</v>
      </c>
      <c r="B17" s="12" t="s">
        <v>601</v>
      </c>
      <c r="C17" s="13">
        <v>10627673</v>
      </c>
      <c r="D17" s="14">
        <v>0</v>
      </c>
      <c r="E17" s="15">
        <v>57</v>
      </c>
      <c r="F17" s="16" t="s">
        <v>33</v>
      </c>
      <c r="G17" s="16" t="s">
        <v>258</v>
      </c>
      <c r="H17" s="17" t="s">
        <v>316</v>
      </c>
      <c r="I17" s="16">
        <v>2020</v>
      </c>
      <c r="J17" s="16" t="s">
        <v>183</v>
      </c>
      <c r="K17" s="16" t="s">
        <v>27</v>
      </c>
      <c r="L17" s="16" t="s">
        <v>28</v>
      </c>
      <c r="M17" s="16" t="s">
        <v>185</v>
      </c>
      <c r="N17" s="12" t="s">
        <v>181</v>
      </c>
      <c r="O17" s="16" t="s">
        <v>64</v>
      </c>
      <c r="P17" s="11"/>
      <c r="Q17" s="12"/>
      <c r="R17" s="21" t="s">
        <v>602</v>
      </c>
      <c r="S17" s="11" t="s">
        <v>438</v>
      </c>
      <c r="T17" s="11" t="s">
        <v>530</v>
      </c>
      <c r="U17" s="33">
        <v>45876</v>
      </c>
      <c r="V17" s="33">
        <v>46241</v>
      </c>
      <c r="W17" s="11">
        <f ca="1">V17-TODAY()</f>
        <v>156</v>
      </c>
      <c r="X17" s="11" t="str">
        <f ca="1">IF(W17&gt;=20,"Vigente",IF(AND(W17&gt;=1,W17&lt;=20),"Por Vencer","Vencido"))</f>
        <v>Vigente</v>
      </c>
    </row>
    <row r="18" spans="1:24" ht="50.1" hidden="1" customHeight="1">
      <c r="A18" s="12" t="s">
        <v>189</v>
      </c>
      <c r="B18" s="12" t="s">
        <v>603</v>
      </c>
      <c r="C18" s="13">
        <v>7942384</v>
      </c>
      <c r="D18" s="14" t="s">
        <v>135</v>
      </c>
      <c r="E18" s="19">
        <v>67.175342465753403</v>
      </c>
      <c r="F18" s="16" t="s">
        <v>25</v>
      </c>
      <c r="G18" s="16" t="s">
        <v>60</v>
      </c>
      <c r="H18" s="17" t="s">
        <v>316</v>
      </c>
      <c r="I18" s="16">
        <v>2023</v>
      </c>
      <c r="J18" s="32">
        <v>44993</v>
      </c>
      <c r="K18" s="16" t="s">
        <v>27</v>
      </c>
      <c r="L18" s="16" t="s">
        <v>28</v>
      </c>
      <c r="M18" s="32">
        <v>45147</v>
      </c>
      <c r="N18" s="12" t="s">
        <v>435</v>
      </c>
      <c r="O18" s="16" t="s">
        <v>64</v>
      </c>
      <c r="P18" s="11" t="s">
        <v>158</v>
      </c>
      <c r="Q18" s="174"/>
      <c r="R18" s="49" t="s">
        <v>604</v>
      </c>
      <c r="S18" s="11" t="s">
        <v>438</v>
      </c>
      <c r="T18" s="11" t="s">
        <v>530</v>
      </c>
      <c r="U18" s="33">
        <v>45908</v>
      </c>
      <c r="V18" s="33">
        <v>46273</v>
      </c>
      <c r="W18" s="11">
        <f ca="1">V18-TODAY()</f>
        <v>188</v>
      </c>
      <c r="X18" s="11" t="str">
        <f ca="1">IF(W18&gt;=20,"Vigente",IF(AND(W18&gt;=1,W18&lt;=20),"Por Vencer","Vencido"))</f>
        <v>Vigente</v>
      </c>
    </row>
    <row r="19" spans="1:24" ht="50.1" hidden="1" customHeight="1">
      <c r="A19" s="12" t="s">
        <v>189</v>
      </c>
      <c r="B19" s="12" t="s">
        <v>605</v>
      </c>
      <c r="C19" s="13">
        <v>13208865</v>
      </c>
      <c r="D19" s="14">
        <v>9</v>
      </c>
      <c r="E19" s="15">
        <v>48</v>
      </c>
      <c r="F19" s="25" t="s">
        <v>70</v>
      </c>
      <c r="G19" s="16" t="s">
        <v>60</v>
      </c>
      <c r="H19" s="17" t="s">
        <v>316</v>
      </c>
      <c r="I19" s="16">
        <v>2024</v>
      </c>
      <c r="J19" s="32">
        <v>45412</v>
      </c>
      <c r="K19" s="16" t="s">
        <v>68</v>
      </c>
      <c r="L19" s="16" t="s">
        <v>28</v>
      </c>
      <c r="M19" s="33">
        <v>45861</v>
      </c>
      <c r="N19" s="171" t="s">
        <v>606</v>
      </c>
      <c r="O19" s="96" t="s">
        <v>2</v>
      </c>
      <c r="P19" s="11" t="s">
        <v>158</v>
      </c>
      <c r="Q19" s="12"/>
      <c r="R19" s="165" t="s">
        <v>607</v>
      </c>
      <c r="S19" s="175" t="s">
        <v>281</v>
      </c>
      <c r="T19" s="11" t="s">
        <v>282</v>
      </c>
      <c r="U19" s="33">
        <v>46014</v>
      </c>
      <c r="V19" s="33">
        <v>46076</v>
      </c>
      <c r="W19" s="11">
        <f ca="1">V19-TODAY()</f>
        <v>-9</v>
      </c>
      <c r="X19" s="11" t="str">
        <f ca="1">IF(W19&gt;=20,"Vigente",IF(AND(W19&gt;=1,W19&lt;=20),"Por Vencer","Vencido"))</f>
        <v>Vencido</v>
      </c>
    </row>
    <row r="20" spans="1:24" ht="50.1" hidden="1" customHeight="1">
      <c r="A20" s="12" t="s">
        <v>189</v>
      </c>
      <c r="B20" s="12" t="s">
        <v>608</v>
      </c>
      <c r="C20" s="13">
        <v>10800453</v>
      </c>
      <c r="D20" s="14">
        <v>3</v>
      </c>
      <c r="E20" s="15">
        <v>56</v>
      </c>
      <c r="F20" s="16" t="s">
        <v>25</v>
      </c>
      <c r="G20" s="16" t="s">
        <v>60</v>
      </c>
      <c r="H20" s="17" t="s">
        <v>316</v>
      </c>
      <c r="I20" s="16">
        <v>2024</v>
      </c>
      <c r="J20" s="32">
        <v>45505</v>
      </c>
      <c r="K20" s="16" t="s">
        <v>68</v>
      </c>
      <c r="L20" s="16" t="s">
        <v>28</v>
      </c>
      <c r="M20" s="33">
        <v>45721</v>
      </c>
      <c r="N20" s="28" t="s">
        <v>609</v>
      </c>
      <c r="O20" s="96" t="s">
        <v>2</v>
      </c>
      <c r="P20" s="11" t="s">
        <v>158</v>
      </c>
      <c r="Q20" s="12"/>
      <c r="R20" s="21" t="s">
        <v>610</v>
      </c>
      <c r="S20" s="175" t="s">
        <v>281</v>
      </c>
      <c r="T20" s="11" t="s">
        <v>611</v>
      </c>
      <c r="U20" s="33">
        <v>45896</v>
      </c>
      <c r="V20" s="33">
        <v>45957</v>
      </c>
      <c r="W20" s="11">
        <f ca="1">V20-TODAY()</f>
        <v>-128</v>
      </c>
      <c r="X20" s="11" t="str">
        <f ca="1">IF(W20&gt;=20,"Vigente",IF(AND(W20&gt;=1,W20&lt;=20),"Por Vencer","Vencido"))</f>
        <v>Vencido</v>
      </c>
    </row>
    <row r="21" spans="1:24" ht="50.1" hidden="1" customHeight="1">
      <c r="A21" s="12" t="s">
        <v>189</v>
      </c>
      <c r="B21" s="12" t="s">
        <v>612</v>
      </c>
      <c r="C21" s="13">
        <v>2808401</v>
      </c>
      <c r="D21" s="14">
        <v>3</v>
      </c>
      <c r="E21" s="15">
        <v>92</v>
      </c>
      <c r="F21" s="16" t="s">
        <v>25</v>
      </c>
      <c r="G21" s="16" t="s">
        <v>60</v>
      </c>
      <c r="H21" s="17" t="s">
        <v>316</v>
      </c>
      <c r="I21" s="16">
        <v>2024</v>
      </c>
      <c r="J21" s="32">
        <v>45607</v>
      </c>
      <c r="K21" s="16" t="s">
        <v>68</v>
      </c>
      <c r="L21" s="16" t="s">
        <v>162</v>
      </c>
      <c r="M21" s="33">
        <v>45671</v>
      </c>
      <c r="N21" s="28" t="s">
        <v>387</v>
      </c>
      <c r="O21" s="16" t="s">
        <v>64</v>
      </c>
      <c r="P21" s="11" t="s">
        <v>158</v>
      </c>
      <c r="Q21" s="12"/>
      <c r="R21" s="172" t="s">
        <v>613</v>
      </c>
      <c r="S21" s="11" t="s">
        <v>293</v>
      </c>
      <c r="T21" s="11" t="s">
        <v>294</v>
      </c>
      <c r="U21" s="33">
        <v>46014</v>
      </c>
      <c r="V21" s="33">
        <v>46104</v>
      </c>
      <c r="W21" s="11">
        <f ca="1">V21-TODAY()</f>
        <v>19</v>
      </c>
      <c r="X21" s="11" t="str">
        <f ca="1">IF(W21&gt;=20,"Vigente",IF(AND(W21&gt;=1,W21&lt;=20),"Por Vencer","Vencido"))</f>
        <v>Por Vencer</v>
      </c>
    </row>
    <row r="22" spans="1:24" ht="50.1" hidden="1" customHeight="1">
      <c r="A22" s="12" t="s">
        <v>189</v>
      </c>
      <c r="B22" s="12" t="s">
        <v>614</v>
      </c>
      <c r="C22" s="13">
        <v>10124105</v>
      </c>
      <c r="D22" s="14" t="s">
        <v>135</v>
      </c>
      <c r="E22" s="15">
        <v>58</v>
      </c>
      <c r="F22" s="16" t="s">
        <v>25</v>
      </c>
      <c r="G22" s="16" t="s">
        <v>60</v>
      </c>
      <c r="H22" s="17" t="s">
        <v>316</v>
      </c>
      <c r="I22" s="16">
        <v>2021</v>
      </c>
      <c r="J22" s="32">
        <v>44221</v>
      </c>
      <c r="K22" s="16" t="s">
        <v>27</v>
      </c>
      <c r="L22" s="16" t="s">
        <v>28</v>
      </c>
      <c r="M22" s="16" t="s">
        <v>185</v>
      </c>
      <c r="N22" s="12" t="s">
        <v>181</v>
      </c>
      <c r="O22" s="16" t="s">
        <v>64</v>
      </c>
      <c r="P22" s="11" t="s">
        <v>158</v>
      </c>
      <c r="Q22" s="12"/>
      <c r="R22" s="21" t="s">
        <v>615</v>
      </c>
      <c r="S22" s="11" t="s">
        <v>438</v>
      </c>
      <c r="T22" s="11" t="s">
        <v>530</v>
      </c>
      <c r="U22" s="33">
        <v>45860</v>
      </c>
      <c r="V22" s="33">
        <v>46225</v>
      </c>
      <c r="W22" s="11">
        <f ca="1">V22-TODAY()</f>
        <v>140</v>
      </c>
      <c r="X22" s="11" t="str">
        <f ca="1">IF(W22&gt;=20,"Vigente",IF(AND(W22&gt;=1,W22&lt;=20),"Por Vencer","Vencido"))</f>
        <v>Vigente</v>
      </c>
    </row>
    <row r="23" spans="1:24" ht="50.1" hidden="1" customHeight="1">
      <c r="A23" s="12" t="s">
        <v>65</v>
      </c>
      <c r="B23" s="26" t="s">
        <v>616</v>
      </c>
      <c r="C23" s="16">
        <v>16595912</v>
      </c>
      <c r="D23" s="27">
        <v>4</v>
      </c>
      <c r="E23" s="15">
        <v>38</v>
      </c>
      <c r="F23" s="11" t="s">
        <v>25</v>
      </c>
      <c r="G23" s="16" t="s">
        <v>617</v>
      </c>
      <c r="H23" s="17" t="s">
        <v>316</v>
      </c>
      <c r="I23" s="35" t="s">
        <v>179</v>
      </c>
      <c r="J23" s="35" t="s">
        <v>480</v>
      </c>
      <c r="K23" s="35" t="s">
        <v>27</v>
      </c>
      <c r="L23" s="35" t="s">
        <v>618</v>
      </c>
      <c r="M23" s="36">
        <v>45735</v>
      </c>
      <c r="N23" s="37" t="s">
        <v>619</v>
      </c>
      <c r="O23" s="96" t="s">
        <v>2</v>
      </c>
      <c r="P23" s="35" t="s">
        <v>158</v>
      </c>
      <c r="Q23" s="37"/>
      <c r="R23" s="173" t="s">
        <v>620</v>
      </c>
      <c r="S23" s="35" t="s">
        <v>289</v>
      </c>
      <c r="T23" s="35" t="s">
        <v>282</v>
      </c>
      <c r="U23" s="36">
        <v>45946</v>
      </c>
      <c r="V23" s="36">
        <v>45977</v>
      </c>
      <c r="W23" s="11">
        <f ca="1">V23-TODAY()</f>
        <v>-108</v>
      </c>
      <c r="X23" s="11" t="str">
        <f ca="1">IF(W23&gt;=20,"Vigente",IF(AND(W23&gt;=1,W23&lt;=20),"Por Vencer","Vencido"))</f>
        <v>Vencido</v>
      </c>
    </row>
    <row r="24" spans="1:24" ht="50.1" hidden="1" customHeight="1">
      <c r="A24" s="12" t="s">
        <v>65</v>
      </c>
      <c r="B24" s="12" t="s">
        <v>621</v>
      </c>
      <c r="C24" s="22">
        <v>4587350</v>
      </c>
      <c r="D24" s="15">
        <v>1</v>
      </c>
      <c r="E24" s="15">
        <v>87</v>
      </c>
      <c r="F24" s="16" t="s">
        <v>25</v>
      </c>
      <c r="G24" s="16" t="s">
        <v>86</v>
      </c>
      <c r="H24" s="17" t="s">
        <v>316</v>
      </c>
      <c r="I24" s="16" t="s">
        <v>179</v>
      </c>
      <c r="J24" s="16" t="s">
        <v>183</v>
      </c>
      <c r="K24" s="16" t="s">
        <v>68</v>
      </c>
      <c r="L24" s="16" t="s">
        <v>274</v>
      </c>
      <c r="M24" s="33">
        <v>45727</v>
      </c>
      <c r="N24" s="28" t="s">
        <v>622</v>
      </c>
      <c r="O24" s="96" t="s">
        <v>2</v>
      </c>
      <c r="P24" s="11" t="s">
        <v>158</v>
      </c>
      <c r="Q24" s="12"/>
      <c r="R24" s="28" t="s">
        <v>623</v>
      </c>
      <c r="S24" s="175" t="s">
        <v>281</v>
      </c>
      <c r="T24" s="11" t="s">
        <v>282</v>
      </c>
      <c r="U24" s="33">
        <v>45932</v>
      </c>
      <c r="V24" s="33">
        <v>45993</v>
      </c>
      <c r="W24" s="11">
        <f ca="1">V24-TODAY()</f>
        <v>-92</v>
      </c>
      <c r="X24" s="11" t="str">
        <f ca="1">IF(W24&gt;=20,"Vigente",IF(AND(W24&gt;=1,W24&lt;=20),"Por Vencer","Vencido"))</f>
        <v>Vencido</v>
      </c>
    </row>
    <row r="25" spans="1:24" ht="50.1" hidden="1" customHeight="1">
      <c r="A25" s="12" t="s">
        <v>189</v>
      </c>
      <c r="B25" s="12" t="s">
        <v>624</v>
      </c>
      <c r="C25" s="13">
        <v>4936190</v>
      </c>
      <c r="D25" s="14">
        <v>4</v>
      </c>
      <c r="E25" s="15">
        <v>80</v>
      </c>
      <c r="F25" s="16" t="s">
        <v>25</v>
      </c>
      <c r="G25" s="16" t="s">
        <v>60</v>
      </c>
      <c r="H25" s="17" t="s">
        <v>316</v>
      </c>
      <c r="I25" s="16">
        <v>2025</v>
      </c>
      <c r="J25" s="32">
        <v>45685</v>
      </c>
      <c r="K25" s="16" t="s">
        <v>68</v>
      </c>
      <c r="L25" s="16" t="s">
        <v>28</v>
      </c>
      <c r="M25" s="33" t="s">
        <v>625</v>
      </c>
      <c r="N25" s="28" t="s">
        <v>626</v>
      </c>
      <c r="O25" s="16" t="s">
        <v>64</v>
      </c>
      <c r="P25" s="11" t="s">
        <v>158</v>
      </c>
      <c r="Q25" s="12"/>
      <c r="R25" s="12" t="s">
        <v>368</v>
      </c>
      <c r="S25" s="11" t="s">
        <v>281</v>
      </c>
      <c r="T25" s="11" t="s">
        <v>294</v>
      </c>
      <c r="U25" s="33">
        <v>46014</v>
      </c>
      <c r="V25" s="33">
        <v>46076</v>
      </c>
      <c r="W25" s="11">
        <f ca="1">V25-TODAY()</f>
        <v>-9</v>
      </c>
      <c r="X25" s="11" t="str">
        <f ca="1">IF(W25&gt;=20,"Vigente",IF(AND(W25&gt;=1,W25&lt;=20),"Por Vencer","Vencido"))</f>
        <v>Vencido</v>
      </c>
    </row>
    <row r="26" spans="1:24" ht="50.1" hidden="1" customHeight="1">
      <c r="A26" s="12" t="s">
        <v>189</v>
      </c>
      <c r="B26" s="12" t="s">
        <v>627</v>
      </c>
      <c r="C26" s="13">
        <v>4747836</v>
      </c>
      <c r="D26" s="14">
        <v>7</v>
      </c>
      <c r="E26" s="15">
        <v>83</v>
      </c>
      <c r="F26" s="16" t="s">
        <v>25</v>
      </c>
      <c r="G26" s="16" t="s">
        <v>60</v>
      </c>
      <c r="H26" s="17" t="s">
        <v>316</v>
      </c>
      <c r="I26" s="16">
        <v>2025</v>
      </c>
      <c r="J26" s="32">
        <v>45701</v>
      </c>
      <c r="K26" s="16" t="s">
        <v>68</v>
      </c>
      <c r="L26" s="16" t="s">
        <v>28</v>
      </c>
      <c r="M26" s="33">
        <v>45938</v>
      </c>
      <c r="N26" s="171" t="s">
        <v>628</v>
      </c>
      <c r="O26" s="96" t="s">
        <v>2</v>
      </c>
      <c r="P26" s="11" t="s">
        <v>158</v>
      </c>
      <c r="Q26" s="12"/>
      <c r="R26" s="172" t="s">
        <v>629</v>
      </c>
      <c r="S26" s="175" t="s">
        <v>281</v>
      </c>
      <c r="T26" s="175" t="s">
        <v>282</v>
      </c>
      <c r="U26" s="33">
        <v>46014</v>
      </c>
      <c r="V26" s="33">
        <v>46076</v>
      </c>
      <c r="W26" s="11">
        <f ca="1">V26-TODAY()</f>
        <v>-9</v>
      </c>
      <c r="X26" s="11" t="str">
        <f ca="1">IF(W26&gt;=20,"Vigente",IF(AND(W26&gt;=1,W26&lt;=20),"Por Vencer","Vencido"))</f>
        <v>Vencido</v>
      </c>
    </row>
    <row r="27" spans="1:24" ht="50.1" hidden="1" customHeight="1">
      <c r="A27" s="12" t="s">
        <v>65</v>
      </c>
      <c r="B27" s="12" t="s">
        <v>630</v>
      </c>
      <c r="C27" s="13">
        <v>6998924</v>
      </c>
      <c r="D27" s="14">
        <v>1</v>
      </c>
      <c r="E27" s="15">
        <v>67</v>
      </c>
      <c r="F27" s="16" t="s">
        <v>25</v>
      </c>
      <c r="G27" s="28" t="s">
        <v>631</v>
      </c>
      <c r="H27" s="17" t="s">
        <v>316</v>
      </c>
      <c r="I27" s="16">
        <v>2018</v>
      </c>
      <c r="J27" s="32">
        <v>43381</v>
      </c>
      <c r="K27" s="16" t="s">
        <v>68</v>
      </c>
      <c r="L27" s="16" t="s">
        <v>28</v>
      </c>
      <c r="M27" s="32">
        <v>44382</v>
      </c>
      <c r="N27" s="12" t="s">
        <v>435</v>
      </c>
      <c r="O27" s="16" t="s">
        <v>64</v>
      </c>
      <c r="P27" s="11" t="s">
        <v>158</v>
      </c>
      <c r="Q27" s="172" t="s">
        <v>632</v>
      </c>
      <c r="R27" s="12" t="s">
        <v>633</v>
      </c>
      <c r="S27" s="11" t="s">
        <v>634</v>
      </c>
      <c r="T27" s="11" t="s">
        <v>327</v>
      </c>
      <c r="U27" s="33">
        <v>45750</v>
      </c>
      <c r="V27" s="33">
        <v>45780</v>
      </c>
      <c r="W27" s="11">
        <f ca="1">V27-TODAY()</f>
        <v>-305</v>
      </c>
      <c r="X27" s="11" t="str">
        <f ca="1">IF(W27&gt;=20,"Vigente",IF(AND(W27&gt;=1,W27&lt;=20),"Por Vencer","Vencido"))</f>
        <v>Vencido</v>
      </c>
    </row>
    <row r="28" spans="1:24" ht="50.1" hidden="1" customHeight="1">
      <c r="A28" s="12" t="s">
        <v>65</v>
      </c>
      <c r="B28" s="12" t="s">
        <v>635</v>
      </c>
      <c r="C28" s="13">
        <v>19944866</v>
      </c>
      <c r="D28" s="14">
        <v>8</v>
      </c>
      <c r="E28" s="15">
        <v>26</v>
      </c>
      <c r="F28" s="16" t="s">
        <v>25</v>
      </c>
      <c r="G28" s="16" t="s">
        <v>258</v>
      </c>
      <c r="H28" s="17" t="s">
        <v>316</v>
      </c>
      <c r="I28" s="16">
        <v>2025</v>
      </c>
      <c r="J28" s="32">
        <v>45703</v>
      </c>
      <c r="K28" s="16" t="s">
        <v>68</v>
      </c>
      <c r="L28" s="16" t="s">
        <v>28</v>
      </c>
      <c r="M28" s="33">
        <v>45979</v>
      </c>
      <c r="N28" s="171" t="s">
        <v>636</v>
      </c>
      <c r="O28" s="96" t="s">
        <v>2</v>
      </c>
      <c r="P28" s="11" t="s">
        <v>158</v>
      </c>
      <c r="Q28" s="12"/>
      <c r="R28" s="172" t="s">
        <v>637</v>
      </c>
      <c r="S28" s="11" t="s">
        <v>293</v>
      </c>
      <c r="T28" s="11" t="s">
        <v>282</v>
      </c>
      <c r="U28" s="33">
        <v>45992</v>
      </c>
      <c r="V28" s="33">
        <v>46082</v>
      </c>
      <c r="W28" s="11">
        <f ca="1">V28-TODAY()</f>
        <v>-3</v>
      </c>
      <c r="X28" s="11" t="str">
        <f ca="1">IF(W28&gt;=20,"Vigente",IF(AND(W28&gt;=1,W28&lt;=20),"Por Vencer","Vencido"))</f>
        <v>Vencido</v>
      </c>
    </row>
    <row r="29" spans="1:24" ht="50.1" hidden="1" customHeight="1">
      <c r="A29" s="12" t="s">
        <v>189</v>
      </c>
      <c r="B29" s="12" t="s">
        <v>638</v>
      </c>
      <c r="C29" s="13">
        <v>9360086</v>
      </c>
      <c r="D29" s="14" t="s">
        <v>93</v>
      </c>
      <c r="E29" s="15">
        <v>59</v>
      </c>
      <c r="F29" s="16" t="s">
        <v>25</v>
      </c>
      <c r="G29" s="16" t="s">
        <v>60</v>
      </c>
      <c r="H29" s="17" t="s">
        <v>316</v>
      </c>
      <c r="I29" s="16">
        <v>2024</v>
      </c>
      <c r="J29" s="32">
        <v>45603</v>
      </c>
      <c r="K29" s="16" t="s">
        <v>68</v>
      </c>
      <c r="L29" s="16" t="s">
        <v>28</v>
      </c>
      <c r="M29" s="33">
        <v>45847</v>
      </c>
      <c r="N29" s="171" t="s">
        <v>639</v>
      </c>
      <c r="O29" s="96" t="s">
        <v>2</v>
      </c>
      <c r="P29" s="11" t="s">
        <v>158</v>
      </c>
      <c r="Q29" s="12"/>
      <c r="R29" s="172" t="s">
        <v>640</v>
      </c>
      <c r="S29" s="175" t="s">
        <v>281</v>
      </c>
      <c r="T29" s="11" t="s">
        <v>282</v>
      </c>
      <c r="U29" s="33">
        <v>46014</v>
      </c>
      <c r="V29" s="33">
        <v>46076</v>
      </c>
      <c r="W29" s="11">
        <f ca="1">V29-TODAY()</f>
        <v>-9</v>
      </c>
      <c r="X29" s="11" t="str">
        <f ca="1">IF(W29&gt;=20,"Vigente",IF(AND(W29&gt;=1,W29&lt;=20),"Por Vencer","Vencido"))</f>
        <v>Vencido</v>
      </c>
    </row>
    <row r="30" spans="1:24" ht="50.1" hidden="1" customHeight="1">
      <c r="A30" s="12" t="s">
        <v>65</v>
      </c>
      <c r="B30" s="12" t="s">
        <v>641</v>
      </c>
      <c r="C30" s="29">
        <v>7721163</v>
      </c>
      <c r="D30" s="14">
        <v>2</v>
      </c>
      <c r="E30" s="15">
        <v>69</v>
      </c>
      <c r="F30" s="16" t="s">
        <v>25</v>
      </c>
      <c r="G30" s="28" t="s">
        <v>642</v>
      </c>
      <c r="H30" s="17" t="s">
        <v>316</v>
      </c>
      <c r="I30" s="16">
        <v>2023</v>
      </c>
      <c r="J30" s="32">
        <v>45075</v>
      </c>
      <c r="K30" s="16" t="s">
        <v>27</v>
      </c>
      <c r="L30" s="16" t="s">
        <v>28</v>
      </c>
      <c r="M30" s="32">
        <v>46036</v>
      </c>
      <c r="N30" s="28" t="s">
        <v>610</v>
      </c>
      <c r="O30" s="96" t="s">
        <v>2</v>
      </c>
      <c r="P30" s="11" t="s">
        <v>155</v>
      </c>
      <c r="Q30" s="12"/>
      <c r="R30" s="172" t="s">
        <v>643</v>
      </c>
      <c r="S30" s="11" t="s">
        <v>293</v>
      </c>
      <c r="T30" s="11" t="s">
        <v>282</v>
      </c>
      <c r="U30" s="33">
        <v>46041</v>
      </c>
      <c r="V30" s="33">
        <v>46100</v>
      </c>
      <c r="W30" s="11">
        <f ca="1">V30-TODAY()</f>
        <v>15</v>
      </c>
      <c r="X30" s="11" t="str">
        <f ca="1">IF(W30&gt;=20,"Vigente",IF(AND(W30&gt;=1,W30&lt;=20),"Por Vencer","Vencido"))</f>
        <v>Por Vencer</v>
      </c>
    </row>
    <row r="31" spans="1:24" s="2" customFormat="1" ht="69" hidden="1" customHeight="1">
      <c r="A31" s="21" t="s">
        <v>65</v>
      </c>
      <c r="B31" s="21" t="s">
        <v>644</v>
      </c>
      <c r="C31" s="22">
        <v>4651242</v>
      </c>
      <c r="D31" s="23">
        <v>1</v>
      </c>
      <c r="E31" s="24">
        <v>82</v>
      </c>
      <c r="F31" s="17" t="s">
        <v>43</v>
      </c>
      <c r="G31" s="17" t="s">
        <v>67</v>
      </c>
      <c r="H31" s="17" t="s">
        <v>316</v>
      </c>
      <c r="I31" s="17">
        <v>2025</v>
      </c>
      <c r="J31" s="34">
        <v>45712</v>
      </c>
      <c r="K31" s="17" t="s">
        <v>68</v>
      </c>
      <c r="L31" s="17" t="s">
        <v>39</v>
      </c>
      <c r="M31" s="20" t="s">
        <v>625</v>
      </c>
      <c r="N31" s="40" t="s">
        <v>645</v>
      </c>
      <c r="O31" s="17" t="s">
        <v>64</v>
      </c>
      <c r="P31" s="20" t="s">
        <v>158</v>
      </c>
      <c r="Q31" s="21" t="s">
        <v>632</v>
      </c>
      <c r="R31" s="21" t="s">
        <v>646</v>
      </c>
      <c r="S31" s="20" t="s">
        <v>289</v>
      </c>
      <c r="T31" s="20" t="s">
        <v>327</v>
      </c>
      <c r="U31" s="41">
        <v>46013</v>
      </c>
      <c r="V31" s="41">
        <v>46075</v>
      </c>
      <c r="W31" s="20">
        <f ca="1">V31-TODAY()</f>
        <v>-10</v>
      </c>
      <c r="X31" s="20" t="str">
        <f ca="1">IF(W31&gt;=20,"Vigente",IF(AND(W31&gt;=1,W31&lt;=20),"Por Vencer","Vencido"))</f>
        <v>Vencido</v>
      </c>
    </row>
    <row r="32" spans="1:24" ht="50.1" hidden="1" customHeight="1">
      <c r="A32" s="12" t="s">
        <v>189</v>
      </c>
      <c r="B32" s="12" t="s">
        <v>647</v>
      </c>
      <c r="C32" s="13">
        <v>9242717</v>
      </c>
      <c r="D32" s="14" t="s">
        <v>93</v>
      </c>
      <c r="E32" s="15">
        <v>63</v>
      </c>
      <c r="F32" s="16" t="s">
        <v>25</v>
      </c>
      <c r="G32" s="16" t="s">
        <v>60</v>
      </c>
      <c r="H32" s="17" t="s">
        <v>316</v>
      </c>
      <c r="I32" s="16">
        <v>2024</v>
      </c>
      <c r="J32" s="32">
        <v>45397</v>
      </c>
      <c r="K32" s="16" t="s">
        <v>68</v>
      </c>
      <c r="L32" s="16" t="s">
        <v>28</v>
      </c>
      <c r="M32" s="33">
        <v>45602</v>
      </c>
      <c r="N32" s="28" t="s">
        <v>648</v>
      </c>
      <c r="O32" s="16" t="s">
        <v>64</v>
      </c>
      <c r="P32" s="11" t="s">
        <v>158</v>
      </c>
      <c r="Q32" s="12"/>
      <c r="R32" s="172" t="s">
        <v>649</v>
      </c>
      <c r="S32" s="175" t="s">
        <v>281</v>
      </c>
      <c r="T32" s="11" t="s">
        <v>553</v>
      </c>
      <c r="U32" s="176">
        <v>46006</v>
      </c>
      <c r="V32" s="33">
        <v>46068</v>
      </c>
      <c r="W32" s="11">
        <f ca="1">V32-TODAY()</f>
        <v>-17</v>
      </c>
      <c r="X32" s="11" t="str">
        <f ca="1">IF(W32&gt;=20,"Vigente",IF(AND(W32&gt;=1,W32&lt;=20),"Por Vencer","Vencido"))</f>
        <v>Vencido</v>
      </c>
    </row>
    <row r="33" spans="1:24" ht="50.1" hidden="1" customHeight="1">
      <c r="A33" s="12" t="s">
        <v>189</v>
      </c>
      <c r="B33" s="12" t="s">
        <v>650</v>
      </c>
      <c r="C33" s="13">
        <v>6963141</v>
      </c>
      <c r="D33" s="14" t="s">
        <v>93</v>
      </c>
      <c r="E33" s="15">
        <v>71</v>
      </c>
      <c r="F33" s="16" t="s">
        <v>25</v>
      </c>
      <c r="G33" s="16" t="s">
        <v>77</v>
      </c>
      <c r="H33" s="17" t="s">
        <v>316</v>
      </c>
      <c r="I33" s="16" t="s">
        <v>179</v>
      </c>
      <c r="J33" s="16" t="s">
        <v>480</v>
      </c>
      <c r="K33" s="16" t="s">
        <v>172</v>
      </c>
      <c r="L33" s="16" t="s">
        <v>274</v>
      </c>
      <c r="M33" s="11" t="s">
        <v>185</v>
      </c>
      <c r="N33" s="28" t="s">
        <v>181</v>
      </c>
      <c r="O33" s="16" t="s">
        <v>64</v>
      </c>
      <c r="P33" s="11" t="s">
        <v>158</v>
      </c>
      <c r="Q33" s="12"/>
      <c r="R33" s="12" t="s">
        <v>651</v>
      </c>
      <c r="S33" s="11" t="s">
        <v>438</v>
      </c>
      <c r="T33" s="11" t="s">
        <v>530</v>
      </c>
      <c r="U33" s="33">
        <v>45790</v>
      </c>
      <c r="V33" s="33">
        <v>46155</v>
      </c>
      <c r="W33" s="11">
        <f ca="1">V33-TODAY()</f>
        <v>70</v>
      </c>
      <c r="X33" s="11" t="str">
        <f ca="1">IF(W33&gt;=20,"Vigente",IF(AND(W33&gt;=1,W33&lt;=20),"Por Vencer","Vencido"))</f>
        <v>Vigente</v>
      </c>
    </row>
    <row r="34" spans="1:24" ht="50.1" hidden="1" customHeight="1">
      <c r="A34" s="12" t="s">
        <v>189</v>
      </c>
      <c r="B34" s="12" t="s">
        <v>652</v>
      </c>
      <c r="C34" s="13">
        <v>3793777</v>
      </c>
      <c r="D34" s="14">
        <v>0</v>
      </c>
      <c r="E34" s="15">
        <v>88</v>
      </c>
      <c r="F34" s="16" t="s">
        <v>25</v>
      </c>
      <c r="G34" s="16" t="s">
        <v>60</v>
      </c>
      <c r="H34" s="17" t="s">
        <v>316</v>
      </c>
      <c r="I34" s="16">
        <v>2023</v>
      </c>
      <c r="J34" s="32">
        <v>45271</v>
      </c>
      <c r="K34" s="16" t="s">
        <v>27</v>
      </c>
      <c r="L34" s="16" t="s">
        <v>28</v>
      </c>
      <c r="M34" s="32">
        <v>45840</v>
      </c>
      <c r="N34" s="171" t="s">
        <v>317</v>
      </c>
      <c r="O34" s="16" t="s">
        <v>64</v>
      </c>
      <c r="P34" s="11" t="s">
        <v>158</v>
      </c>
      <c r="Q34" s="12"/>
      <c r="R34" s="174" t="s">
        <v>653</v>
      </c>
      <c r="S34" s="175" t="s">
        <v>293</v>
      </c>
      <c r="T34" s="11" t="s">
        <v>282</v>
      </c>
      <c r="U34" s="33">
        <v>46014</v>
      </c>
      <c r="V34" s="33">
        <v>46104</v>
      </c>
      <c r="W34" s="11">
        <f t="shared" ref="W34:W65" ca="1" si="0">V34-TODAY()</f>
        <v>19</v>
      </c>
      <c r="X34" s="11" t="str">
        <f t="shared" ref="X34:X65" ca="1" si="1">IF(W34&gt;=20,"Vigente",IF(AND(W34&gt;=1,W34&lt;=20),"Por Vencer","Vencido"))</f>
        <v>Por Vencer</v>
      </c>
    </row>
    <row r="35" spans="1:24" ht="50.1" hidden="1" customHeight="1">
      <c r="A35" s="12" t="s">
        <v>189</v>
      </c>
      <c r="B35" s="12" t="s">
        <v>654</v>
      </c>
      <c r="C35" s="13">
        <v>5421175</v>
      </c>
      <c r="D35" s="14">
        <v>9</v>
      </c>
      <c r="E35" s="15">
        <v>83</v>
      </c>
      <c r="F35" s="16" t="s">
        <v>25</v>
      </c>
      <c r="G35" s="16" t="s">
        <v>60</v>
      </c>
      <c r="H35" s="17" t="s">
        <v>316</v>
      </c>
      <c r="I35" s="16">
        <v>2025</v>
      </c>
      <c r="J35" s="32">
        <v>45667</v>
      </c>
      <c r="K35" s="16" t="s">
        <v>68</v>
      </c>
      <c r="L35" s="16" t="s">
        <v>28</v>
      </c>
      <c r="M35" s="33">
        <v>45924</v>
      </c>
      <c r="N35" s="28" t="s">
        <v>317</v>
      </c>
      <c r="O35" s="169" t="s">
        <v>64</v>
      </c>
      <c r="P35" s="11"/>
      <c r="Q35" s="12"/>
      <c r="R35" s="172" t="s">
        <v>368</v>
      </c>
      <c r="S35" s="11" t="s">
        <v>293</v>
      </c>
      <c r="T35" s="11" t="s">
        <v>282</v>
      </c>
      <c r="U35" s="33">
        <v>45932</v>
      </c>
      <c r="V35" s="33">
        <v>46024</v>
      </c>
      <c r="W35" s="11">
        <f t="shared" ca="1" si="0"/>
        <v>-61</v>
      </c>
      <c r="X35" s="11" t="str">
        <f t="shared" ca="1" si="1"/>
        <v>Vencido</v>
      </c>
    </row>
    <row r="36" spans="1:24" s="2" customFormat="1" ht="50.1" hidden="1" customHeight="1">
      <c r="A36" s="21" t="s">
        <v>189</v>
      </c>
      <c r="B36" s="21" t="s">
        <v>655</v>
      </c>
      <c r="C36" s="22">
        <v>4351583</v>
      </c>
      <c r="D36" s="23">
        <v>7</v>
      </c>
      <c r="E36" s="24">
        <v>86</v>
      </c>
      <c r="F36" s="54" t="s">
        <v>25</v>
      </c>
      <c r="G36" s="17" t="s">
        <v>77</v>
      </c>
      <c r="H36" s="17" t="s">
        <v>316</v>
      </c>
      <c r="I36" s="17">
        <v>2023</v>
      </c>
      <c r="J36" s="34">
        <v>45086</v>
      </c>
      <c r="K36" s="17" t="s">
        <v>167</v>
      </c>
      <c r="L36" s="17" t="s">
        <v>28</v>
      </c>
      <c r="M36" s="34">
        <v>45525</v>
      </c>
      <c r="N36" s="40" t="s">
        <v>656</v>
      </c>
      <c r="O36" s="96" t="s">
        <v>2</v>
      </c>
      <c r="P36" s="20" t="s">
        <v>158</v>
      </c>
      <c r="Q36" s="21"/>
      <c r="R36" s="21" t="s">
        <v>657</v>
      </c>
      <c r="S36" s="20" t="s">
        <v>289</v>
      </c>
      <c r="T36" s="20" t="s">
        <v>294</v>
      </c>
      <c r="U36" s="41">
        <v>45946</v>
      </c>
      <c r="V36" s="41">
        <v>45977</v>
      </c>
      <c r="W36" s="20">
        <f t="shared" ca="1" si="0"/>
        <v>-108</v>
      </c>
      <c r="X36" s="20" t="str">
        <f t="shared" ca="1" si="1"/>
        <v>Vencido</v>
      </c>
    </row>
    <row r="37" spans="1:24" ht="50.1" hidden="1" customHeight="1">
      <c r="A37" s="12" t="s">
        <v>189</v>
      </c>
      <c r="B37" s="12" t="s">
        <v>658</v>
      </c>
      <c r="C37" s="13">
        <v>5972089</v>
      </c>
      <c r="D37" s="14">
        <v>9</v>
      </c>
      <c r="E37" s="15">
        <v>86</v>
      </c>
      <c r="F37" s="16" t="s">
        <v>25</v>
      </c>
      <c r="G37" s="16" t="s">
        <v>60</v>
      </c>
      <c r="H37" s="17" t="s">
        <v>316</v>
      </c>
      <c r="I37" s="16">
        <v>2024</v>
      </c>
      <c r="J37" s="32">
        <v>45603</v>
      </c>
      <c r="K37" s="16" t="s">
        <v>68</v>
      </c>
      <c r="L37" s="16" t="s">
        <v>28</v>
      </c>
      <c r="M37" s="33">
        <v>45875</v>
      </c>
      <c r="N37" s="171" t="s">
        <v>659</v>
      </c>
      <c r="O37" s="16" t="s">
        <v>64</v>
      </c>
      <c r="P37" s="11" t="s">
        <v>158</v>
      </c>
      <c r="Q37" s="12"/>
      <c r="R37" s="173" t="s">
        <v>368</v>
      </c>
      <c r="S37" s="175" t="s">
        <v>293</v>
      </c>
      <c r="T37" s="11" t="s">
        <v>294</v>
      </c>
      <c r="U37" s="33">
        <v>45896</v>
      </c>
      <c r="V37" s="33">
        <v>45988</v>
      </c>
      <c r="W37" s="11">
        <f t="shared" ca="1" si="0"/>
        <v>-97</v>
      </c>
      <c r="X37" s="11" t="str">
        <f t="shared" ca="1" si="1"/>
        <v>Vencido</v>
      </c>
    </row>
    <row r="38" spans="1:24" s="2" customFormat="1" ht="50.1" hidden="1" customHeight="1">
      <c r="A38" s="21" t="s">
        <v>189</v>
      </c>
      <c r="B38" s="21" t="s">
        <v>660</v>
      </c>
      <c r="C38" s="22">
        <v>7943524</v>
      </c>
      <c r="D38" s="23">
        <v>4</v>
      </c>
      <c r="E38" s="24">
        <v>65</v>
      </c>
      <c r="F38" s="17" t="s">
        <v>255</v>
      </c>
      <c r="G38" s="17" t="s">
        <v>60</v>
      </c>
      <c r="H38" s="17" t="s">
        <v>316</v>
      </c>
      <c r="I38" s="17">
        <v>2024</v>
      </c>
      <c r="J38" s="34">
        <v>45568</v>
      </c>
      <c r="K38" s="17" t="s">
        <v>68</v>
      </c>
      <c r="L38" s="17" t="s">
        <v>246</v>
      </c>
      <c r="M38" s="41">
        <v>45840</v>
      </c>
      <c r="N38" s="40" t="s">
        <v>661</v>
      </c>
      <c r="O38" s="96" t="s">
        <v>2</v>
      </c>
      <c r="P38" s="20" t="s">
        <v>158</v>
      </c>
      <c r="Q38" s="21"/>
      <c r="R38" s="21" t="s">
        <v>662</v>
      </c>
      <c r="S38" s="20" t="s">
        <v>289</v>
      </c>
      <c r="T38" s="20" t="s">
        <v>282</v>
      </c>
      <c r="U38" s="41">
        <v>45946</v>
      </c>
      <c r="V38" s="41">
        <v>46007</v>
      </c>
      <c r="W38" s="20">
        <f t="shared" ca="1" si="0"/>
        <v>-78</v>
      </c>
      <c r="X38" s="20" t="str">
        <f t="shared" ca="1" si="1"/>
        <v>Vencido</v>
      </c>
    </row>
    <row r="39" spans="1:24" ht="76.5" hidden="1" customHeight="1">
      <c r="A39" s="12" t="s">
        <v>189</v>
      </c>
      <c r="B39" s="12" t="s">
        <v>663</v>
      </c>
      <c r="C39" s="13">
        <v>7081842</v>
      </c>
      <c r="D39" s="14">
        <v>6</v>
      </c>
      <c r="E39" s="15">
        <v>72</v>
      </c>
      <c r="F39" s="16" t="s">
        <v>25</v>
      </c>
      <c r="G39" s="16" t="s">
        <v>60</v>
      </c>
      <c r="H39" s="17" t="s">
        <v>316</v>
      </c>
      <c r="I39" s="16">
        <v>2024</v>
      </c>
      <c r="J39" s="32">
        <v>45600</v>
      </c>
      <c r="K39" s="16" t="s">
        <v>68</v>
      </c>
      <c r="L39" s="16" t="s">
        <v>28</v>
      </c>
      <c r="M39" s="33">
        <v>46050</v>
      </c>
      <c r="N39" s="28" t="s">
        <v>664</v>
      </c>
      <c r="O39" s="96" t="s">
        <v>2</v>
      </c>
      <c r="P39" s="11" t="s">
        <v>158</v>
      </c>
      <c r="Q39" s="12"/>
      <c r="R39" s="172" t="s">
        <v>665</v>
      </c>
      <c r="S39" s="11" t="s">
        <v>281</v>
      </c>
      <c r="T39" s="11" t="s">
        <v>282</v>
      </c>
      <c r="U39" s="33">
        <v>46065</v>
      </c>
      <c r="V39" s="33">
        <v>46093</v>
      </c>
      <c r="W39" s="11">
        <f t="shared" ca="1" si="0"/>
        <v>8</v>
      </c>
      <c r="X39" s="11" t="str">
        <f t="shared" ca="1" si="1"/>
        <v>Por Vencer</v>
      </c>
    </row>
    <row r="40" spans="1:24" ht="50.1" hidden="1" customHeight="1">
      <c r="A40" s="12" t="s">
        <v>189</v>
      </c>
      <c r="B40" s="172" t="s">
        <v>666</v>
      </c>
      <c r="C40" s="29">
        <v>6113177</v>
      </c>
      <c r="D40" s="30">
        <v>9</v>
      </c>
      <c r="E40" s="15">
        <v>77</v>
      </c>
      <c r="F40" s="16" t="s">
        <v>33</v>
      </c>
      <c r="G40" s="16" t="s">
        <v>60</v>
      </c>
      <c r="H40" s="17" t="s">
        <v>316</v>
      </c>
      <c r="I40" s="16">
        <v>2023</v>
      </c>
      <c r="J40" s="38">
        <v>45191</v>
      </c>
      <c r="K40" s="39" t="s">
        <v>27</v>
      </c>
      <c r="L40" s="16" t="s">
        <v>39</v>
      </c>
      <c r="M40" s="32">
        <v>45707</v>
      </c>
      <c r="N40" s="40" t="s">
        <v>667</v>
      </c>
      <c r="O40" s="16" t="s">
        <v>64</v>
      </c>
      <c r="P40" s="11" t="s">
        <v>158</v>
      </c>
      <c r="Q40" s="12"/>
      <c r="R40" s="21" t="s">
        <v>668</v>
      </c>
      <c r="S40" s="11" t="s">
        <v>289</v>
      </c>
      <c r="T40" s="11" t="s">
        <v>530</v>
      </c>
      <c r="U40" s="33">
        <v>45868</v>
      </c>
      <c r="V40" s="33">
        <v>46233</v>
      </c>
      <c r="W40" s="11">
        <f t="shared" ca="1" si="0"/>
        <v>148</v>
      </c>
      <c r="X40" s="11" t="str">
        <f t="shared" ca="1" si="1"/>
        <v>Vigente</v>
      </c>
    </row>
    <row r="41" spans="1:24" ht="50.1" hidden="1" customHeight="1">
      <c r="A41" s="12" t="s">
        <v>189</v>
      </c>
      <c r="B41" s="172" t="s">
        <v>669</v>
      </c>
      <c r="C41" s="13">
        <v>6007141</v>
      </c>
      <c r="D41" s="14">
        <v>1</v>
      </c>
      <c r="E41" s="15">
        <v>78</v>
      </c>
      <c r="F41" s="16" t="s">
        <v>25</v>
      </c>
      <c r="G41" s="16" t="s">
        <v>60</v>
      </c>
      <c r="H41" s="17" t="s">
        <v>316</v>
      </c>
      <c r="I41" s="16">
        <v>2023</v>
      </c>
      <c r="J41" s="32">
        <v>45090</v>
      </c>
      <c r="K41" s="16" t="s">
        <v>27</v>
      </c>
      <c r="L41" s="16" t="s">
        <v>28</v>
      </c>
      <c r="M41" s="32">
        <v>45420</v>
      </c>
      <c r="N41" s="12" t="s">
        <v>435</v>
      </c>
      <c r="O41" s="16" t="s">
        <v>64</v>
      </c>
      <c r="P41" s="11" t="s">
        <v>158</v>
      </c>
      <c r="Q41" s="12"/>
      <c r="R41" s="50" t="s">
        <v>670</v>
      </c>
      <c r="S41" s="11" t="s">
        <v>281</v>
      </c>
      <c r="T41" s="11" t="s">
        <v>530</v>
      </c>
      <c r="U41" s="33">
        <v>45922</v>
      </c>
      <c r="V41" s="33">
        <v>45983</v>
      </c>
      <c r="W41" s="11">
        <f t="shared" ca="1" si="0"/>
        <v>-102</v>
      </c>
      <c r="X41" s="11" t="str">
        <f t="shared" ca="1" si="1"/>
        <v>Vencido</v>
      </c>
    </row>
    <row r="42" spans="1:24" s="2" customFormat="1" ht="50.1" hidden="1" customHeight="1">
      <c r="A42" s="21" t="s">
        <v>65</v>
      </c>
      <c r="B42" s="21" t="s">
        <v>671</v>
      </c>
      <c r="C42" s="22">
        <v>13536878</v>
      </c>
      <c r="D42" s="23">
        <v>4</v>
      </c>
      <c r="E42" s="24">
        <v>44</v>
      </c>
      <c r="F42" s="17" t="s">
        <v>43</v>
      </c>
      <c r="G42" s="40" t="s">
        <v>272</v>
      </c>
      <c r="H42" s="17" t="s">
        <v>316</v>
      </c>
      <c r="I42" s="17">
        <v>2024</v>
      </c>
      <c r="J42" s="17" t="s">
        <v>183</v>
      </c>
      <c r="K42" s="17" t="s">
        <v>68</v>
      </c>
      <c r="L42" s="17" t="s">
        <v>246</v>
      </c>
      <c r="M42" s="41">
        <v>45665</v>
      </c>
      <c r="N42" s="40" t="s">
        <v>672</v>
      </c>
      <c r="O42" s="96" t="s">
        <v>2</v>
      </c>
      <c r="P42" s="20" t="s">
        <v>158</v>
      </c>
      <c r="Q42" s="21"/>
      <c r="R42" s="21" t="s">
        <v>673</v>
      </c>
      <c r="S42" s="20" t="s">
        <v>289</v>
      </c>
      <c r="T42" s="20" t="s">
        <v>411</v>
      </c>
      <c r="U42" s="41">
        <v>45946</v>
      </c>
      <c r="V42" s="41">
        <v>45977</v>
      </c>
      <c r="W42" s="20">
        <f t="shared" ca="1" si="0"/>
        <v>-108</v>
      </c>
      <c r="X42" s="20" t="str">
        <f t="shared" ca="1" si="1"/>
        <v>Vencido</v>
      </c>
    </row>
    <row r="43" spans="1:24" ht="50.1" hidden="1" customHeight="1">
      <c r="A43" s="12" t="s">
        <v>65</v>
      </c>
      <c r="B43" s="12" t="s">
        <v>674</v>
      </c>
      <c r="C43" s="13">
        <v>13330870</v>
      </c>
      <c r="D43" s="14">
        <v>9</v>
      </c>
      <c r="E43" s="15">
        <v>45</v>
      </c>
      <c r="F43" s="16" t="s">
        <v>25</v>
      </c>
      <c r="G43" s="28" t="s">
        <v>675</v>
      </c>
      <c r="H43" s="17" t="s">
        <v>316</v>
      </c>
      <c r="I43" s="16">
        <v>2024</v>
      </c>
      <c r="J43" s="32">
        <v>45575</v>
      </c>
      <c r="K43" s="16" t="s">
        <v>68</v>
      </c>
      <c r="L43" s="16" t="s">
        <v>28</v>
      </c>
      <c r="M43" s="33">
        <v>45924</v>
      </c>
      <c r="N43" s="28" t="s">
        <v>676</v>
      </c>
      <c r="O43" s="96" t="s">
        <v>2</v>
      </c>
      <c r="P43" s="11" t="s">
        <v>158</v>
      </c>
      <c r="Q43" s="12"/>
      <c r="R43" s="173" t="s">
        <v>677</v>
      </c>
      <c r="S43" s="11" t="s">
        <v>293</v>
      </c>
      <c r="T43" s="11" t="s">
        <v>282</v>
      </c>
      <c r="U43" s="33">
        <v>45932</v>
      </c>
      <c r="V43" s="33">
        <v>46024</v>
      </c>
      <c r="W43" s="11">
        <f t="shared" ca="1" si="0"/>
        <v>-61</v>
      </c>
      <c r="X43" s="11" t="str">
        <f t="shared" ca="1" si="1"/>
        <v>Vencido</v>
      </c>
    </row>
    <row r="44" spans="1:24" ht="50.1" hidden="1" customHeight="1">
      <c r="A44" s="12" t="s">
        <v>65</v>
      </c>
      <c r="B44" s="12" t="s">
        <v>678</v>
      </c>
      <c r="C44" s="13">
        <v>13537321</v>
      </c>
      <c r="D44" s="14">
        <v>4</v>
      </c>
      <c r="E44" s="15">
        <v>47</v>
      </c>
      <c r="F44" s="16" t="s">
        <v>25</v>
      </c>
      <c r="G44" s="16" t="s">
        <v>88</v>
      </c>
      <c r="H44" s="17" t="s">
        <v>316</v>
      </c>
      <c r="I44" s="16">
        <v>2025</v>
      </c>
      <c r="J44" s="32">
        <v>45934</v>
      </c>
      <c r="K44" s="16" t="s">
        <v>68</v>
      </c>
      <c r="L44" s="16" t="s">
        <v>39</v>
      </c>
      <c r="M44" s="33">
        <v>45843</v>
      </c>
      <c r="N44" s="28" t="s">
        <v>679</v>
      </c>
      <c r="O44" s="96" t="s">
        <v>2</v>
      </c>
      <c r="P44" s="11" t="s">
        <v>158</v>
      </c>
      <c r="Q44" s="12"/>
      <c r="R44" s="172" t="s">
        <v>680</v>
      </c>
      <c r="S44" s="175" t="s">
        <v>281</v>
      </c>
      <c r="T44" s="11" t="s">
        <v>294</v>
      </c>
      <c r="U44" s="33">
        <v>45896</v>
      </c>
      <c r="V44" s="33">
        <v>45957</v>
      </c>
      <c r="W44" s="11">
        <f t="shared" ca="1" si="0"/>
        <v>-128</v>
      </c>
      <c r="X44" s="11" t="str">
        <f t="shared" ca="1" si="1"/>
        <v>Vencido</v>
      </c>
    </row>
    <row r="45" spans="1:24" ht="50.1" hidden="1" customHeight="1">
      <c r="A45" s="12" t="s">
        <v>65</v>
      </c>
      <c r="B45" s="12" t="s">
        <v>681</v>
      </c>
      <c r="C45" s="13">
        <v>10320161</v>
      </c>
      <c r="D45" s="14">
        <v>6</v>
      </c>
      <c r="E45" s="15"/>
      <c r="F45" s="16" t="s">
        <v>25</v>
      </c>
      <c r="G45" s="16" t="s">
        <v>232</v>
      </c>
      <c r="H45" s="17" t="s">
        <v>316</v>
      </c>
      <c r="I45" s="16">
        <v>2022</v>
      </c>
      <c r="J45" s="32">
        <v>44781</v>
      </c>
      <c r="K45" s="16" t="s">
        <v>167</v>
      </c>
      <c r="L45" s="16" t="s">
        <v>28</v>
      </c>
      <c r="M45" s="32">
        <v>45210</v>
      </c>
      <c r="N45" s="12" t="s">
        <v>455</v>
      </c>
      <c r="O45" s="16" t="s">
        <v>64</v>
      </c>
      <c r="P45" s="11" t="s">
        <v>155</v>
      </c>
      <c r="Q45" s="12"/>
      <c r="R45" s="21" t="s">
        <v>682</v>
      </c>
      <c r="S45" s="11" t="s">
        <v>374</v>
      </c>
      <c r="T45" s="11" t="s">
        <v>294</v>
      </c>
      <c r="U45" s="33">
        <v>45896</v>
      </c>
      <c r="V45" s="33">
        <v>45988</v>
      </c>
      <c r="W45" s="11">
        <f t="shared" ca="1" si="0"/>
        <v>-97</v>
      </c>
      <c r="X45" s="11" t="str">
        <f t="shared" ca="1" si="1"/>
        <v>Vencido</v>
      </c>
    </row>
    <row r="46" spans="1:24" ht="67.5" hidden="1" customHeight="1">
      <c r="A46" s="12" t="s">
        <v>189</v>
      </c>
      <c r="B46" s="12" t="s">
        <v>683</v>
      </c>
      <c r="C46" s="13">
        <v>10822646</v>
      </c>
      <c r="D46" s="14">
        <v>3</v>
      </c>
      <c r="E46" s="15">
        <v>58</v>
      </c>
      <c r="F46" s="16" t="s">
        <v>25</v>
      </c>
      <c r="G46" s="16" t="s">
        <v>232</v>
      </c>
      <c r="H46" s="17" t="s">
        <v>316</v>
      </c>
      <c r="I46" s="16" t="s">
        <v>179</v>
      </c>
      <c r="J46" s="16" t="s">
        <v>183</v>
      </c>
      <c r="K46" s="16" t="s">
        <v>68</v>
      </c>
      <c r="L46" s="16" t="s">
        <v>28</v>
      </c>
      <c r="M46" s="33" t="s">
        <v>684</v>
      </c>
      <c r="N46" s="28" t="s">
        <v>685</v>
      </c>
      <c r="O46" s="16" t="s">
        <v>64</v>
      </c>
      <c r="P46" s="11" t="s">
        <v>158</v>
      </c>
      <c r="Q46" s="12"/>
      <c r="R46" s="12" t="s">
        <v>686</v>
      </c>
      <c r="S46" s="11" t="s">
        <v>293</v>
      </c>
      <c r="T46" s="11" t="s">
        <v>294</v>
      </c>
      <c r="U46" s="33">
        <v>45946</v>
      </c>
      <c r="V46" s="33">
        <v>46007</v>
      </c>
      <c r="W46" s="11">
        <f t="shared" ca="1" si="0"/>
        <v>-78</v>
      </c>
      <c r="X46" s="11" t="str">
        <f t="shared" ca="1" si="1"/>
        <v>Vencido</v>
      </c>
    </row>
    <row r="47" spans="1:24" ht="50.1" hidden="1" customHeight="1">
      <c r="A47" s="12" t="s">
        <v>65</v>
      </c>
      <c r="B47" s="12" t="s">
        <v>687</v>
      </c>
      <c r="C47" s="13">
        <v>11260873</v>
      </c>
      <c r="D47" s="14">
        <v>7</v>
      </c>
      <c r="E47" s="15">
        <v>56</v>
      </c>
      <c r="F47" s="16" t="s">
        <v>25</v>
      </c>
      <c r="G47" s="16" t="s">
        <v>258</v>
      </c>
      <c r="H47" s="17" t="s">
        <v>316</v>
      </c>
      <c r="I47" s="16">
        <v>2023</v>
      </c>
      <c r="J47" s="32">
        <v>45039</v>
      </c>
      <c r="K47" s="16" t="s">
        <v>68</v>
      </c>
      <c r="L47" s="16" t="s">
        <v>246</v>
      </c>
      <c r="M47" s="33">
        <v>45810</v>
      </c>
      <c r="N47" s="28" t="s">
        <v>688</v>
      </c>
      <c r="O47" s="96" t="s">
        <v>2</v>
      </c>
      <c r="P47" s="11" t="s">
        <v>158</v>
      </c>
      <c r="Q47" s="12"/>
      <c r="R47" s="12" t="s">
        <v>689</v>
      </c>
      <c r="S47" s="175" t="s">
        <v>293</v>
      </c>
      <c r="T47" s="11" t="s">
        <v>294</v>
      </c>
      <c r="U47" s="33">
        <v>45896</v>
      </c>
      <c r="V47" s="33">
        <v>45957</v>
      </c>
      <c r="W47" s="11">
        <f t="shared" ca="1" si="0"/>
        <v>-128</v>
      </c>
      <c r="X47" s="11" t="str">
        <f t="shared" ca="1" si="1"/>
        <v>Vencido</v>
      </c>
    </row>
    <row r="48" spans="1:24" ht="59.25" hidden="1" customHeight="1">
      <c r="A48" s="12" t="s">
        <v>65</v>
      </c>
      <c r="B48" s="12" t="s">
        <v>690</v>
      </c>
      <c r="C48" s="13">
        <v>6637547</v>
      </c>
      <c r="D48" s="14">
        <v>1</v>
      </c>
      <c r="E48" s="15">
        <v>97</v>
      </c>
      <c r="F48" s="16" t="s">
        <v>70</v>
      </c>
      <c r="G48" s="16" t="s">
        <v>202</v>
      </c>
      <c r="H48" s="17" t="s">
        <v>316</v>
      </c>
      <c r="I48" s="16" t="s">
        <v>179</v>
      </c>
      <c r="J48" s="16" t="s">
        <v>183</v>
      </c>
      <c r="K48" s="16" t="s">
        <v>68</v>
      </c>
      <c r="L48" s="16" t="s">
        <v>28</v>
      </c>
      <c r="M48" s="16" t="s">
        <v>185</v>
      </c>
      <c r="N48" s="12" t="s">
        <v>181</v>
      </c>
      <c r="O48" s="16" t="s">
        <v>64</v>
      </c>
      <c r="P48" s="11" t="s">
        <v>155</v>
      </c>
      <c r="Q48" s="12"/>
      <c r="R48" s="50" t="s">
        <v>691</v>
      </c>
      <c r="S48" s="11" t="s">
        <v>692</v>
      </c>
      <c r="T48" s="11" t="s">
        <v>294</v>
      </c>
      <c r="U48" s="33">
        <v>45896</v>
      </c>
      <c r="V48" s="33">
        <v>46049</v>
      </c>
      <c r="W48" s="11">
        <f t="shared" ca="1" si="0"/>
        <v>-36</v>
      </c>
      <c r="X48" s="11" t="str">
        <f t="shared" ca="1" si="1"/>
        <v>Vencido</v>
      </c>
    </row>
    <row r="49" spans="1:24" s="163" customFormat="1" ht="50.1" hidden="1" customHeight="1">
      <c r="A49" s="155" t="s">
        <v>65</v>
      </c>
      <c r="B49" s="155" t="s">
        <v>693</v>
      </c>
      <c r="C49" s="156">
        <v>9802992</v>
      </c>
      <c r="D49" s="157">
        <v>3</v>
      </c>
      <c r="E49" s="158">
        <v>91</v>
      </c>
      <c r="F49" s="159" t="s">
        <v>25</v>
      </c>
      <c r="G49" s="159" t="s">
        <v>258</v>
      </c>
      <c r="H49" s="159" t="s">
        <v>316</v>
      </c>
      <c r="I49" s="159" t="s">
        <v>179</v>
      </c>
      <c r="J49" s="159" t="s">
        <v>183</v>
      </c>
      <c r="K49" s="159" t="s">
        <v>172</v>
      </c>
      <c r="L49" s="159" t="s">
        <v>149</v>
      </c>
      <c r="M49" s="162" t="s">
        <v>185</v>
      </c>
      <c r="N49" s="161" t="s">
        <v>181</v>
      </c>
      <c r="O49" s="159" t="s">
        <v>64</v>
      </c>
      <c r="P49" s="162" t="s">
        <v>34</v>
      </c>
      <c r="Q49" s="155" t="s">
        <v>694</v>
      </c>
      <c r="R49" s="155" t="s">
        <v>695</v>
      </c>
      <c r="S49" s="162" t="s">
        <v>289</v>
      </c>
      <c r="T49" s="162" t="s">
        <v>327</v>
      </c>
      <c r="U49" s="160">
        <v>45685</v>
      </c>
      <c r="V49" s="160">
        <v>45716</v>
      </c>
      <c r="W49" s="162">
        <f t="shared" ca="1" si="0"/>
        <v>-369</v>
      </c>
      <c r="X49" s="162" t="str">
        <f t="shared" ca="1" si="1"/>
        <v>Vencido</v>
      </c>
    </row>
    <row r="50" spans="1:24" ht="50.1" hidden="1" customHeight="1">
      <c r="A50" s="12" t="s">
        <v>189</v>
      </c>
      <c r="B50" s="12" t="s">
        <v>696</v>
      </c>
      <c r="C50" s="13">
        <v>5250563</v>
      </c>
      <c r="D50" s="14">
        <v>1</v>
      </c>
      <c r="E50" s="15">
        <v>92</v>
      </c>
      <c r="F50" s="16" t="s">
        <v>25</v>
      </c>
      <c r="G50" s="16" t="s">
        <v>60</v>
      </c>
      <c r="H50" s="17" t="s">
        <v>316</v>
      </c>
      <c r="I50" s="16">
        <v>2024</v>
      </c>
      <c r="J50" s="32">
        <v>45608</v>
      </c>
      <c r="K50" s="16" t="s">
        <v>68</v>
      </c>
      <c r="L50" s="16" t="s">
        <v>28</v>
      </c>
      <c r="M50" s="33">
        <v>45728</v>
      </c>
      <c r="N50" s="28" t="s">
        <v>697</v>
      </c>
      <c r="O50" s="16" t="s">
        <v>64</v>
      </c>
      <c r="P50" s="11" t="s">
        <v>158</v>
      </c>
      <c r="Q50" s="12"/>
      <c r="R50" s="51" t="s">
        <v>698</v>
      </c>
      <c r="S50" s="11" t="s">
        <v>293</v>
      </c>
      <c r="T50" s="11" t="s">
        <v>294</v>
      </c>
      <c r="U50" s="33">
        <v>46993</v>
      </c>
      <c r="V50" s="33">
        <v>45989</v>
      </c>
      <c r="W50" s="11">
        <f t="shared" ca="1" si="0"/>
        <v>-96</v>
      </c>
      <c r="X50" s="11" t="str">
        <f t="shared" ca="1" si="1"/>
        <v>Vencido</v>
      </c>
    </row>
    <row r="51" spans="1:24" ht="50.1" hidden="1" customHeight="1">
      <c r="A51" s="12" t="s">
        <v>189</v>
      </c>
      <c r="B51" s="12" t="s">
        <v>699</v>
      </c>
      <c r="C51" s="13">
        <v>5106808</v>
      </c>
      <c r="D51" s="14">
        <v>4</v>
      </c>
      <c r="E51" s="15">
        <v>80</v>
      </c>
      <c r="F51" s="16" t="s">
        <v>255</v>
      </c>
      <c r="G51" s="16" t="s">
        <v>60</v>
      </c>
      <c r="H51" s="17" t="s">
        <v>316</v>
      </c>
      <c r="I51" s="16">
        <v>2022</v>
      </c>
      <c r="J51" s="32">
        <v>44580</v>
      </c>
      <c r="K51" s="16" t="s">
        <v>27</v>
      </c>
      <c r="L51" s="16" t="s">
        <v>28</v>
      </c>
      <c r="M51" s="32">
        <v>44872</v>
      </c>
      <c r="N51" s="12" t="s">
        <v>700</v>
      </c>
      <c r="O51" s="16" t="s">
        <v>64</v>
      </c>
      <c r="P51" s="11" t="s">
        <v>158</v>
      </c>
      <c r="Q51" s="12"/>
      <c r="R51" s="21" t="s">
        <v>701</v>
      </c>
      <c r="S51" s="11" t="s">
        <v>438</v>
      </c>
      <c r="T51" s="11" t="s">
        <v>530</v>
      </c>
      <c r="U51" s="33">
        <v>45786</v>
      </c>
      <c r="V51" s="33">
        <v>46151</v>
      </c>
      <c r="W51" s="11">
        <f t="shared" ca="1" si="0"/>
        <v>66</v>
      </c>
      <c r="X51" s="11" t="str">
        <f t="shared" ca="1" si="1"/>
        <v>Vigente</v>
      </c>
    </row>
    <row r="52" spans="1:24" ht="50.1" hidden="1" customHeight="1">
      <c r="A52" s="12" t="s">
        <v>65</v>
      </c>
      <c r="B52" s="12" t="s">
        <v>702</v>
      </c>
      <c r="C52" s="13">
        <v>10632223</v>
      </c>
      <c r="D52" s="14">
        <v>6</v>
      </c>
      <c r="E52" s="15">
        <v>57</v>
      </c>
      <c r="F52" s="16" t="s">
        <v>25</v>
      </c>
      <c r="G52" s="28" t="s">
        <v>675</v>
      </c>
      <c r="H52" s="17" t="s">
        <v>316</v>
      </c>
      <c r="I52" s="16">
        <v>2024</v>
      </c>
      <c r="J52" s="32">
        <v>45488</v>
      </c>
      <c r="K52" s="16" t="s">
        <v>172</v>
      </c>
      <c r="L52" s="16" t="s">
        <v>162</v>
      </c>
      <c r="M52" s="32">
        <v>45525</v>
      </c>
      <c r="N52" s="12" t="s">
        <v>703</v>
      </c>
      <c r="O52" s="16" t="s">
        <v>64</v>
      </c>
      <c r="P52" s="11" t="s">
        <v>158</v>
      </c>
      <c r="Q52" s="12"/>
      <c r="R52" s="12" t="s">
        <v>704</v>
      </c>
      <c r="S52" s="11" t="s">
        <v>586</v>
      </c>
      <c r="T52" s="11" t="s">
        <v>327</v>
      </c>
      <c r="U52" s="33">
        <v>45959</v>
      </c>
      <c r="V52" s="33">
        <v>46110</v>
      </c>
      <c r="W52" s="11">
        <f t="shared" ca="1" si="0"/>
        <v>25</v>
      </c>
      <c r="X52" s="11" t="str">
        <f t="shared" ca="1" si="1"/>
        <v>Vigente</v>
      </c>
    </row>
    <row r="53" spans="1:24" ht="50.1" hidden="1" customHeight="1">
      <c r="A53" s="12" t="s">
        <v>65</v>
      </c>
      <c r="B53" s="12" t="s">
        <v>705</v>
      </c>
      <c r="C53" s="13">
        <v>5609449</v>
      </c>
      <c r="D53" s="14">
        <v>0</v>
      </c>
      <c r="E53" s="15">
        <v>77</v>
      </c>
      <c r="F53" s="16" t="s">
        <v>25</v>
      </c>
      <c r="G53" s="16" t="s">
        <v>706</v>
      </c>
      <c r="H53" s="17" t="s">
        <v>316</v>
      </c>
      <c r="I53" s="16" t="s">
        <v>179</v>
      </c>
      <c r="J53" s="16" t="s">
        <v>183</v>
      </c>
      <c r="K53" s="16" t="s">
        <v>68</v>
      </c>
      <c r="L53" s="16" t="s">
        <v>28</v>
      </c>
      <c r="M53" s="33">
        <v>45882</v>
      </c>
      <c r="N53" s="40" t="s">
        <v>707</v>
      </c>
      <c r="O53" s="96" t="s">
        <v>2</v>
      </c>
      <c r="P53" s="11" t="s">
        <v>158</v>
      </c>
      <c r="Q53" s="12"/>
      <c r="R53" s="12" t="s">
        <v>708</v>
      </c>
      <c r="S53" s="11" t="s">
        <v>281</v>
      </c>
      <c r="T53" s="11" t="s">
        <v>282</v>
      </c>
      <c r="U53" s="33">
        <v>45897</v>
      </c>
      <c r="V53" s="33">
        <v>45958</v>
      </c>
      <c r="W53" s="11">
        <f t="shared" ca="1" si="0"/>
        <v>-127</v>
      </c>
      <c r="X53" s="11" t="str">
        <f t="shared" ca="1" si="1"/>
        <v>Vencido</v>
      </c>
    </row>
    <row r="54" spans="1:24" s="2" customFormat="1" ht="50.1" hidden="1" customHeight="1">
      <c r="A54" s="12" t="s">
        <v>65</v>
      </c>
      <c r="B54" s="21" t="s">
        <v>709</v>
      </c>
      <c r="C54" s="22">
        <v>6745643</v>
      </c>
      <c r="D54" s="23">
        <v>2</v>
      </c>
      <c r="E54" s="24">
        <v>74</v>
      </c>
      <c r="F54" s="17" t="s">
        <v>70</v>
      </c>
      <c r="G54" s="17" t="s">
        <v>67</v>
      </c>
      <c r="H54" s="17" t="s">
        <v>316</v>
      </c>
      <c r="I54" s="17">
        <v>2024</v>
      </c>
      <c r="J54" s="34">
        <v>45502</v>
      </c>
      <c r="K54" s="17" t="s">
        <v>68</v>
      </c>
      <c r="L54" s="17" t="s">
        <v>246</v>
      </c>
      <c r="M54" s="41">
        <v>45861</v>
      </c>
      <c r="N54" s="177" t="s">
        <v>639</v>
      </c>
      <c r="O54" s="96" t="s">
        <v>2</v>
      </c>
      <c r="P54" s="20" t="s">
        <v>158</v>
      </c>
      <c r="Q54" s="21"/>
      <c r="R54" s="174" t="s">
        <v>610</v>
      </c>
      <c r="S54" s="20" t="s">
        <v>281</v>
      </c>
      <c r="T54" s="20" t="s">
        <v>282</v>
      </c>
      <c r="U54" s="41">
        <v>45887</v>
      </c>
      <c r="V54" s="41">
        <v>45948</v>
      </c>
      <c r="W54" s="20">
        <f t="shared" ca="1" si="0"/>
        <v>-137</v>
      </c>
      <c r="X54" s="11" t="str">
        <f t="shared" ca="1" si="1"/>
        <v>Vencido</v>
      </c>
    </row>
    <row r="55" spans="1:24" ht="50.1" hidden="1" customHeight="1">
      <c r="A55" s="12" t="s">
        <v>189</v>
      </c>
      <c r="B55" s="21" t="s">
        <v>710</v>
      </c>
      <c r="C55" s="22">
        <v>6781835</v>
      </c>
      <c r="D55" s="23">
        <v>0</v>
      </c>
      <c r="E55" s="24">
        <v>70</v>
      </c>
      <c r="F55" s="17" t="s">
        <v>25</v>
      </c>
      <c r="G55" s="17" t="s">
        <v>60</v>
      </c>
      <c r="H55" s="17" t="s">
        <v>316</v>
      </c>
      <c r="I55" s="17">
        <v>2023</v>
      </c>
      <c r="J55" s="34">
        <v>45135</v>
      </c>
      <c r="K55" s="17" t="s">
        <v>55</v>
      </c>
      <c r="L55" s="17" t="s">
        <v>39</v>
      </c>
      <c r="M55" s="34">
        <v>45252</v>
      </c>
      <c r="N55" s="40" t="s">
        <v>711</v>
      </c>
      <c r="O55" s="16" t="s">
        <v>64</v>
      </c>
      <c r="P55" s="20" t="s">
        <v>158</v>
      </c>
      <c r="Q55" s="21"/>
      <c r="R55" s="21" t="s">
        <v>712</v>
      </c>
      <c r="S55" s="20" t="s">
        <v>586</v>
      </c>
      <c r="T55" s="20" t="s">
        <v>530</v>
      </c>
      <c r="U55" s="41">
        <v>45786</v>
      </c>
      <c r="V55" s="41">
        <v>45970</v>
      </c>
      <c r="W55" s="11">
        <f t="shared" ca="1" si="0"/>
        <v>-115</v>
      </c>
      <c r="X55" s="11" t="str">
        <f t="shared" ca="1" si="1"/>
        <v>Vencido</v>
      </c>
    </row>
    <row r="56" spans="1:24" ht="50.1" hidden="1" customHeight="1">
      <c r="A56" s="12" t="s">
        <v>65</v>
      </c>
      <c r="B56" s="12" t="s">
        <v>713</v>
      </c>
      <c r="C56" s="13">
        <v>6789567</v>
      </c>
      <c r="D56" s="14">
        <v>3</v>
      </c>
      <c r="E56" s="15">
        <v>75</v>
      </c>
      <c r="F56" s="16" t="s">
        <v>25</v>
      </c>
      <c r="G56" s="16" t="s">
        <v>88</v>
      </c>
      <c r="H56" s="17" t="s">
        <v>316</v>
      </c>
      <c r="I56" s="16" t="s">
        <v>179</v>
      </c>
      <c r="J56" s="16" t="s">
        <v>183</v>
      </c>
      <c r="K56" s="16" t="s">
        <v>68</v>
      </c>
      <c r="L56" s="16" t="s">
        <v>28</v>
      </c>
      <c r="M56" s="32">
        <v>45665</v>
      </c>
      <c r="N56" s="28" t="s">
        <v>697</v>
      </c>
      <c r="O56" s="16" t="s">
        <v>64</v>
      </c>
      <c r="P56" s="11" t="s">
        <v>158</v>
      </c>
      <c r="Q56" s="12"/>
      <c r="R56" s="21" t="s">
        <v>714</v>
      </c>
      <c r="S56" s="11" t="s">
        <v>293</v>
      </c>
      <c r="T56" s="11" t="s">
        <v>282</v>
      </c>
      <c r="U56" s="33">
        <v>45894</v>
      </c>
      <c r="V56" s="33">
        <v>45986</v>
      </c>
      <c r="W56" s="11">
        <f t="shared" ca="1" si="0"/>
        <v>-99</v>
      </c>
      <c r="X56" s="11" t="str">
        <f t="shared" ca="1" si="1"/>
        <v>Vencido</v>
      </c>
    </row>
    <row r="57" spans="1:24" ht="50.1" hidden="1" customHeight="1">
      <c r="A57" s="12" t="s">
        <v>65</v>
      </c>
      <c r="B57" s="12" t="s">
        <v>715</v>
      </c>
      <c r="C57" s="13">
        <v>6894248</v>
      </c>
      <c r="D57" s="14">
        <v>9</v>
      </c>
      <c r="E57" s="15">
        <v>67</v>
      </c>
      <c r="F57" s="16" t="s">
        <v>25</v>
      </c>
      <c r="G57" s="16" t="s">
        <v>232</v>
      </c>
      <c r="H57" s="17" t="s">
        <v>316</v>
      </c>
      <c r="I57" s="16" t="s">
        <v>179</v>
      </c>
      <c r="J57" s="16" t="s">
        <v>183</v>
      </c>
      <c r="K57" s="16" t="s">
        <v>68</v>
      </c>
      <c r="L57" s="16" t="s">
        <v>28</v>
      </c>
      <c r="M57" s="33">
        <v>45665</v>
      </c>
      <c r="N57" s="28" t="s">
        <v>367</v>
      </c>
      <c r="O57" s="16" t="s">
        <v>64</v>
      </c>
      <c r="P57" s="11" t="s">
        <v>158</v>
      </c>
      <c r="Q57" s="12"/>
      <c r="R57" s="12" t="s">
        <v>317</v>
      </c>
      <c r="S57" s="11" t="s">
        <v>293</v>
      </c>
      <c r="T57" s="11" t="s">
        <v>294</v>
      </c>
      <c r="U57" s="33">
        <v>45897</v>
      </c>
      <c r="V57" s="33">
        <v>45989</v>
      </c>
      <c r="W57" s="11">
        <f t="shared" ca="1" si="0"/>
        <v>-96</v>
      </c>
      <c r="X57" s="11" t="str">
        <f t="shared" ca="1" si="1"/>
        <v>Vencido</v>
      </c>
    </row>
    <row r="58" spans="1:24" s="163" customFormat="1" ht="50.1" hidden="1" customHeight="1">
      <c r="A58" s="155" t="s">
        <v>65</v>
      </c>
      <c r="B58" s="155" t="s">
        <v>716</v>
      </c>
      <c r="C58" s="156">
        <v>8159065</v>
      </c>
      <c r="D58" s="157">
        <v>6</v>
      </c>
      <c r="E58" s="158">
        <v>66</v>
      </c>
      <c r="F58" s="159" t="s">
        <v>70</v>
      </c>
      <c r="G58" s="159" t="s">
        <v>202</v>
      </c>
      <c r="H58" s="159" t="s">
        <v>316</v>
      </c>
      <c r="I58" s="159" t="s">
        <v>179</v>
      </c>
      <c r="J58" s="159" t="s">
        <v>183</v>
      </c>
      <c r="K58" s="159" t="s">
        <v>68</v>
      </c>
      <c r="L58" s="159" t="s">
        <v>39</v>
      </c>
      <c r="M58" s="162" t="s">
        <v>515</v>
      </c>
      <c r="N58" s="161" t="s">
        <v>717</v>
      </c>
      <c r="O58" s="96" t="s">
        <v>2</v>
      </c>
      <c r="P58" s="162" t="s">
        <v>158</v>
      </c>
      <c r="Q58" s="155"/>
      <c r="R58" s="155" t="s">
        <v>718</v>
      </c>
      <c r="S58" s="162" t="s">
        <v>289</v>
      </c>
      <c r="T58" s="162" t="s">
        <v>282</v>
      </c>
      <c r="U58" s="160">
        <v>45779</v>
      </c>
      <c r="V58" s="160">
        <v>45810</v>
      </c>
      <c r="W58" s="162">
        <f t="shared" ca="1" si="0"/>
        <v>-275</v>
      </c>
      <c r="X58" s="162" t="str">
        <f t="shared" ca="1" si="1"/>
        <v>Vencido</v>
      </c>
    </row>
    <row r="59" spans="1:24" ht="50.1" hidden="1" customHeight="1">
      <c r="A59" s="12" t="s">
        <v>189</v>
      </c>
      <c r="B59" s="12" t="s">
        <v>719</v>
      </c>
      <c r="C59" s="13">
        <v>5886780</v>
      </c>
      <c r="D59" s="14">
        <v>2</v>
      </c>
      <c r="E59" s="15">
        <v>76</v>
      </c>
      <c r="F59" s="25" t="s">
        <v>25</v>
      </c>
      <c r="G59" s="16" t="s">
        <v>60</v>
      </c>
      <c r="H59" s="17" t="s">
        <v>316</v>
      </c>
      <c r="I59" s="16">
        <v>2018</v>
      </c>
      <c r="J59" s="32">
        <v>43424</v>
      </c>
      <c r="K59" s="16" t="s">
        <v>172</v>
      </c>
      <c r="L59" s="16" t="s">
        <v>274</v>
      </c>
      <c r="M59" s="11" t="s">
        <v>185</v>
      </c>
      <c r="N59" s="28" t="s">
        <v>185</v>
      </c>
      <c r="O59" s="16" t="s">
        <v>64</v>
      </c>
      <c r="P59" s="11" t="s">
        <v>158</v>
      </c>
      <c r="Q59" s="12"/>
      <c r="R59" s="12" t="s">
        <v>720</v>
      </c>
      <c r="S59" s="11" t="s">
        <v>586</v>
      </c>
      <c r="T59" s="11" t="s">
        <v>327</v>
      </c>
      <c r="U59" s="33">
        <v>45811</v>
      </c>
      <c r="V59" s="33">
        <v>45994</v>
      </c>
      <c r="W59" s="11">
        <f t="shared" ca="1" si="0"/>
        <v>-91</v>
      </c>
      <c r="X59" s="11" t="str">
        <f t="shared" ca="1" si="1"/>
        <v>Vencido</v>
      </c>
    </row>
    <row r="60" spans="1:24" ht="50.1" hidden="1" customHeight="1">
      <c r="A60" s="12" t="s">
        <v>189</v>
      </c>
      <c r="B60" s="12" t="s">
        <v>721</v>
      </c>
      <c r="C60" s="13">
        <v>5211437</v>
      </c>
      <c r="D60" s="14">
        <v>3</v>
      </c>
      <c r="E60" s="15">
        <v>81</v>
      </c>
      <c r="F60" s="16" t="s">
        <v>43</v>
      </c>
      <c r="G60" s="16" t="s">
        <v>60</v>
      </c>
      <c r="H60" s="17" t="s">
        <v>316</v>
      </c>
      <c r="I60" s="16" t="s">
        <v>179</v>
      </c>
      <c r="J60" s="16" t="s">
        <v>183</v>
      </c>
      <c r="K60" s="16" t="s">
        <v>68</v>
      </c>
      <c r="L60" s="16" t="s">
        <v>274</v>
      </c>
      <c r="M60" s="33">
        <v>43720</v>
      </c>
      <c r="N60" s="28" t="s">
        <v>722</v>
      </c>
      <c r="O60" s="16" t="s">
        <v>64</v>
      </c>
      <c r="P60" s="11" t="s">
        <v>158</v>
      </c>
      <c r="Q60" s="12"/>
      <c r="R60" s="50" t="s">
        <v>723</v>
      </c>
      <c r="S60" s="11" t="s">
        <v>586</v>
      </c>
      <c r="T60" s="11" t="s">
        <v>327</v>
      </c>
      <c r="U60" s="33">
        <v>45862</v>
      </c>
      <c r="V60" s="33">
        <v>46046</v>
      </c>
      <c r="W60" s="11">
        <f t="shared" ca="1" si="0"/>
        <v>-39</v>
      </c>
      <c r="X60" s="11" t="str">
        <f t="shared" ca="1" si="1"/>
        <v>Vencido</v>
      </c>
    </row>
    <row r="61" spans="1:24" ht="50.1" hidden="1" customHeight="1">
      <c r="A61" s="12" t="s">
        <v>65</v>
      </c>
      <c r="B61" s="12" t="s">
        <v>724</v>
      </c>
      <c r="C61" s="13">
        <v>4062538</v>
      </c>
      <c r="D61" s="14">
        <v>0</v>
      </c>
      <c r="E61" s="15">
        <v>93</v>
      </c>
      <c r="F61" s="16" t="s">
        <v>33</v>
      </c>
      <c r="G61" s="16" t="s">
        <v>725</v>
      </c>
      <c r="H61" s="17" t="s">
        <v>316</v>
      </c>
      <c r="I61" s="16" t="s">
        <v>179</v>
      </c>
      <c r="J61" s="16" t="s">
        <v>183</v>
      </c>
      <c r="K61" s="16" t="s">
        <v>172</v>
      </c>
      <c r="L61" s="16" t="s">
        <v>28</v>
      </c>
      <c r="M61" s="11" t="s">
        <v>185</v>
      </c>
      <c r="N61" s="28" t="s">
        <v>185</v>
      </c>
      <c r="O61" s="16" t="s">
        <v>64</v>
      </c>
      <c r="P61" s="11" t="s">
        <v>158</v>
      </c>
      <c r="Q61" s="12"/>
      <c r="R61" s="12" t="s">
        <v>726</v>
      </c>
      <c r="S61" s="11" t="s">
        <v>293</v>
      </c>
      <c r="T61" s="11" t="s">
        <v>727</v>
      </c>
      <c r="U61" s="33">
        <v>45897</v>
      </c>
      <c r="V61" s="33">
        <v>45989</v>
      </c>
      <c r="W61" s="11">
        <f t="shared" ca="1" si="0"/>
        <v>-96</v>
      </c>
      <c r="X61" s="11" t="str">
        <f t="shared" ca="1" si="1"/>
        <v>Vencido</v>
      </c>
    </row>
    <row r="62" spans="1:24" s="163" customFormat="1" ht="50.1" hidden="1" customHeight="1">
      <c r="A62" s="155" t="s">
        <v>65</v>
      </c>
      <c r="B62" s="155" t="s">
        <v>728</v>
      </c>
      <c r="C62" s="156">
        <v>9224665</v>
      </c>
      <c r="D62" s="157">
        <v>5</v>
      </c>
      <c r="E62" s="158">
        <v>64</v>
      </c>
      <c r="F62" s="159" t="s">
        <v>25</v>
      </c>
      <c r="G62" s="161" t="s">
        <v>729</v>
      </c>
      <c r="H62" s="159" t="s">
        <v>316</v>
      </c>
      <c r="I62" s="159" t="s">
        <v>179</v>
      </c>
      <c r="J62" s="159" t="s">
        <v>183</v>
      </c>
      <c r="K62" s="159" t="s">
        <v>27</v>
      </c>
      <c r="L62" s="159" t="s">
        <v>39</v>
      </c>
      <c r="M62" s="164">
        <v>45441</v>
      </c>
      <c r="N62" s="161" t="s">
        <v>730</v>
      </c>
      <c r="O62" s="96" t="s">
        <v>2</v>
      </c>
      <c r="P62" s="162" t="s">
        <v>155</v>
      </c>
      <c r="Q62" s="155"/>
      <c r="R62" s="166" t="s">
        <v>731</v>
      </c>
      <c r="S62" s="162" t="s">
        <v>732</v>
      </c>
      <c r="T62" s="162" t="s">
        <v>282</v>
      </c>
      <c r="U62" s="160">
        <v>45748</v>
      </c>
      <c r="V62" s="160">
        <v>45809</v>
      </c>
      <c r="W62" s="162">
        <f t="shared" ca="1" si="0"/>
        <v>-276</v>
      </c>
      <c r="X62" s="162" t="str">
        <f t="shared" ca="1" si="1"/>
        <v>Vencido</v>
      </c>
    </row>
    <row r="63" spans="1:24" ht="57.75" hidden="1" customHeight="1">
      <c r="A63" s="12" t="s">
        <v>189</v>
      </c>
      <c r="B63" s="12" t="s">
        <v>733</v>
      </c>
      <c r="C63" s="13">
        <v>6253000</v>
      </c>
      <c r="D63" s="14">
        <v>6</v>
      </c>
      <c r="E63" s="15">
        <v>73</v>
      </c>
      <c r="F63" s="16" t="s">
        <v>70</v>
      </c>
      <c r="G63" s="16" t="s">
        <v>60</v>
      </c>
      <c r="H63" s="17" t="s">
        <v>316</v>
      </c>
      <c r="I63" s="16">
        <v>2023</v>
      </c>
      <c r="J63" s="32">
        <v>45008</v>
      </c>
      <c r="K63" s="16" t="s">
        <v>38</v>
      </c>
      <c r="L63" s="16" t="s">
        <v>28</v>
      </c>
      <c r="M63" s="32">
        <v>44816</v>
      </c>
      <c r="N63" s="12" t="s">
        <v>734</v>
      </c>
      <c r="O63" s="96" t="s">
        <v>2</v>
      </c>
      <c r="P63" s="11" t="s">
        <v>158</v>
      </c>
      <c r="Q63" s="12"/>
      <c r="R63" s="50" t="s">
        <v>735</v>
      </c>
      <c r="S63" s="11" t="s">
        <v>281</v>
      </c>
      <c r="T63" s="11" t="s">
        <v>294</v>
      </c>
      <c r="U63" s="33">
        <v>45946</v>
      </c>
      <c r="V63" s="33">
        <v>46007</v>
      </c>
      <c r="W63" s="11">
        <f t="shared" ca="1" si="0"/>
        <v>-78</v>
      </c>
      <c r="X63" s="11" t="str">
        <f t="shared" ca="1" si="1"/>
        <v>Vencido</v>
      </c>
    </row>
    <row r="64" spans="1:24" ht="50.1" hidden="1" customHeight="1">
      <c r="A64" s="12" t="s">
        <v>189</v>
      </c>
      <c r="B64" s="12" t="s">
        <v>736</v>
      </c>
      <c r="C64" s="13">
        <v>4479653</v>
      </c>
      <c r="D64" s="14">
        <v>8</v>
      </c>
      <c r="E64" s="15">
        <v>83</v>
      </c>
      <c r="F64" s="25" t="s">
        <v>25</v>
      </c>
      <c r="G64" s="16" t="s">
        <v>60</v>
      </c>
      <c r="H64" s="17" t="s">
        <v>316</v>
      </c>
      <c r="I64" s="16">
        <v>2024</v>
      </c>
      <c r="J64" s="32">
        <v>45608</v>
      </c>
      <c r="K64" s="16" t="s">
        <v>68</v>
      </c>
      <c r="L64" s="16" t="s">
        <v>28</v>
      </c>
      <c r="M64" s="33">
        <v>45833</v>
      </c>
      <c r="N64" s="28" t="s">
        <v>737</v>
      </c>
      <c r="O64" s="96" t="s">
        <v>2</v>
      </c>
      <c r="P64" s="11" t="s">
        <v>158</v>
      </c>
      <c r="Q64" s="12"/>
      <c r="R64" s="12" t="s">
        <v>738</v>
      </c>
      <c r="S64" s="11" t="s">
        <v>281</v>
      </c>
      <c r="T64" s="11" t="s">
        <v>294</v>
      </c>
      <c r="U64" s="33">
        <v>45946</v>
      </c>
      <c r="V64" s="33">
        <v>46007</v>
      </c>
      <c r="W64" s="11">
        <f t="shared" ca="1" si="0"/>
        <v>-78</v>
      </c>
      <c r="X64" s="11" t="str">
        <f t="shared" ca="1" si="1"/>
        <v>Vencido</v>
      </c>
    </row>
    <row r="65" spans="1:24" s="2" customFormat="1" ht="50.1" hidden="1" customHeight="1">
      <c r="A65" s="21" t="s">
        <v>189</v>
      </c>
      <c r="B65" s="21" t="s">
        <v>739</v>
      </c>
      <c r="C65" s="22">
        <v>6132775</v>
      </c>
      <c r="D65" s="23">
        <v>4</v>
      </c>
      <c r="E65" s="24">
        <v>76</v>
      </c>
      <c r="F65" s="17" t="s">
        <v>25</v>
      </c>
      <c r="G65" s="17" t="s">
        <v>60</v>
      </c>
      <c r="H65" s="17" t="s">
        <v>316</v>
      </c>
      <c r="I65" s="17">
        <v>2023</v>
      </c>
      <c r="J65" s="34">
        <v>45203</v>
      </c>
      <c r="K65" s="17" t="s">
        <v>27</v>
      </c>
      <c r="L65" s="17" t="s">
        <v>39</v>
      </c>
      <c r="M65" s="34">
        <v>45609</v>
      </c>
      <c r="N65" s="40" t="s">
        <v>740</v>
      </c>
      <c r="O65" s="96" t="s">
        <v>2</v>
      </c>
      <c r="P65" s="20" t="s">
        <v>155</v>
      </c>
      <c r="Q65" s="21"/>
      <c r="R65" s="50" t="s">
        <v>741</v>
      </c>
      <c r="S65" s="20" t="s">
        <v>281</v>
      </c>
      <c r="T65" s="20" t="s">
        <v>294</v>
      </c>
      <c r="U65" s="41">
        <v>45897</v>
      </c>
      <c r="V65" s="41">
        <v>45958</v>
      </c>
      <c r="W65" s="20">
        <f t="shared" ca="1" si="0"/>
        <v>-127</v>
      </c>
      <c r="X65" s="20" t="str">
        <f t="shared" ca="1" si="1"/>
        <v>Vencido</v>
      </c>
    </row>
    <row r="66" spans="1:24" ht="50.1" hidden="1" customHeight="1">
      <c r="A66" s="12" t="s">
        <v>65</v>
      </c>
      <c r="B66" s="21" t="s">
        <v>742</v>
      </c>
      <c r="C66" s="52">
        <v>4247298</v>
      </c>
      <c r="D66" s="53">
        <v>0</v>
      </c>
      <c r="E66" s="24">
        <v>84</v>
      </c>
      <c r="F66" s="17" t="s">
        <v>43</v>
      </c>
      <c r="G66" s="17" t="s">
        <v>211</v>
      </c>
      <c r="H66" s="17" t="s">
        <v>316</v>
      </c>
      <c r="I66" s="17">
        <v>2012</v>
      </c>
      <c r="J66" s="34">
        <v>41120</v>
      </c>
      <c r="K66" s="17" t="s">
        <v>27</v>
      </c>
      <c r="L66" s="17" t="s">
        <v>28</v>
      </c>
      <c r="M66" s="34">
        <v>45252</v>
      </c>
      <c r="N66" s="40" t="s">
        <v>743</v>
      </c>
      <c r="O66" s="16" t="s">
        <v>64</v>
      </c>
      <c r="P66" s="20" t="s">
        <v>34</v>
      </c>
      <c r="Q66" s="21" t="s">
        <v>694</v>
      </c>
      <c r="R66" s="21" t="s">
        <v>744</v>
      </c>
      <c r="S66" s="20" t="s">
        <v>281</v>
      </c>
      <c r="T66" s="20" t="s">
        <v>294</v>
      </c>
      <c r="U66" s="41">
        <v>45609</v>
      </c>
      <c r="V66" s="41">
        <v>45670</v>
      </c>
      <c r="W66" s="11">
        <f t="shared" ref="W66:W97" ca="1" si="2">V66-TODAY()</f>
        <v>-415</v>
      </c>
      <c r="X66" s="11" t="str">
        <f t="shared" ref="X66:X97" ca="1" si="3">IF(W66&gt;=20,"Vigente",IF(AND(W66&gt;=1,W66&lt;=20),"Por Vencer","Vencido"))</f>
        <v>Vencido</v>
      </c>
    </row>
    <row r="67" spans="1:24" s="163" customFormat="1" ht="50.1" hidden="1" customHeight="1">
      <c r="A67" s="155" t="s">
        <v>189</v>
      </c>
      <c r="B67" s="155" t="s">
        <v>745</v>
      </c>
      <c r="C67" s="156">
        <v>6206781</v>
      </c>
      <c r="D67" s="157">
        <v>0</v>
      </c>
      <c r="E67" s="158">
        <v>79</v>
      </c>
      <c r="F67" s="159" t="s">
        <v>33</v>
      </c>
      <c r="G67" s="159" t="s">
        <v>77</v>
      </c>
      <c r="H67" s="159" t="s">
        <v>316</v>
      </c>
      <c r="I67" s="159">
        <v>2024</v>
      </c>
      <c r="J67" s="159"/>
      <c r="K67" s="159" t="s">
        <v>68</v>
      </c>
      <c r="L67" s="159" t="s">
        <v>174</v>
      </c>
      <c r="M67" s="160">
        <v>45637</v>
      </c>
      <c r="N67" s="161" t="s">
        <v>746</v>
      </c>
      <c r="O67" s="96" t="s">
        <v>2</v>
      </c>
      <c r="P67" s="162" t="s">
        <v>34</v>
      </c>
      <c r="Q67" s="155"/>
      <c r="R67" s="155" t="s">
        <v>747</v>
      </c>
      <c r="S67" s="162" t="s">
        <v>289</v>
      </c>
      <c r="T67" s="162" t="s">
        <v>294</v>
      </c>
      <c r="U67" s="160">
        <v>45706</v>
      </c>
      <c r="V67" s="160">
        <v>45765</v>
      </c>
      <c r="W67" s="162">
        <f t="shared" ca="1" si="2"/>
        <v>-320</v>
      </c>
      <c r="X67" s="162" t="str">
        <f t="shared" ca="1" si="3"/>
        <v>Vencido</v>
      </c>
    </row>
    <row r="68" spans="1:24" ht="50.1" hidden="1" customHeight="1">
      <c r="A68" s="12" t="s">
        <v>65</v>
      </c>
      <c r="B68" s="12" t="s">
        <v>748</v>
      </c>
      <c r="C68" s="13">
        <v>7386979</v>
      </c>
      <c r="D68" s="14" t="s">
        <v>93</v>
      </c>
      <c r="E68" s="15">
        <v>63</v>
      </c>
      <c r="F68" s="16" t="s">
        <v>25</v>
      </c>
      <c r="G68" s="16" t="s">
        <v>104</v>
      </c>
      <c r="H68" s="17" t="s">
        <v>316</v>
      </c>
      <c r="I68" s="16">
        <v>2023</v>
      </c>
      <c r="J68" s="32">
        <v>45111</v>
      </c>
      <c r="K68" s="16" t="s">
        <v>68</v>
      </c>
      <c r="L68" s="16" t="s">
        <v>39</v>
      </c>
      <c r="M68" s="33">
        <v>46056</v>
      </c>
      <c r="N68" s="28" t="s">
        <v>749</v>
      </c>
      <c r="O68" s="169" t="s">
        <v>64</v>
      </c>
      <c r="P68" s="11"/>
      <c r="Q68" s="12"/>
      <c r="R68" s="12" t="s">
        <v>750</v>
      </c>
      <c r="S68" s="11" t="s">
        <v>281</v>
      </c>
      <c r="T68" s="11" t="s">
        <v>294</v>
      </c>
      <c r="U68" s="33">
        <v>46065</v>
      </c>
      <c r="V68" s="33">
        <v>46093</v>
      </c>
      <c r="W68" s="11">
        <f t="shared" ca="1" si="2"/>
        <v>8</v>
      </c>
      <c r="X68" s="11" t="str">
        <f t="shared" ca="1" si="3"/>
        <v>Por Vencer</v>
      </c>
    </row>
    <row r="69" spans="1:24" s="2" customFormat="1" ht="50.1" hidden="1" customHeight="1">
      <c r="A69" s="12" t="s">
        <v>65</v>
      </c>
      <c r="B69" s="21" t="s">
        <v>751</v>
      </c>
      <c r="C69" s="22">
        <v>8573968</v>
      </c>
      <c r="D69" s="23">
        <v>9</v>
      </c>
      <c r="E69" s="24">
        <v>65</v>
      </c>
      <c r="F69" s="54" t="s">
        <v>70</v>
      </c>
      <c r="G69" s="17" t="s">
        <v>202</v>
      </c>
      <c r="H69" s="17" t="s">
        <v>316</v>
      </c>
      <c r="I69" s="17">
        <v>2024</v>
      </c>
      <c r="J69" s="34">
        <v>45559</v>
      </c>
      <c r="K69" s="17" t="s">
        <v>68</v>
      </c>
      <c r="L69" s="17" t="s">
        <v>39</v>
      </c>
      <c r="M69" s="41">
        <v>45826</v>
      </c>
      <c r="N69" s="40" t="s">
        <v>752</v>
      </c>
      <c r="O69" s="96" t="s">
        <v>2</v>
      </c>
      <c r="P69" s="20" t="s">
        <v>158</v>
      </c>
      <c r="Q69" s="21"/>
      <c r="R69" s="21" t="s">
        <v>753</v>
      </c>
      <c r="S69" s="20" t="s">
        <v>281</v>
      </c>
      <c r="T69" s="20" t="s">
        <v>294</v>
      </c>
      <c r="U69" s="41">
        <v>45897</v>
      </c>
      <c r="V69" s="41">
        <v>45958</v>
      </c>
      <c r="W69" s="20">
        <f t="shared" ca="1" si="2"/>
        <v>-127</v>
      </c>
      <c r="X69" s="11" t="str">
        <f t="shared" ca="1" si="3"/>
        <v>Vencido</v>
      </c>
    </row>
    <row r="70" spans="1:24" ht="50.1" hidden="1" customHeight="1">
      <c r="A70" s="12" t="s">
        <v>65</v>
      </c>
      <c r="B70" s="12" t="s">
        <v>754</v>
      </c>
      <c r="C70" s="13">
        <v>6230327</v>
      </c>
      <c r="D70" s="14">
        <v>1</v>
      </c>
      <c r="E70" s="15">
        <v>75</v>
      </c>
      <c r="F70" s="16" t="s">
        <v>25</v>
      </c>
      <c r="G70" s="16" t="s">
        <v>617</v>
      </c>
      <c r="H70" s="17" t="s">
        <v>316</v>
      </c>
      <c r="I70" s="16" t="s">
        <v>179</v>
      </c>
      <c r="J70" s="16" t="s">
        <v>183</v>
      </c>
      <c r="K70" s="16" t="s">
        <v>68</v>
      </c>
      <c r="L70" s="16" t="s">
        <v>246</v>
      </c>
      <c r="M70" s="33">
        <v>45609</v>
      </c>
      <c r="N70" s="28" t="s">
        <v>755</v>
      </c>
      <c r="O70" s="16" t="s">
        <v>64</v>
      </c>
      <c r="P70" s="11" t="s">
        <v>34</v>
      </c>
      <c r="Q70" s="12" t="s">
        <v>632</v>
      </c>
      <c r="R70" s="12" t="s">
        <v>756</v>
      </c>
      <c r="S70" s="11" t="s">
        <v>289</v>
      </c>
      <c r="T70" s="11" t="s">
        <v>530</v>
      </c>
      <c r="U70" s="33">
        <v>45786</v>
      </c>
      <c r="V70" s="33">
        <v>45817</v>
      </c>
      <c r="W70" s="11">
        <f t="shared" ca="1" si="2"/>
        <v>-268</v>
      </c>
      <c r="X70" s="11" t="str">
        <f t="shared" ca="1" si="3"/>
        <v>Vencido</v>
      </c>
    </row>
    <row r="71" spans="1:24" ht="50.1" hidden="1" customHeight="1">
      <c r="A71" s="12" t="s">
        <v>65</v>
      </c>
      <c r="B71" s="12" t="s">
        <v>757</v>
      </c>
      <c r="C71" s="13">
        <v>4241225</v>
      </c>
      <c r="D71" s="15">
        <v>2</v>
      </c>
      <c r="E71" s="15">
        <v>90</v>
      </c>
      <c r="F71" s="16" t="s">
        <v>25</v>
      </c>
      <c r="G71" s="16" t="s">
        <v>86</v>
      </c>
      <c r="H71" s="17" t="s">
        <v>316</v>
      </c>
      <c r="I71" s="16">
        <v>2020</v>
      </c>
      <c r="J71" s="32">
        <v>44123</v>
      </c>
      <c r="K71" s="16" t="s">
        <v>27</v>
      </c>
      <c r="L71" s="16" t="s">
        <v>28</v>
      </c>
      <c r="M71" s="32">
        <v>44137</v>
      </c>
      <c r="N71" s="28" t="s">
        <v>206</v>
      </c>
      <c r="O71" s="16" t="s">
        <v>64</v>
      </c>
      <c r="P71" s="11" t="s">
        <v>158</v>
      </c>
      <c r="Q71" s="12"/>
      <c r="R71" s="21" t="s">
        <v>388</v>
      </c>
      <c r="S71" s="11" t="s">
        <v>293</v>
      </c>
      <c r="T71" s="11" t="s">
        <v>282</v>
      </c>
      <c r="U71" s="33">
        <v>45897</v>
      </c>
      <c r="V71" s="33">
        <v>45989</v>
      </c>
      <c r="W71" s="11">
        <f t="shared" ca="1" si="2"/>
        <v>-96</v>
      </c>
      <c r="X71" s="11" t="str">
        <f t="shared" ca="1" si="3"/>
        <v>Vencido</v>
      </c>
    </row>
    <row r="72" spans="1:24" ht="50.1" hidden="1" customHeight="1">
      <c r="A72" s="12" t="s">
        <v>189</v>
      </c>
      <c r="B72" s="12" t="s">
        <v>758</v>
      </c>
      <c r="C72" s="13">
        <v>5457192</v>
      </c>
      <c r="D72" s="15">
        <v>5</v>
      </c>
      <c r="E72" s="15">
        <v>86</v>
      </c>
      <c r="F72" s="16" t="s">
        <v>25</v>
      </c>
      <c r="G72" s="16" t="s">
        <v>77</v>
      </c>
      <c r="H72" s="17" t="s">
        <v>316</v>
      </c>
      <c r="I72" s="16">
        <v>2024</v>
      </c>
      <c r="J72" s="32">
        <v>45474</v>
      </c>
      <c r="K72" s="16" t="s">
        <v>68</v>
      </c>
      <c r="L72" s="16" t="s">
        <v>162</v>
      </c>
      <c r="M72" s="32">
        <v>45518</v>
      </c>
      <c r="N72" s="28" t="s">
        <v>759</v>
      </c>
      <c r="O72" s="16" t="s">
        <v>64</v>
      </c>
      <c r="P72" s="11" t="s">
        <v>158</v>
      </c>
      <c r="Q72" s="12"/>
      <c r="R72" s="21" t="s">
        <v>760</v>
      </c>
      <c r="S72" s="11" t="s">
        <v>289</v>
      </c>
      <c r="T72" s="11" t="s">
        <v>530</v>
      </c>
      <c r="U72" s="33">
        <v>46034</v>
      </c>
      <c r="V72" s="33">
        <v>46065</v>
      </c>
      <c r="W72" s="11">
        <f t="shared" ca="1" si="2"/>
        <v>-20</v>
      </c>
      <c r="X72" s="11" t="str">
        <f t="shared" ca="1" si="3"/>
        <v>Vencido</v>
      </c>
    </row>
    <row r="73" spans="1:24" ht="50.1" hidden="1" customHeight="1">
      <c r="A73" s="12" t="s">
        <v>65</v>
      </c>
      <c r="B73" s="12" t="s">
        <v>761</v>
      </c>
      <c r="C73" s="13">
        <v>6674090</v>
      </c>
      <c r="D73" s="15">
        <v>0</v>
      </c>
      <c r="E73" s="15">
        <v>75</v>
      </c>
      <c r="F73" s="16" t="s">
        <v>25</v>
      </c>
      <c r="G73" s="16" t="s">
        <v>232</v>
      </c>
      <c r="H73" s="17" t="s">
        <v>316</v>
      </c>
      <c r="I73" s="16">
        <v>2021</v>
      </c>
      <c r="J73" s="32">
        <v>44509</v>
      </c>
      <c r="K73" s="16" t="s">
        <v>167</v>
      </c>
      <c r="L73" s="16" t="s">
        <v>28</v>
      </c>
      <c r="M73" s="32">
        <v>45280</v>
      </c>
      <c r="N73" s="28" t="s">
        <v>435</v>
      </c>
      <c r="O73" s="16" t="s">
        <v>64</v>
      </c>
      <c r="P73" s="11" t="s">
        <v>158</v>
      </c>
      <c r="Q73" s="12"/>
      <c r="R73" s="21" t="s">
        <v>762</v>
      </c>
      <c r="S73" s="11" t="s">
        <v>438</v>
      </c>
      <c r="T73" s="11" t="s">
        <v>327</v>
      </c>
      <c r="U73" s="33">
        <v>45908</v>
      </c>
      <c r="V73" s="33">
        <v>46273</v>
      </c>
      <c r="W73" s="11">
        <f t="shared" ca="1" si="2"/>
        <v>188</v>
      </c>
      <c r="X73" s="11" t="str">
        <f t="shared" ca="1" si="3"/>
        <v>Vigente</v>
      </c>
    </row>
    <row r="74" spans="1:24" ht="50.1" hidden="1" customHeight="1">
      <c r="A74" s="12" t="s">
        <v>189</v>
      </c>
      <c r="B74" s="12" t="s">
        <v>763</v>
      </c>
      <c r="C74" s="13">
        <v>5237404</v>
      </c>
      <c r="D74" s="15">
        <v>9</v>
      </c>
      <c r="E74" s="15">
        <v>80</v>
      </c>
      <c r="F74" s="16" t="s">
        <v>33</v>
      </c>
      <c r="G74" s="16" t="s">
        <v>60</v>
      </c>
      <c r="H74" s="17" t="s">
        <v>316</v>
      </c>
      <c r="I74" s="16" t="s">
        <v>179</v>
      </c>
      <c r="J74" s="16" t="s">
        <v>183</v>
      </c>
      <c r="K74" s="16" t="s">
        <v>68</v>
      </c>
      <c r="L74" s="16" t="s">
        <v>274</v>
      </c>
      <c r="M74" s="32">
        <v>43726</v>
      </c>
      <c r="N74" s="12" t="s">
        <v>764</v>
      </c>
      <c r="O74" s="16" t="s">
        <v>64</v>
      </c>
      <c r="P74" s="11" t="s">
        <v>158</v>
      </c>
      <c r="Q74" s="12"/>
      <c r="R74" s="21" t="s">
        <v>442</v>
      </c>
      <c r="S74" s="11" t="s">
        <v>293</v>
      </c>
      <c r="T74" s="11" t="s">
        <v>282</v>
      </c>
      <c r="U74" s="33">
        <v>45897</v>
      </c>
      <c r="V74" s="33">
        <v>45990</v>
      </c>
      <c r="W74" s="11">
        <f t="shared" ca="1" si="2"/>
        <v>-95</v>
      </c>
      <c r="X74" s="11" t="str">
        <f t="shared" ca="1" si="3"/>
        <v>Vencido</v>
      </c>
    </row>
    <row r="75" spans="1:24" ht="50.1" hidden="1" customHeight="1">
      <c r="A75" s="12" t="s">
        <v>65</v>
      </c>
      <c r="B75" s="12" t="s">
        <v>765</v>
      </c>
      <c r="C75" s="13">
        <v>4999381</v>
      </c>
      <c r="D75" s="15">
        <v>1</v>
      </c>
      <c r="E75" s="15">
        <v>80</v>
      </c>
      <c r="F75" s="16" t="s">
        <v>70</v>
      </c>
      <c r="G75" s="16" t="s">
        <v>766</v>
      </c>
      <c r="H75" s="17" t="s">
        <v>316</v>
      </c>
      <c r="I75" s="16">
        <v>2024</v>
      </c>
      <c r="J75" s="32">
        <v>45572</v>
      </c>
      <c r="K75" s="16" t="s">
        <v>68</v>
      </c>
      <c r="L75" s="16" t="s">
        <v>246</v>
      </c>
      <c r="M75" s="33">
        <v>45987</v>
      </c>
      <c r="N75" s="28" t="s">
        <v>767</v>
      </c>
      <c r="O75" s="96" t="s">
        <v>2</v>
      </c>
      <c r="P75" s="11" t="s">
        <v>158</v>
      </c>
      <c r="Q75" s="12"/>
      <c r="R75" s="12" t="s">
        <v>768</v>
      </c>
      <c r="S75" s="11" t="s">
        <v>289</v>
      </c>
      <c r="T75" s="11" t="s">
        <v>282</v>
      </c>
      <c r="U75" s="33">
        <v>45992</v>
      </c>
      <c r="V75" s="33">
        <v>46023</v>
      </c>
      <c r="W75" s="11">
        <f t="shared" ca="1" si="2"/>
        <v>-62</v>
      </c>
      <c r="X75" s="11" t="str">
        <f t="shared" ca="1" si="3"/>
        <v>Vencido</v>
      </c>
    </row>
    <row r="76" spans="1:24" s="2" customFormat="1" ht="50.1" hidden="1" customHeight="1">
      <c r="A76" s="21" t="s">
        <v>189</v>
      </c>
      <c r="B76" s="21" t="s">
        <v>769</v>
      </c>
      <c r="C76" s="22">
        <v>5457822</v>
      </c>
      <c r="D76" s="24">
        <v>9</v>
      </c>
      <c r="E76" s="24">
        <v>85</v>
      </c>
      <c r="F76" s="17" t="s">
        <v>25</v>
      </c>
      <c r="G76" s="17" t="s">
        <v>60</v>
      </c>
      <c r="H76" s="17" t="s">
        <v>316</v>
      </c>
      <c r="I76" s="17">
        <v>2022</v>
      </c>
      <c r="J76" s="34">
        <v>44728</v>
      </c>
      <c r="K76" s="17" t="s">
        <v>68</v>
      </c>
      <c r="L76" s="17" t="s">
        <v>274</v>
      </c>
      <c r="M76" s="34">
        <v>44963</v>
      </c>
      <c r="N76" s="40" t="s">
        <v>770</v>
      </c>
      <c r="O76" s="96" t="s">
        <v>2</v>
      </c>
      <c r="P76" s="20"/>
      <c r="Q76" s="21"/>
      <c r="R76" s="21" t="s">
        <v>771</v>
      </c>
      <c r="S76" s="20" t="s">
        <v>281</v>
      </c>
      <c r="T76" s="20" t="s">
        <v>727</v>
      </c>
      <c r="U76" s="41">
        <v>45897</v>
      </c>
      <c r="V76" s="41">
        <v>45958</v>
      </c>
      <c r="W76" s="20">
        <f t="shared" ca="1" si="2"/>
        <v>-127</v>
      </c>
      <c r="X76" s="20" t="str">
        <f t="shared" ca="1" si="3"/>
        <v>Vencido</v>
      </c>
    </row>
    <row r="77" spans="1:24" s="2" customFormat="1" ht="50.1" hidden="1" customHeight="1">
      <c r="A77" s="21" t="s">
        <v>189</v>
      </c>
      <c r="B77" s="21" t="s">
        <v>772</v>
      </c>
      <c r="C77" s="22">
        <v>5252902</v>
      </c>
      <c r="D77" s="24">
        <v>6</v>
      </c>
      <c r="E77" s="24">
        <v>79</v>
      </c>
      <c r="F77" s="17" t="s">
        <v>70</v>
      </c>
      <c r="G77" s="17" t="s">
        <v>60</v>
      </c>
      <c r="H77" s="17" t="s">
        <v>316</v>
      </c>
      <c r="I77" s="17">
        <v>2024</v>
      </c>
      <c r="J77" s="34">
        <v>45299</v>
      </c>
      <c r="K77" s="17" t="s">
        <v>55</v>
      </c>
      <c r="L77" s="17" t="s">
        <v>28</v>
      </c>
      <c r="M77" s="34">
        <v>45497</v>
      </c>
      <c r="N77" s="40" t="s">
        <v>191</v>
      </c>
      <c r="O77" s="17" t="s">
        <v>64</v>
      </c>
      <c r="P77" s="20" t="s">
        <v>158</v>
      </c>
      <c r="Q77" s="21"/>
      <c r="R77" s="21" t="s">
        <v>773</v>
      </c>
      <c r="S77" s="20" t="s">
        <v>293</v>
      </c>
      <c r="T77" s="20" t="s">
        <v>282</v>
      </c>
      <c r="U77" s="41">
        <v>45897</v>
      </c>
      <c r="V77" s="41">
        <v>46019</v>
      </c>
      <c r="W77" s="20">
        <f t="shared" ca="1" si="2"/>
        <v>-66</v>
      </c>
      <c r="X77" s="20" t="str">
        <f t="shared" ca="1" si="3"/>
        <v>Vencido</v>
      </c>
    </row>
    <row r="78" spans="1:24" ht="69" hidden="1" customHeight="1">
      <c r="A78" s="12" t="s">
        <v>189</v>
      </c>
      <c r="B78" s="12" t="s">
        <v>774</v>
      </c>
      <c r="C78" s="13">
        <v>4342243</v>
      </c>
      <c r="D78" s="15" t="s">
        <v>93</v>
      </c>
      <c r="E78" s="15">
        <v>84</v>
      </c>
      <c r="F78" s="16" t="s">
        <v>70</v>
      </c>
      <c r="G78" s="16" t="s">
        <v>60</v>
      </c>
      <c r="H78" s="17" t="s">
        <v>316</v>
      </c>
      <c r="I78" s="16">
        <v>2024</v>
      </c>
      <c r="J78" s="32">
        <v>45533</v>
      </c>
      <c r="K78" s="16" t="s">
        <v>68</v>
      </c>
      <c r="L78" s="16" t="s">
        <v>174</v>
      </c>
      <c r="M78" s="33">
        <v>45742</v>
      </c>
      <c r="N78" s="28" t="s">
        <v>775</v>
      </c>
      <c r="O78" s="96" t="s">
        <v>2</v>
      </c>
      <c r="P78" s="11" t="s">
        <v>158</v>
      </c>
      <c r="Q78" s="12"/>
      <c r="R78" s="21" t="s">
        <v>776</v>
      </c>
      <c r="S78" s="11" t="s">
        <v>281</v>
      </c>
      <c r="T78" s="11" t="s">
        <v>282</v>
      </c>
      <c r="U78" s="33">
        <v>45897</v>
      </c>
      <c r="V78" s="33">
        <v>45958</v>
      </c>
      <c r="W78" s="11">
        <f t="shared" ca="1" si="2"/>
        <v>-127</v>
      </c>
      <c r="X78" s="11" t="str">
        <f t="shared" ca="1" si="3"/>
        <v>Vencido</v>
      </c>
    </row>
    <row r="79" spans="1:24" s="2" customFormat="1" ht="50.1" hidden="1" customHeight="1">
      <c r="A79" s="21" t="s">
        <v>65</v>
      </c>
      <c r="B79" s="21" t="s">
        <v>777</v>
      </c>
      <c r="C79" s="22">
        <v>7226705</v>
      </c>
      <c r="D79" s="24">
        <v>2</v>
      </c>
      <c r="E79" s="24">
        <v>71</v>
      </c>
      <c r="F79" s="17" t="s">
        <v>25</v>
      </c>
      <c r="G79" s="17" t="s">
        <v>67</v>
      </c>
      <c r="H79" s="17" t="s">
        <v>316</v>
      </c>
      <c r="I79" s="17">
        <v>2023</v>
      </c>
      <c r="J79" s="34">
        <v>45190</v>
      </c>
      <c r="K79" s="17" t="s">
        <v>27</v>
      </c>
      <c r="L79" s="17" t="s">
        <v>246</v>
      </c>
      <c r="M79" s="34">
        <v>45266</v>
      </c>
      <c r="N79" s="40" t="s">
        <v>778</v>
      </c>
      <c r="O79" s="96" t="s">
        <v>2</v>
      </c>
      <c r="P79" s="20" t="s">
        <v>158</v>
      </c>
      <c r="Q79" s="21"/>
      <c r="R79" s="21" t="s">
        <v>779</v>
      </c>
      <c r="S79" s="20" t="s">
        <v>289</v>
      </c>
      <c r="T79" s="20" t="s">
        <v>282</v>
      </c>
      <c r="U79" s="41">
        <v>45897</v>
      </c>
      <c r="V79" s="41">
        <v>45928</v>
      </c>
      <c r="W79" s="20">
        <f t="shared" ca="1" si="2"/>
        <v>-157</v>
      </c>
      <c r="X79" s="20" t="str">
        <f t="shared" ca="1" si="3"/>
        <v>Vencido</v>
      </c>
    </row>
    <row r="80" spans="1:24" ht="50.1" hidden="1" customHeight="1">
      <c r="A80" s="12" t="s">
        <v>189</v>
      </c>
      <c r="B80" s="12" t="s">
        <v>780</v>
      </c>
      <c r="C80" s="13">
        <v>10570593</v>
      </c>
      <c r="D80" s="15" t="s">
        <v>135</v>
      </c>
      <c r="E80" s="15">
        <v>58</v>
      </c>
      <c r="F80" s="16" t="s">
        <v>25</v>
      </c>
      <c r="G80" s="16" t="s">
        <v>60</v>
      </c>
      <c r="H80" s="17" t="s">
        <v>316</v>
      </c>
      <c r="I80" s="16">
        <v>2019</v>
      </c>
      <c r="J80" s="32">
        <v>43651</v>
      </c>
      <c r="K80" s="16" t="s">
        <v>27</v>
      </c>
      <c r="L80" s="16" t="s">
        <v>28</v>
      </c>
      <c r="M80" s="32">
        <v>43717</v>
      </c>
      <c r="N80" s="12" t="s">
        <v>528</v>
      </c>
      <c r="O80" s="16" t="s">
        <v>64</v>
      </c>
      <c r="P80" s="11" t="s">
        <v>158</v>
      </c>
      <c r="Q80" s="12"/>
      <c r="R80" s="12" t="s">
        <v>781</v>
      </c>
      <c r="S80" s="11" t="s">
        <v>438</v>
      </c>
      <c r="T80" s="11" t="s">
        <v>286</v>
      </c>
      <c r="U80" s="33">
        <v>45601</v>
      </c>
      <c r="V80" s="33">
        <v>45966</v>
      </c>
      <c r="W80" s="11">
        <f t="shared" ca="1" si="2"/>
        <v>-119</v>
      </c>
      <c r="X80" s="11" t="str">
        <f t="shared" ca="1" si="3"/>
        <v>Vencido</v>
      </c>
    </row>
    <row r="81" spans="1:24" ht="50.1" hidden="1" customHeight="1">
      <c r="A81" s="12" t="s">
        <v>189</v>
      </c>
      <c r="B81" s="12" t="s">
        <v>782</v>
      </c>
      <c r="C81" s="13">
        <v>8641562</v>
      </c>
      <c r="D81" s="15">
        <v>3</v>
      </c>
      <c r="E81" s="15">
        <v>68</v>
      </c>
      <c r="F81" s="16" t="s">
        <v>70</v>
      </c>
      <c r="G81" s="16" t="s">
        <v>60</v>
      </c>
      <c r="H81" s="17" t="s">
        <v>316</v>
      </c>
      <c r="I81" s="16">
        <v>2024</v>
      </c>
      <c r="J81" s="32">
        <v>45397</v>
      </c>
      <c r="K81" s="16" t="s">
        <v>68</v>
      </c>
      <c r="L81" s="16" t="s">
        <v>246</v>
      </c>
      <c r="M81" s="33">
        <v>45988</v>
      </c>
      <c r="N81" s="28" t="s">
        <v>783</v>
      </c>
      <c r="O81" s="16" t="s">
        <v>64</v>
      </c>
      <c r="P81" s="11" t="s">
        <v>158</v>
      </c>
      <c r="Q81" s="12"/>
      <c r="R81" s="12" t="s">
        <v>784</v>
      </c>
      <c r="S81" s="11" t="s">
        <v>586</v>
      </c>
      <c r="T81" s="11" t="s">
        <v>553</v>
      </c>
      <c r="U81" s="33">
        <v>45979</v>
      </c>
      <c r="V81" s="33">
        <v>46160</v>
      </c>
      <c r="W81" s="11">
        <f t="shared" ca="1" si="2"/>
        <v>75</v>
      </c>
      <c r="X81" s="11" t="str">
        <f t="shared" ca="1" si="3"/>
        <v>Vigente</v>
      </c>
    </row>
    <row r="82" spans="1:24" ht="50.1" hidden="1" customHeight="1">
      <c r="A82" s="12" t="s">
        <v>65</v>
      </c>
      <c r="B82" s="12" t="s">
        <v>785</v>
      </c>
      <c r="C82" s="13">
        <v>11822957</v>
      </c>
      <c r="D82" s="15">
        <v>6</v>
      </c>
      <c r="E82" s="15">
        <v>53</v>
      </c>
      <c r="F82" s="16" t="s">
        <v>70</v>
      </c>
      <c r="G82" s="16" t="s">
        <v>86</v>
      </c>
      <c r="H82" s="17" t="s">
        <v>316</v>
      </c>
      <c r="I82" s="16">
        <v>2020</v>
      </c>
      <c r="J82" s="32">
        <v>44036</v>
      </c>
      <c r="K82" s="16" t="s">
        <v>167</v>
      </c>
      <c r="L82" s="16" t="s">
        <v>28</v>
      </c>
      <c r="M82" s="32">
        <v>44179</v>
      </c>
      <c r="N82" s="28" t="s">
        <v>786</v>
      </c>
      <c r="O82" s="16" t="s">
        <v>64</v>
      </c>
      <c r="P82" s="11" t="s">
        <v>158</v>
      </c>
      <c r="Q82" s="12" t="s">
        <v>584</v>
      </c>
      <c r="R82" s="12" t="s">
        <v>787</v>
      </c>
      <c r="S82" s="11" t="s">
        <v>438</v>
      </c>
      <c r="T82" s="11" t="s">
        <v>286</v>
      </c>
      <c r="U82" s="33">
        <v>45209</v>
      </c>
      <c r="V82" s="33">
        <v>45575</v>
      </c>
      <c r="W82" s="11">
        <f t="shared" ca="1" si="2"/>
        <v>-510</v>
      </c>
      <c r="X82" s="11" t="str">
        <f t="shared" ca="1" si="3"/>
        <v>Vencido</v>
      </c>
    </row>
    <row r="83" spans="1:24" ht="50.1" hidden="1" customHeight="1">
      <c r="A83" s="12" t="s">
        <v>189</v>
      </c>
      <c r="B83" s="12" t="s">
        <v>788</v>
      </c>
      <c r="C83" s="13">
        <v>3997315</v>
      </c>
      <c r="D83" s="15">
        <v>4</v>
      </c>
      <c r="E83" s="15">
        <v>86</v>
      </c>
      <c r="F83" s="16" t="s">
        <v>25</v>
      </c>
      <c r="G83" s="16" t="s">
        <v>60</v>
      </c>
      <c r="H83" s="17" t="s">
        <v>316</v>
      </c>
      <c r="I83" s="16">
        <v>2023</v>
      </c>
      <c r="J83" s="32">
        <v>44995</v>
      </c>
      <c r="K83" s="16" t="s">
        <v>27</v>
      </c>
      <c r="L83" s="16" t="s">
        <v>274</v>
      </c>
      <c r="M83" s="16" t="s">
        <v>185</v>
      </c>
      <c r="N83" s="12" t="s">
        <v>181</v>
      </c>
      <c r="O83" s="16" t="s">
        <v>64</v>
      </c>
      <c r="P83" s="11" t="s">
        <v>158</v>
      </c>
      <c r="Q83" s="12"/>
      <c r="R83" s="12" t="s">
        <v>789</v>
      </c>
      <c r="S83" s="11" t="s">
        <v>374</v>
      </c>
      <c r="T83" s="11" t="s">
        <v>282</v>
      </c>
      <c r="U83" s="33">
        <v>45897</v>
      </c>
      <c r="V83" s="33">
        <v>45989</v>
      </c>
      <c r="W83" s="11">
        <f t="shared" ca="1" si="2"/>
        <v>-96</v>
      </c>
      <c r="X83" s="11" t="str">
        <f t="shared" ca="1" si="3"/>
        <v>Vencido</v>
      </c>
    </row>
    <row r="84" spans="1:24" ht="50.1" hidden="1" customHeight="1">
      <c r="A84" s="12" t="s">
        <v>65</v>
      </c>
      <c r="B84" s="12" t="s">
        <v>790</v>
      </c>
      <c r="C84" s="13">
        <v>11823066</v>
      </c>
      <c r="D84" s="57">
        <v>3</v>
      </c>
      <c r="E84" s="15">
        <v>53</v>
      </c>
      <c r="F84" s="16" t="s">
        <v>25</v>
      </c>
      <c r="G84" s="16" t="s">
        <v>198</v>
      </c>
      <c r="H84" s="17" t="s">
        <v>316</v>
      </c>
      <c r="I84" s="16" t="s">
        <v>179</v>
      </c>
      <c r="J84" s="16" t="s">
        <v>183</v>
      </c>
      <c r="K84" s="16" t="s">
        <v>68</v>
      </c>
      <c r="L84" s="16" t="s">
        <v>246</v>
      </c>
      <c r="M84" s="33">
        <v>45777</v>
      </c>
      <c r="N84" s="28" t="s">
        <v>791</v>
      </c>
      <c r="O84" s="96" t="s">
        <v>2</v>
      </c>
      <c r="P84" s="11" t="s">
        <v>158</v>
      </c>
      <c r="Q84" s="12"/>
      <c r="R84" s="12" t="s">
        <v>792</v>
      </c>
      <c r="S84" s="11" t="s">
        <v>289</v>
      </c>
      <c r="T84" s="11" t="s">
        <v>348</v>
      </c>
      <c r="U84" s="33">
        <v>45841</v>
      </c>
      <c r="V84" s="33">
        <v>45872</v>
      </c>
      <c r="W84" s="11">
        <f t="shared" ca="1" si="2"/>
        <v>-213</v>
      </c>
      <c r="X84" s="11" t="str">
        <f t="shared" ca="1" si="3"/>
        <v>Vencido</v>
      </c>
    </row>
    <row r="85" spans="1:24" ht="50.1" hidden="1" customHeight="1">
      <c r="A85" s="12" t="s">
        <v>65</v>
      </c>
      <c r="B85" s="12" t="s">
        <v>793</v>
      </c>
      <c r="C85" s="13">
        <v>7377968</v>
      </c>
      <c r="D85" s="15">
        <v>5</v>
      </c>
      <c r="E85" s="15">
        <v>71</v>
      </c>
      <c r="F85" s="16" t="s">
        <v>25</v>
      </c>
      <c r="G85" s="16" t="s">
        <v>202</v>
      </c>
      <c r="H85" s="17" t="s">
        <v>316</v>
      </c>
      <c r="I85" s="16">
        <v>2024</v>
      </c>
      <c r="J85" s="32">
        <v>45321</v>
      </c>
      <c r="K85" s="16" t="s">
        <v>27</v>
      </c>
      <c r="L85" s="16" t="s">
        <v>28</v>
      </c>
      <c r="M85" s="32">
        <v>45406</v>
      </c>
      <c r="N85" s="12" t="s">
        <v>794</v>
      </c>
      <c r="O85" s="16" t="s">
        <v>64</v>
      </c>
      <c r="P85" s="11" t="s">
        <v>158</v>
      </c>
      <c r="Q85" s="12"/>
      <c r="R85" s="12" t="s">
        <v>795</v>
      </c>
      <c r="S85" s="11" t="s">
        <v>281</v>
      </c>
      <c r="T85" s="11" t="s">
        <v>294</v>
      </c>
      <c r="U85" s="33">
        <v>45897</v>
      </c>
      <c r="V85" s="33">
        <v>45958</v>
      </c>
      <c r="W85" s="11">
        <f t="shared" ca="1" si="2"/>
        <v>-127</v>
      </c>
      <c r="X85" s="11" t="str">
        <f t="shared" ca="1" si="3"/>
        <v>Vencido</v>
      </c>
    </row>
    <row r="86" spans="1:24" ht="50.1" hidden="1" customHeight="1">
      <c r="A86" s="12" t="s">
        <v>189</v>
      </c>
      <c r="B86" s="12" t="s">
        <v>796</v>
      </c>
      <c r="C86" s="13">
        <v>6671842</v>
      </c>
      <c r="D86" s="15">
        <v>5</v>
      </c>
      <c r="E86" s="15">
        <v>73</v>
      </c>
      <c r="F86" s="16" t="s">
        <v>25</v>
      </c>
      <c r="G86" s="16" t="s">
        <v>60</v>
      </c>
      <c r="H86" s="17" t="s">
        <v>316</v>
      </c>
      <c r="I86" s="16">
        <v>2021</v>
      </c>
      <c r="J86" s="32">
        <v>44537</v>
      </c>
      <c r="K86" s="16" t="s">
        <v>27</v>
      </c>
      <c r="L86" s="16" t="s">
        <v>28</v>
      </c>
      <c r="M86" s="32">
        <v>45012</v>
      </c>
      <c r="N86" s="12" t="s">
        <v>797</v>
      </c>
      <c r="O86" s="16" t="s">
        <v>64</v>
      </c>
      <c r="P86" s="11"/>
      <c r="Q86" s="12"/>
      <c r="R86" s="12" t="s">
        <v>798</v>
      </c>
      <c r="S86" s="11" t="s">
        <v>289</v>
      </c>
      <c r="T86" s="11" t="s">
        <v>530</v>
      </c>
      <c r="U86" s="33">
        <v>45908</v>
      </c>
      <c r="V86" s="33">
        <v>45938</v>
      </c>
      <c r="W86" s="11">
        <f t="shared" ca="1" si="2"/>
        <v>-147</v>
      </c>
      <c r="X86" s="11" t="str">
        <f t="shared" ca="1" si="3"/>
        <v>Vencido</v>
      </c>
    </row>
    <row r="87" spans="1:24" ht="50.1" hidden="1" customHeight="1">
      <c r="A87" s="12" t="s">
        <v>65</v>
      </c>
      <c r="B87" s="12" t="s">
        <v>799</v>
      </c>
      <c r="C87" s="13">
        <v>9424734</v>
      </c>
      <c r="D87" s="15">
        <v>9</v>
      </c>
      <c r="E87" s="15">
        <v>62</v>
      </c>
      <c r="F87" s="16" t="s">
        <v>255</v>
      </c>
      <c r="G87" s="16" t="s">
        <v>245</v>
      </c>
      <c r="H87" s="17" t="s">
        <v>316</v>
      </c>
      <c r="I87" s="16">
        <v>2022</v>
      </c>
      <c r="J87" s="32">
        <v>44606</v>
      </c>
      <c r="K87" s="16" t="s">
        <v>27</v>
      </c>
      <c r="L87" s="16" t="s">
        <v>28</v>
      </c>
      <c r="M87" s="16" t="s">
        <v>185</v>
      </c>
      <c r="N87" s="12" t="s">
        <v>181</v>
      </c>
      <c r="O87" s="16" t="s">
        <v>64</v>
      </c>
      <c r="P87" s="11" t="s">
        <v>34</v>
      </c>
      <c r="Q87" s="12" t="s">
        <v>800</v>
      </c>
      <c r="R87" s="64" t="s">
        <v>801</v>
      </c>
      <c r="S87" s="11" t="s">
        <v>802</v>
      </c>
      <c r="T87" s="11" t="s">
        <v>286</v>
      </c>
      <c r="U87" s="33">
        <v>45209</v>
      </c>
      <c r="V87" s="33">
        <v>45505</v>
      </c>
      <c r="W87" s="11">
        <f t="shared" ca="1" si="2"/>
        <v>-580</v>
      </c>
      <c r="X87" s="11" t="str">
        <f t="shared" ca="1" si="3"/>
        <v>Vencido</v>
      </c>
    </row>
    <row r="88" spans="1:24" ht="50.1" hidden="1" customHeight="1">
      <c r="A88" s="12" t="s">
        <v>189</v>
      </c>
      <c r="B88" s="21" t="s">
        <v>803</v>
      </c>
      <c r="C88" s="22">
        <v>6583550</v>
      </c>
      <c r="D88" s="24">
        <v>9</v>
      </c>
      <c r="E88" s="24">
        <v>73</v>
      </c>
      <c r="F88" s="17" t="s">
        <v>25</v>
      </c>
      <c r="G88" s="17" t="s">
        <v>60</v>
      </c>
      <c r="H88" s="17" t="s">
        <v>316</v>
      </c>
      <c r="I88" s="17">
        <v>2017</v>
      </c>
      <c r="J88" s="34">
        <v>43041</v>
      </c>
      <c r="K88" s="17" t="s">
        <v>38</v>
      </c>
      <c r="L88" s="17" t="s">
        <v>28</v>
      </c>
      <c r="M88" s="17" t="s">
        <v>185</v>
      </c>
      <c r="N88" s="21" t="s">
        <v>181</v>
      </c>
      <c r="O88" s="16" t="s">
        <v>64</v>
      </c>
      <c r="P88" s="20" t="s">
        <v>34</v>
      </c>
      <c r="Q88" s="21" t="s">
        <v>804</v>
      </c>
      <c r="R88" s="21" t="s">
        <v>805</v>
      </c>
      <c r="S88" s="20" t="s">
        <v>281</v>
      </c>
      <c r="T88" s="20" t="s">
        <v>806</v>
      </c>
      <c r="U88" s="41">
        <v>45329</v>
      </c>
      <c r="V88" s="41">
        <v>45389</v>
      </c>
      <c r="W88" s="11">
        <f t="shared" ca="1" si="2"/>
        <v>-696</v>
      </c>
      <c r="X88" s="11" t="str">
        <f t="shared" ca="1" si="3"/>
        <v>Vencido</v>
      </c>
    </row>
    <row r="89" spans="1:24" ht="50.1" hidden="1" customHeight="1">
      <c r="A89" s="12" t="s">
        <v>189</v>
      </c>
      <c r="B89" s="21" t="s">
        <v>807</v>
      </c>
      <c r="C89" s="22">
        <v>3951160</v>
      </c>
      <c r="D89" s="24">
        <v>6</v>
      </c>
      <c r="E89" s="24">
        <v>91</v>
      </c>
      <c r="F89" s="17" t="s">
        <v>43</v>
      </c>
      <c r="G89" s="17" t="s">
        <v>88</v>
      </c>
      <c r="H89" s="17" t="s">
        <v>316</v>
      </c>
      <c r="I89" s="17">
        <v>2021</v>
      </c>
      <c r="J89" s="17" t="s">
        <v>183</v>
      </c>
      <c r="K89" s="17" t="s">
        <v>27</v>
      </c>
      <c r="L89" s="17" t="s">
        <v>28</v>
      </c>
      <c r="M89" s="17" t="s">
        <v>185</v>
      </c>
      <c r="N89" s="21" t="s">
        <v>181</v>
      </c>
      <c r="O89" s="16" t="s">
        <v>64</v>
      </c>
      <c r="P89" s="20" t="s">
        <v>34</v>
      </c>
      <c r="Q89" s="21" t="s">
        <v>804</v>
      </c>
      <c r="R89" s="21" t="s">
        <v>808</v>
      </c>
      <c r="S89" s="20" t="s">
        <v>293</v>
      </c>
      <c r="T89" s="20" t="s">
        <v>286</v>
      </c>
      <c r="U89" s="41">
        <v>45229</v>
      </c>
      <c r="V89" s="41">
        <v>45321</v>
      </c>
      <c r="W89" s="11">
        <f t="shared" ca="1" si="2"/>
        <v>-764</v>
      </c>
      <c r="X89" s="11" t="str">
        <f t="shared" ca="1" si="3"/>
        <v>Vencido</v>
      </c>
    </row>
    <row r="90" spans="1:24" ht="50.1" hidden="1" customHeight="1">
      <c r="A90" s="12" t="s">
        <v>65</v>
      </c>
      <c r="B90" s="21" t="s">
        <v>809</v>
      </c>
      <c r="C90" s="22">
        <v>14170271</v>
      </c>
      <c r="D90" s="24">
        <v>8</v>
      </c>
      <c r="E90" s="24">
        <v>44</v>
      </c>
      <c r="F90" s="17" t="s">
        <v>33</v>
      </c>
      <c r="G90" s="17" t="s">
        <v>810</v>
      </c>
      <c r="H90" s="17" t="s">
        <v>316</v>
      </c>
      <c r="I90" s="17">
        <v>2022</v>
      </c>
      <c r="J90" s="34">
        <v>44754</v>
      </c>
      <c r="K90" s="17" t="s">
        <v>167</v>
      </c>
      <c r="L90" s="17" t="s">
        <v>39</v>
      </c>
      <c r="M90" s="34">
        <v>45238</v>
      </c>
      <c r="N90" s="21" t="s">
        <v>811</v>
      </c>
      <c r="O90" s="96" t="s">
        <v>2</v>
      </c>
      <c r="P90" s="20" t="s">
        <v>155</v>
      </c>
      <c r="Q90" s="21"/>
      <c r="R90" s="21" t="s">
        <v>812</v>
      </c>
      <c r="S90" s="20" t="s">
        <v>281</v>
      </c>
      <c r="T90" s="20" t="s">
        <v>282</v>
      </c>
      <c r="U90" s="41">
        <v>45897</v>
      </c>
      <c r="V90" s="41">
        <v>45958</v>
      </c>
      <c r="W90" s="11">
        <f t="shared" ca="1" si="2"/>
        <v>-127</v>
      </c>
      <c r="X90" s="11" t="str">
        <f t="shared" ca="1" si="3"/>
        <v>Vencido</v>
      </c>
    </row>
    <row r="91" spans="1:24" ht="65.25" hidden="1" customHeight="1">
      <c r="A91" s="12" t="s">
        <v>189</v>
      </c>
      <c r="B91" s="21" t="s">
        <v>813</v>
      </c>
      <c r="C91" s="22">
        <v>7866160</v>
      </c>
      <c r="D91" s="24">
        <v>7</v>
      </c>
      <c r="E91" s="24">
        <v>69</v>
      </c>
      <c r="F91" s="17" t="s">
        <v>25</v>
      </c>
      <c r="G91" s="17" t="s">
        <v>60</v>
      </c>
      <c r="H91" s="17" t="s">
        <v>316</v>
      </c>
      <c r="I91" s="17">
        <v>2020</v>
      </c>
      <c r="J91" s="34">
        <v>43931</v>
      </c>
      <c r="K91" s="17" t="s">
        <v>38</v>
      </c>
      <c r="L91" s="17" t="s">
        <v>28</v>
      </c>
      <c r="M91" s="17" t="s">
        <v>185</v>
      </c>
      <c r="N91" s="21" t="s">
        <v>181</v>
      </c>
      <c r="O91" s="16" t="s">
        <v>64</v>
      </c>
      <c r="P91" s="20" t="s">
        <v>34</v>
      </c>
      <c r="Q91" s="21"/>
      <c r="R91" s="21" t="s">
        <v>814</v>
      </c>
      <c r="S91" s="20"/>
      <c r="T91" s="20"/>
      <c r="U91" s="20"/>
      <c r="V91" s="41"/>
      <c r="W91" s="11">
        <f t="shared" ca="1" si="2"/>
        <v>-46085</v>
      </c>
      <c r="X91" s="11" t="str">
        <f t="shared" ca="1" si="3"/>
        <v>Vencido</v>
      </c>
    </row>
    <row r="92" spans="1:24" ht="50.1" hidden="1" customHeight="1">
      <c r="A92" s="12" t="s">
        <v>65</v>
      </c>
      <c r="B92" s="21" t="s">
        <v>815</v>
      </c>
      <c r="C92" s="22">
        <v>6606322</v>
      </c>
      <c r="D92" s="24">
        <v>4</v>
      </c>
      <c r="E92" s="24">
        <v>77</v>
      </c>
      <c r="F92" s="17" t="s">
        <v>70</v>
      </c>
      <c r="G92" s="17" t="s">
        <v>202</v>
      </c>
      <c r="H92" s="17" t="s">
        <v>316</v>
      </c>
      <c r="I92" s="17" t="s">
        <v>179</v>
      </c>
      <c r="J92" s="17" t="s">
        <v>183</v>
      </c>
      <c r="K92" s="17" t="s">
        <v>38</v>
      </c>
      <c r="L92" s="17" t="s">
        <v>274</v>
      </c>
      <c r="M92" s="34">
        <v>43824</v>
      </c>
      <c r="N92" s="21" t="s">
        <v>816</v>
      </c>
      <c r="O92" s="16" t="s">
        <v>64</v>
      </c>
      <c r="P92" s="20" t="s">
        <v>155</v>
      </c>
      <c r="Q92" s="21"/>
      <c r="R92" s="21" t="s">
        <v>817</v>
      </c>
      <c r="S92" s="20"/>
      <c r="T92" s="20"/>
      <c r="U92" s="20"/>
      <c r="V92" s="41"/>
      <c r="W92" s="11">
        <f t="shared" ca="1" si="2"/>
        <v>-46085</v>
      </c>
      <c r="X92" s="11" t="str">
        <f t="shared" ca="1" si="3"/>
        <v>Vencido</v>
      </c>
    </row>
    <row r="93" spans="1:24" ht="50.1" hidden="1" customHeight="1">
      <c r="A93" s="12" t="s">
        <v>65</v>
      </c>
      <c r="B93" s="21" t="s">
        <v>818</v>
      </c>
      <c r="C93" s="22">
        <v>9622923</v>
      </c>
      <c r="D93" s="24">
        <v>2</v>
      </c>
      <c r="E93" s="24">
        <v>65</v>
      </c>
      <c r="F93" s="17" t="s">
        <v>70</v>
      </c>
      <c r="G93" s="17" t="s">
        <v>86</v>
      </c>
      <c r="H93" s="17" t="s">
        <v>316</v>
      </c>
      <c r="I93" s="17">
        <v>2023</v>
      </c>
      <c r="J93" s="34">
        <v>45238</v>
      </c>
      <c r="K93" s="17" t="s">
        <v>167</v>
      </c>
      <c r="L93" s="17" t="s">
        <v>161</v>
      </c>
      <c r="M93" s="34">
        <v>45357</v>
      </c>
      <c r="N93" s="21" t="s">
        <v>819</v>
      </c>
      <c r="O93" s="96" t="s">
        <v>2</v>
      </c>
      <c r="P93" s="20" t="s">
        <v>155</v>
      </c>
      <c r="Q93" s="21"/>
      <c r="R93" s="21" t="s">
        <v>820</v>
      </c>
      <c r="S93" s="20" t="s">
        <v>589</v>
      </c>
      <c r="T93" s="20" t="s">
        <v>530</v>
      </c>
      <c r="U93" s="41">
        <v>46013</v>
      </c>
      <c r="V93" s="41">
        <v>46317</v>
      </c>
      <c r="W93" s="11">
        <f t="shared" ca="1" si="2"/>
        <v>232</v>
      </c>
      <c r="X93" s="11" t="str">
        <f t="shared" ca="1" si="3"/>
        <v>Vigente</v>
      </c>
    </row>
    <row r="94" spans="1:24" ht="50.1" hidden="1" customHeight="1">
      <c r="A94" s="12" t="s">
        <v>189</v>
      </c>
      <c r="B94" s="21" t="s">
        <v>821</v>
      </c>
      <c r="C94" s="22">
        <v>6042154</v>
      </c>
      <c r="D94" s="24">
        <v>4</v>
      </c>
      <c r="E94" s="24">
        <v>76</v>
      </c>
      <c r="F94" s="17" t="s">
        <v>33</v>
      </c>
      <c r="G94" s="17" t="s">
        <v>60</v>
      </c>
      <c r="H94" s="17" t="s">
        <v>316</v>
      </c>
      <c r="I94" s="17">
        <v>2022</v>
      </c>
      <c r="J94" s="34">
        <v>44925</v>
      </c>
      <c r="K94" s="17" t="s">
        <v>38</v>
      </c>
      <c r="L94" s="17" t="s">
        <v>39</v>
      </c>
      <c r="M94" s="34">
        <v>45469</v>
      </c>
      <c r="N94" s="21" t="s">
        <v>711</v>
      </c>
      <c r="O94" s="96" t="s">
        <v>2</v>
      </c>
      <c r="P94" s="20" t="s">
        <v>158</v>
      </c>
      <c r="Q94" s="21"/>
      <c r="R94" s="21" t="s">
        <v>738</v>
      </c>
      <c r="S94" s="20" t="s">
        <v>732</v>
      </c>
      <c r="T94" s="20" t="s">
        <v>282</v>
      </c>
      <c r="U94" s="41">
        <v>45897</v>
      </c>
      <c r="V94" s="41">
        <v>45958</v>
      </c>
      <c r="W94" s="11">
        <f t="shared" ca="1" si="2"/>
        <v>-127</v>
      </c>
      <c r="X94" s="11" t="str">
        <f t="shared" ca="1" si="3"/>
        <v>Vencido</v>
      </c>
    </row>
    <row r="95" spans="1:24" ht="50.1" hidden="1" customHeight="1">
      <c r="A95" s="12" t="s">
        <v>65</v>
      </c>
      <c r="B95" s="21" t="s">
        <v>822</v>
      </c>
      <c r="C95" s="58">
        <v>5149066</v>
      </c>
      <c r="D95" s="59">
        <v>5</v>
      </c>
      <c r="E95" s="24">
        <v>80</v>
      </c>
      <c r="F95" s="17" t="s">
        <v>255</v>
      </c>
      <c r="G95" s="60" t="s">
        <v>86</v>
      </c>
      <c r="H95" s="17" t="s">
        <v>316</v>
      </c>
      <c r="I95" s="17">
        <v>2023</v>
      </c>
      <c r="J95" s="34">
        <v>45267</v>
      </c>
      <c r="K95" s="17" t="s">
        <v>27</v>
      </c>
      <c r="L95" s="17" t="s">
        <v>28</v>
      </c>
      <c r="M95" s="34">
        <v>45203</v>
      </c>
      <c r="N95" s="21" t="s">
        <v>823</v>
      </c>
      <c r="O95" s="16" t="s">
        <v>64</v>
      </c>
      <c r="P95" s="20" t="s">
        <v>155</v>
      </c>
      <c r="Q95" s="21"/>
      <c r="R95" s="21" t="s">
        <v>824</v>
      </c>
      <c r="S95" s="20" t="s">
        <v>281</v>
      </c>
      <c r="T95" s="20" t="s">
        <v>294</v>
      </c>
      <c r="U95" s="41">
        <v>45897</v>
      </c>
      <c r="V95" s="41">
        <v>46019</v>
      </c>
      <c r="W95" s="11">
        <f t="shared" ca="1" si="2"/>
        <v>-66</v>
      </c>
      <c r="X95" s="11" t="str">
        <f t="shared" ca="1" si="3"/>
        <v>Vencido</v>
      </c>
    </row>
    <row r="96" spans="1:24" ht="50.1" hidden="1" customHeight="1">
      <c r="A96" s="12" t="s">
        <v>189</v>
      </c>
      <c r="B96" s="21" t="s">
        <v>825</v>
      </c>
      <c r="C96" s="22">
        <v>8213152</v>
      </c>
      <c r="D96" s="24">
        <v>3</v>
      </c>
      <c r="E96" s="24">
        <v>69</v>
      </c>
      <c r="F96" s="17" t="s">
        <v>25</v>
      </c>
      <c r="G96" s="17" t="s">
        <v>60</v>
      </c>
      <c r="H96" s="17" t="s">
        <v>316</v>
      </c>
      <c r="I96" s="17">
        <v>2022</v>
      </c>
      <c r="J96" s="17" t="s">
        <v>183</v>
      </c>
      <c r="K96" s="17" t="s">
        <v>27</v>
      </c>
      <c r="L96" s="17" t="s">
        <v>28</v>
      </c>
      <c r="M96" s="34">
        <v>45110</v>
      </c>
      <c r="N96" s="21" t="s">
        <v>826</v>
      </c>
      <c r="O96" s="16" t="s">
        <v>64</v>
      </c>
      <c r="P96" s="20"/>
      <c r="Q96" s="21"/>
      <c r="R96" s="21" t="s">
        <v>827</v>
      </c>
      <c r="S96" s="20" t="s">
        <v>289</v>
      </c>
      <c r="T96" s="20" t="s">
        <v>530</v>
      </c>
      <c r="U96" s="41">
        <v>45908</v>
      </c>
      <c r="V96" s="41">
        <v>45938</v>
      </c>
      <c r="W96" s="11">
        <f t="shared" ca="1" si="2"/>
        <v>-147</v>
      </c>
      <c r="X96" s="11" t="str">
        <f t="shared" ca="1" si="3"/>
        <v>Vencido</v>
      </c>
    </row>
    <row r="97" spans="1:24" s="2" customFormat="1" ht="50.1" hidden="1" customHeight="1">
      <c r="A97" s="21" t="s">
        <v>189</v>
      </c>
      <c r="B97" s="21" t="s">
        <v>828</v>
      </c>
      <c r="C97" s="22">
        <v>14906822</v>
      </c>
      <c r="D97" s="24">
        <v>8</v>
      </c>
      <c r="E97" s="24">
        <v>44</v>
      </c>
      <c r="F97" s="17" t="s">
        <v>33</v>
      </c>
      <c r="G97" s="17" t="s">
        <v>60</v>
      </c>
      <c r="H97" s="17" t="s">
        <v>316</v>
      </c>
      <c r="I97" s="17">
        <v>2022</v>
      </c>
      <c r="J97" s="34">
        <v>44662</v>
      </c>
      <c r="K97" s="17" t="s">
        <v>27</v>
      </c>
      <c r="L97" s="17" t="s">
        <v>39</v>
      </c>
      <c r="M97" s="34">
        <v>45406</v>
      </c>
      <c r="N97" s="21" t="s">
        <v>823</v>
      </c>
      <c r="O97" s="96" t="s">
        <v>2</v>
      </c>
      <c r="P97" s="20" t="s">
        <v>158</v>
      </c>
      <c r="Q97" s="21"/>
      <c r="R97" s="21" t="s">
        <v>829</v>
      </c>
      <c r="S97" s="20" t="s">
        <v>438</v>
      </c>
      <c r="T97" s="20" t="s">
        <v>282</v>
      </c>
      <c r="U97" s="41">
        <v>45897</v>
      </c>
      <c r="V97" s="41">
        <v>46081</v>
      </c>
      <c r="W97" s="20">
        <f t="shared" ca="1" si="2"/>
        <v>-4</v>
      </c>
      <c r="X97" s="20" t="str">
        <f t="shared" ca="1" si="3"/>
        <v>Vencido</v>
      </c>
    </row>
    <row r="98" spans="1:24" ht="50.1" hidden="1" customHeight="1">
      <c r="A98" s="12" t="s">
        <v>189</v>
      </c>
      <c r="B98" s="12" t="s">
        <v>830</v>
      </c>
      <c r="C98" s="13">
        <v>8448661</v>
      </c>
      <c r="D98" s="15">
        <v>2</v>
      </c>
      <c r="E98" s="15">
        <v>67</v>
      </c>
      <c r="F98" s="16" t="s">
        <v>475</v>
      </c>
      <c r="G98" s="16" t="s">
        <v>77</v>
      </c>
      <c r="H98" s="17" t="s">
        <v>316</v>
      </c>
      <c r="I98" s="16">
        <v>2025</v>
      </c>
      <c r="J98" s="32">
        <v>45722</v>
      </c>
      <c r="K98" s="16" t="s">
        <v>68</v>
      </c>
      <c r="L98" s="16" t="s">
        <v>174</v>
      </c>
      <c r="M98" s="33">
        <v>45742</v>
      </c>
      <c r="N98" s="28" t="s">
        <v>831</v>
      </c>
      <c r="O98" s="16" t="s">
        <v>64</v>
      </c>
      <c r="P98" s="11" t="s">
        <v>158</v>
      </c>
      <c r="Q98" s="12"/>
      <c r="R98" s="12" t="s">
        <v>832</v>
      </c>
      <c r="S98" s="11" t="s">
        <v>586</v>
      </c>
      <c r="T98" s="33" t="s">
        <v>530</v>
      </c>
      <c r="U98" s="33">
        <v>45793</v>
      </c>
      <c r="V98" s="33">
        <v>46007</v>
      </c>
      <c r="W98" s="11">
        <f t="shared" ref="W98:W128" ca="1" si="4">V98-TODAY()</f>
        <v>-78</v>
      </c>
      <c r="X98" s="11" t="str">
        <f t="shared" ref="X98:X128" ca="1" si="5">IF(W98&gt;=20,"Vigente",IF(AND(W98&gt;=1,W98&lt;=20),"Por Vencer","Vencido"))</f>
        <v>Vencido</v>
      </c>
    </row>
    <row r="99" spans="1:24" ht="50.1" hidden="1" customHeight="1">
      <c r="A99" s="12" t="s">
        <v>189</v>
      </c>
      <c r="B99" s="12" t="s">
        <v>833</v>
      </c>
      <c r="C99" s="13">
        <v>7421183</v>
      </c>
      <c r="D99" s="15">
        <v>6</v>
      </c>
      <c r="E99" s="15">
        <v>70</v>
      </c>
      <c r="F99" s="16" t="s">
        <v>526</v>
      </c>
      <c r="G99" s="16" t="s">
        <v>77</v>
      </c>
      <c r="H99" s="17" t="s">
        <v>316</v>
      </c>
      <c r="I99" s="16">
        <v>2025</v>
      </c>
      <c r="J99" s="32">
        <v>45736</v>
      </c>
      <c r="K99" s="16" t="s">
        <v>68</v>
      </c>
      <c r="L99" s="16" t="s">
        <v>246</v>
      </c>
      <c r="M99" s="33">
        <v>45924</v>
      </c>
      <c r="N99" s="28" t="s">
        <v>834</v>
      </c>
      <c r="O99" s="96" t="s">
        <v>2</v>
      </c>
      <c r="P99" s="11" t="s">
        <v>158</v>
      </c>
      <c r="Q99" s="12"/>
      <c r="R99" s="12" t="s">
        <v>835</v>
      </c>
      <c r="S99" s="11" t="s">
        <v>281</v>
      </c>
      <c r="T99" s="11" t="s">
        <v>282</v>
      </c>
      <c r="U99" s="33">
        <v>45932</v>
      </c>
      <c r="V99" s="33">
        <v>45993</v>
      </c>
      <c r="W99" s="11">
        <f t="shared" ca="1" si="4"/>
        <v>-92</v>
      </c>
      <c r="X99" s="11" t="str">
        <f t="shared" ca="1" si="5"/>
        <v>Vencido</v>
      </c>
    </row>
    <row r="100" spans="1:24" ht="50.1" hidden="1" customHeight="1">
      <c r="A100" s="12" t="s">
        <v>189</v>
      </c>
      <c r="B100" s="37" t="s">
        <v>836</v>
      </c>
      <c r="C100" s="35">
        <v>7506122</v>
      </c>
      <c r="D100" s="35">
        <v>6</v>
      </c>
      <c r="E100" s="61">
        <v>75</v>
      </c>
      <c r="F100" s="35" t="s">
        <v>25</v>
      </c>
      <c r="G100" s="16" t="s">
        <v>77</v>
      </c>
      <c r="H100" s="17" t="s">
        <v>316</v>
      </c>
      <c r="I100" s="35">
        <v>2025</v>
      </c>
      <c r="J100" s="36">
        <v>45789</v>
      </c>
      <c r="K100" s="35" t="s">
        <v>68</v>
      </c>
      <c r="L100" s="35" t="s">
        <v>246</v>
      </c>
      <c r="M100" s="35" t="s">
        <v>515</v>
      </c>
      <c r="N100" s="37" t="s">
        <v>837</v>
      </c>
      <c r="O100" s="16" t="s">
        <v>64</v>
      </c>
      <c r="P100" s="11" t="s">
        <v>158</v>
      </c>
      <c r="Q100" s="37"/>
      <c r="R100" s="37" t="s">
        <v>838</v>
      </c>
      <c r="S100" s="35" t="s">
        <v>289</v>
      </c>
      <c r="T100" s="35" t="s">
        <v>294</v>
      </c>
      <c r="U100" s="36">
        <v>45897</v>
      </c>
      <c r="V100" s="36">
        <v>45928</v>
      </c>
      <c r="W100" s="11">
        <f t="shared" ca="1" si="4"/>
        <v>-157</v>
      </c>
      <c r="X100" s="11" t="str">
        <f t="shared" ca="1" si="5"/>
        <v>Vencido</v>
      </c>
    </row>
    <row r="101" spans="1:24" ht="50.1" hidden="1" customHeight="1">
      <c r="A101" s="12" t="s">
        <v>65</v>
      </c>
      <c r="B101" s="37" t="s">
        <v>839</v>
      </c>
      <c r="C101" s="35">
        <v>10040495</v>
      </c>
      <c r="D101" s="35">
        <v>8</v>
      </c>
      <c r="E101" s="61">
        <v>60</v>
      </c>
      <c r="F101" s="35" t="s">
        <v>25</v>
      </c>
      <c r="G101" s="62" t="s">
        <v>840</v>
      </c>
      <c r="H101" s="17" t="s">
        <v>316</v>
      </c>
      <c r="I101" s="35">
        <v>2025</v>
      </c>
      <c r="J101" s="36">
        <v>45889</v>
      </c>
      <c r="K101" s="35" t="s">
        <v>68</v>
      </c>
      <c r="L101" s="35" t="s">
        <v>246</v>
      </c>
      <c r="M101" s="36">
        <v>46035</v>
      </c>
      <c r="N101" s="37" t="s">
        <v>841</v>
      </c>
      <c r="O101" s="16" t="s">
        <v>2</v>
      </c>
      <c r="P101" s="11" t="s">
        <v>158</v>
      </c>
      <c r="Q101" s="37"/>
      <c r="R101" s="37" t="s">
        <v>842</v>
      </c>
      <c r="S101" s="35" t="s">
        <v>289</v>
      </c>
      <c r="T101" s="35" t="s">
        <v>282</v>
      </c>
      <c r="U101" s="36">
        <v>46041</v>
      </c>
      <c r="V101" s="36">
        <v>46072</v>
      </c>
      <c r="W101" s="11">
        <f t="shared" ca="1" si="4"/>
        <v>-13</v>
      </c>
      <c r="X101" s="11" t="str">
        <f t="shared" ca="1" si="5"/>
        <v>Vencido</v>
      </c>
    </row>
    <row r="102" spans="1:24" ht="50.1" hidden="1" customHeight="1">
      <c r="A102" s="12" t="s">
        <v>65</v>
      </c>
      <c r="B102" s="37" t="s">
        <v>843</v>
      </c>
      <c r="C102" s="35">
        <v>7403496</v>
      </c>
      <c r="D102" s="35">
        <v>9</v>
      </c>
      <c r="E102" s="61">
        <v>71</v>
      </c>
      <c r="F102" s="35" t="s">
        <v>25</v>
      </c>
      <c r="G102" s="62" t="s">
        <v>67</v>
      </c>
      <c r="H102" s="17" t="s">
        <v>316</v>
      </c>
      <c r="I102" s="35" t="s">
        <v>179</v>
      </c>
      <c r="J102" s="35" t="s">
        <v>480</v>
      </c>
      <c r="K102" s="35" t="s">
        <v>68</v>
      </c>
      <c r="L102" s="35" t="s">
        <v>274</v>
      </c>
      <c r="M102" s="36">
        <v>45891</v>
      </c>
      <c r="N102" s="168" t="s">
        <v>301</v>
      </c>
      <c r="O102" s="16" t="s">
        <v>64</v>
      </c>
      <c r="P102" s="35" t="s">
        <v>158</v>
      </c>
      <c r="Q102" s="37"/>
      <c r="R102" s="37" t="s">
        <v>844</v>
      </c>
      <c r="S102" s="35" t="s">
        <v>293</v>
      </c>
      <c r="T102" s="35" t="s">
        <v>282</v>
      </c>
      <c r="U102" s="36">
        <v>45911</v>
      </c>
      <c r="V102" s="36">
        <v>46002</v>
      </c>
      <c r="W102" s="11">
        <f t="shared" ca="1" si="4"/>
        <v>-83</v>
      </c>
      <c r="X102" s="11" t="str">
        <f t="shared" ca="1" si="5"/>
        <v>Vencido</v>
      </c>
    </row>
    <row r="103" spans="1:24" ht="50.1" hidden="1" customHeight="1">
      <c r="A103" s="12" t="s">
        <v>65</v>
      </c>
      <c r="B103" s="37" t="s">
        <v>845</v>
      </c>
      <c r="C103" s="35">
        <v>7639688</v>
      </c>
      <c r="D103" s="35">
        <v>4</v>
      </c>
      <c r="E103" s="61">
        <v>69</v>
      </c>
      <c r="F103" s="35" t="s">
        <v>25</v>
      </c>
      <c r="G103" s="62" t="s">
        <v>86</v>
      </c>
      <c r="H103" s="17" t="s">
        <v>316</v>
      </c>
      <c r="I103" s="35" t="s">
        <v>179</v>
      </c>
      <c r="J103" s="35" t="s">
        <v>480</v>
      </c>
      <c r="K103" s="35" t="s">
        <v>68</v>
      </c>
      <c r="L103" s="35" t="s">
        <v>618</v>
      </c>
      <c r="M103" s="36">
        <v>45843</v>
      </c>
      <c r="N103" s="37" t="s">
        <v>846</v>
      </c>
      <c r="O103" s="96" t="s">
        <v>2</v>
      </c>
      <c r="P103" s="35" t="s">
        <v>158</v>
      </c>
      <c r="Q103" s="37"/>
      <c r="R103" s="37" t="s">
        <v>847</v>
      </c>
      <c r="S103" s="35" t="s">
        <v>289</v>
      </c>
      <c r="T103" s="35" t="s">
        <v>727</v>
      </c>
      <c r="U103" s="36">
        <v>45897</v>
      </c>
      <c r="V103" s="36">
        <v>45928</v>
      </c>
      <c r="W103" s="11">
        <f t="shared" ca="1" si="4"/>
        <v>-157</v>
      </c>
      <c r="X103" s="11" t="str">
        <f t="shared" ca="1" si="5"/>
        <v>Vencido</v>
      </c>
    </row>
    <row r="104" spans="1:24" ht="50.1" hidden="1" customHeight="1">
      <c r="A104" s="12" t="s">
        <v>189</v>
      </c>
      <c r="B104" s="37" t="s">
        <v>848</v>
      </c>
      <c r="C104" s="35">
        <v>8176327</v>
      </c>
      <c r="D104" s="35">
        <v>5</v>
      </c>
      <c r="E104" s="61">
        <v>66</v>
      </c>
      <c r="F104" s="35" t="s">
        <v>25</v>
      </c>
      <c r="G104" s="62" t="s">
        <v>60</v>
      </c>
      <c r="H104" s="17" t="s">
        <v>316</v>
      </c>
      <c r="I104" s="35">
        <v>2025</v>
      </c>
      <c r="J104" s="35" t="s">
        <v>849</v>
      </c>
      <c r="K104" s="35" t="s">
        <v>68</v>
      </c>
      <c r="L104" s="35" t="s">
        <v>850</v>
      </c>
      <c r="M104" s="36">
        <v>45819</v>
      </c>
      <c r="N104" s="37" t="s">
        <v>851</v>
      </c>
      <c r="O104" s="96" t="s">
        <v>2</v>
      </c>
      <c r="P104" s="35" t="s">
        <v>158</v>
      </c>
      <c r="Q104" s="37"/>
      <c r="R104" s="37" t="s">
        <v>852</v>
      </c>
      <c r="S104" s="35" t="s">
        <v>289</v>
      </c>
      <c r="T104" s="35" t="s">
        <v>727</v>
      </c>
      <c r="U104" s="36">
        <v>45897</v>
      </c>
      <c r="V104" s="36">
        <v>45928</v>
      </c>
      <c r="W104" s="11">
        <f t="shared" ca="1" si="4"/>
        <v>-157</v>
      </c>
      <c r="X104" s="11" t="str">
        <f t="shared" ca="1" si="5"/>
        <v>Vencido</v>
      </c>
    </row>
    <row r="105" spans="1:24" ht="50.1" hidden="1" customHeight="1">
      <c r="A105" s="12" t="s">
        <v>65</v>
      </c>
      <c r="B105" s="37" t="s">
        <v>853</v>
      </c>
      <c r="C105" s="35">
        <v>10426434</v>
      </c>
      <c r="D105" s="35">
        <v>4</v>
      </c>
      <c r="E105" s="61">
        <v>59</v>
      </c>
      <c r="F105" s="35" t="s">
        <v>25</v>
      </c>
      <c r="G105" s="62" t="s">
        <v>232</v>
      </c>
      <c r="H105" s="17" t="s">
        <v>316</v>
      </c>
      <c r="I105" s="35" t="s">
        <v>179</v>
      </c>
      <c r="J105" s="35" t="s">
        <v>480</v>
      </c>
      <c r="K105" s="35" t="s">
        <v>27</v>
      </c>
      <c r="L105" s="35" t="s">
        <v>618</v>
      </c>
      <c r="M105" s="36">
        <v>45843</v>
      </c>
      <c r="N105" s="37" t="s">
        <v>846</v>
      </c>
      <c r="O105" s="96" t="s">
        <v>2</v>
      </c>
      <c r="P105" s="35" t="s">
        <v>158</v>
      </c>
      <c r="Q105" s="37"/>
      <c r="R105" s="37" t="s">
        <v>854</v>
      </c>
      <c r="S105" s="35" t="s">
        <v>289</v>
      </c>
      <c r="T105" s="35" t="s">
        <v>727</v>
      </c>
      <c r="U105" s="36">
        <v>45897</v>
      </c>
      <c r="V105" s="36">
        <v>45928</v>
      </c>
      <c r="W105" s="11">
        <f t="shared" ca="1" si="4"/>
        <v>-157</v>
      </c>
      <c r="X105" s="11" t="str">
        <f t="shared" ca="1" si="5"/>
        <v>Vencido</v>
      </c>
    </row>
    <row r="106" spans="1:24" ht="50.1" hidden="1" customHeight="1">
      <c r="A106" s="12" t="s">
        <v>65</v>
      </c>
      <c r="B106" s="37" t="s">
        <v>855</v>
      </c>
      <c r="C106" s="35">
        <v>10348188</v>
      </c>
      <c r="D106" s="35">
        <v>0</v>
      </c>
      <c r="E106" s="61">
        <v>57</v>
      </c>
      <c r="F106" s="35" t="s">
        <v>25</v>
      </c>
      <c r="G106" s="62" t="s">
        <v>856</v>
      </c>
      <c r="H106" s="17" t="s">
        <v>316</v>
      </c>
      <c r="I106" s="35" t="s">
        <v>179</v>
      </c>
      <c r="J106" s="35" t="s">
        <v>480</v>
      </c>
      <c r="K106" s="35" t="s">
        <v>68</v>
      </c>
      <c r="L106" s="35" t="s">
        <v>274</v>
      </c>
      <c r="M106" s="36">
        <v>45980</v>
      </c>
      <c r="N106" s="37" t="s">
        <v>737</v>
      </c>
      <c r="O106" s="96" t="s">
        <v>2</v>
      </c>
      <c r="P106" s="35" t="s">
        <v>158</v>
      </c>
      <c r="Q106" s="37"/>
      <c r="R106" s="37" t="s">
        <v>610</v>
      </c>
      <c r="S106" s="35" t="s">
        <v>293</v>
      </c>
      <c r="T106" s="35" t="s">
        <v>727</v>
      </c>
      <c r="U106" s="36">
        <v>45992</v>
      </c>
      <c r="V106" s="36">
        <v>46082</v>
      </c>
      <c r="W106" s="11">
        <f t="shared" ca="1" si="4"/>
        <v>-3</v>
      </c>
      <c r="X106" s="11" t="str">
        <f t="shared" ca="1" si="5"/>
        <v>Vencido</v>
      </c>
    </row>
    <row r="107" spans="1:24" ht="50.1" hidden="1" customHeight="1">
      <c r="A107" s="12" t="s">
        <v>189</v>
      </c>
      <c r="B107" s="37" t="s">
        <v>857</v>
      </c>
      <c r="C107" s="35">
        <v>6230986</v>
      </c>
      <c r="D107" s="35">
        <v>5</v>
      </c>
      <c r="E107" s="61">
        <v>78</v>
      </c>
      <c r="F107" s="35" t="s">
        <v>475</v>
      </c>
      <c r="G107" s="62" t="s">
        <v>77</v>
      </c>
      <c r="H107" s="17" t="s">
        <v>316</v>
      </c>
      <c r="I107" s="35">
        <v>2025</v>
      </c>
      <c r="J107" s="36">
        <v>45965</v>
      </c>
      <c r="K107" s="35" t="s">
        <v>27</v>
      </c>
      <c r="L107" s="35" t="s">
        <v>174</v>
      </c>
      <c r="M107" s="36">
        <v>45882</v>
      </c>
      <c r="N107" s="37" t="s">
        <v>858</v>
      </c>
      <c r="O107" s="96" t="s">
        <v>2</v>
      </c>
      <c r="P107" s="35" t="s">
        <v>158</v>
      </c>
      <c r="Q107" s="37"/>
      <c r="R107" s="66" t="s">
        <v>859</v>
      </c>
      <c r="S107" s="35" t="s">
        <v>289</v>
      </c>
      <c r="T107" s="35" t="s">
        <v>282</v>
      </c>
      <c r="U107" s="36">
        <v>46993</v>
      </c>
      <c r="V107" s="36">
        <v>45928</v>
      </c>
      <c r="W107" s="11">
        <f t="shared" ca="1" si="4"/>
        <v>-157</v>
      </c>
      <c r="X107" s="11" t="str">
        <f t="shared" ca="1" si="5"/>
        <v>Vencido</v>
      </c>
    </row>
    <row r="108" spans="1:24" ht="50.1" hidden="1" customHeight="1">
      <c r="A108" s="12" t="s">
        <v>189</v>
      </c>
      <c r="B108" s="37" t="s">
        <v>860</v>
      </c>
      <c r="C108" s="35">
        <v>4898927</v>
      </c>
      <c r="D108" s="35">
        <v>6</v>
      </c>
      <c r="E108" s="61">
        <v>78</v>
      </c>
      <c r="F108" s="35" t="s">
        <v>25</v>
      </c>
      <c r="G108" s="62" t="s">
        <v>60</v>
      </c>
      <c r="H108" s="17" t="s">
        <v>316</v>
      </c>
      <c r="I108" s="35">
        <v>2025</v>
      </c>
      <c r="J108" s="36">
        <v>45753</v>
      </c>
      <c r="K108" s="35" t="s">
        <v>68</v>
      </c>
      <c r="L108" s="35" t="s">
        <v>28</v>
      </c>
      <c r="M108" s="36">
        <v>46036</v>
      </c>
      <c r="N108" s="37" t="s">
        <v>317</v>
      </c>
      <c r="O108" s="16" t="s">
        <v>64</v>
      </c>
      <c r="P108" s="35" t="s">
        <v>158</v>
      </c>
      <c r="Q108" s="37"/>
      <c r="R108" s="37" t="s">
        <v>317</v>
      </c>
      <c r="S108" s="35" t="s">
        <v>293</v>
      </c>
      <c r="T108" s="35" t="s">
        <v>294</v>
      </c>
      <c r="U108" s="36">
        <v>46041</v>
      </c>
      <c r="V108" s="36">
        <v>46100</v>
      </c>
      <c r="W108" s="11">
        <f t="shared" ca="1" si="4"/>
        <v>15</v>
      </c>
      <c r="X108" s="11" t="str">
        <f t="shared" ca="1" si="5"/>
        <v>Por Vencer</v>
      </c>
    </row>
    <row r="109" spans="1:24" ht="50.1" hidden="1" customHeight="1">
      <c r="A109" s="12" t="s">
        <v>65</v>
      </c>
      <c r="B109" s="37" t="s">
        <v>861</v>
      </c>
      <c r="C109" s="35">
        <v>6258478</v>
      </c>
      <c r="D109" s="35">
        <v>5</v>
      </c>
      <c r="E109" s="61">
        <v>75</v>
      </c>
      <c r="F109" s="35" t="s">
        <v>25</v>
      </c>
      <c r="G109" s="62" t="s">
        <v>862</v>
      </c>
      <c r="H109" s="17" t="s">
        <v>316</v>
      </c>
      <c r="I109" s="35">
        <v>2025</v>
      </c>
      <c r="J109" s="36">
        <v>45783</v>
      </c>
      <c r="K109" s="35" t="s">
        <v>68</v>
      </c>
      <c r="L109" s="36" t="s">
        <v>246</v>
      </c>
      <c r="M109" s="36">
        <v>46036</v>
      </c>
      <c r="N109" s="37" t="s">
        <v>863</v>
      </c>
      <c r="O109" s="96" t="s">
        <v>2</v>
      </c>
      <c r="P109" s="35" t="s">
        <v>158</v>
      </c>
      <c r="Q109" s="37"/>
      <c r="R109" s="37" t="s">
        <v>864</v>
      </c>
      <c r="S109" s="35" t="s">
        <v>281</v>
      </c>
      <c r="T109" s="35" t="s">
        <v>282</v>
      </c>
      <c r="U109" s="36">
        <v>46041</v>
      </c>
      <c r="V109" s="36">
        <v>46100</v>
      </c>
      <c r="W109" s="11">
        <f t="shared" ca="1" si="4"/>
        <v>15</v>
      </c>
      <c r="X109" s="11" t="str">
        <f t="shared" ca="1" si="5"/>
        <v>Por Vencer</v>
      </c>
    </row>
    <row r="110" spans="1:24" ht="50.1" hidden="1" customHeight="1">
      <c r="A110" s="12" t="s">
        <v>189</v>
      </c>
      <c r="B110" s="37" t="s">
        <v>865</v>
      </c>
      <c r="C110" s="35">
        <v>4749552</v>
      </c>
      <c r="D110" s="35">
        <v>0</v>
      </c>
      <c r="E110" s="61">
        <v>83</v>
      </c>
      <c r="F110" s="35" t="s">
        <v>25</v>
      </c>
      <c r="G110" s="62" t="s">
        <v>60</v>
      </c>
      <c r="H110" s="17" t="s">
        <v>316</v>
      </c>
      <c r="I110" s="35">
        <v>2025</v>
      </c>
      <c r="J110" s="36">
        <v>45796</v>
      </c>
      <c r="K110" s="35" t="s">
        <v>68</v>
      </c>
      <c r="L110" s="35" t="s">
        <v>274</v>
      </c>
      <c r="M110" s="36">
        <v>45840</v>
      </c>
      <c r="N110" s="37" t="s">
        <v>367</v>
      </c>
      <c r="O110" s="16" t="s">
        <v>64</v>
      </c>
      <c r="P110" s="35" t="s">
        <v>158</v>
      </c>
      <c r="Q110" s="37"/>
      <c r="R110" s="37" t="s">
        <v>317</v>
      </c>
      <c r="S110" s="35" t="s">
        <v>293</v>
      </c>
      <c r="T110" s="35" t="s">
        <v>282</v>
      </c>
      <c r="U110" s="36">
        <v>45842</v>
      </c>
      <c r="V110" s="36">
        <v>45934</v>
      </c>
      <c r="W110" s="11">
        <f t="shared" ca="1" si="4"/>
        <v>-151</v>
      </c>
      <c r="X110" s="11" t="str">
        <f t="shared" ca="1" si="5"/>
        <v>Vencido</v>
      </c>
    </row>
    <row r="111" spans="1:24" ht="50.1" hidden="1" customHeight="1">
      <c r="A111" s="12" t="s">
        <v>65</v>
      </c>
      <c r="B111" s="37" t="s">
        <v>866</v>
      </c>
      <c r="C111" s="35">
        <v>6556411</v>
      </c>
      <c r="D111" s="35">
        <v>4</v>
      </c>
      <c r="E111" s="61">
        <v>71</v>
      </c>
      <c r="F111" s="35" t="s">
        <v>25</v>
      </c>
      <c r="G111" s="62" t="s">
        <v>202</v>
      </c>
      <c r="H111" s="17" t="s">
        <v>316</v>
      </c>
      <c r="I111" s="35" t="s">
        <v>179</v>
      </c>
      <c r="J111" s="35" t="s">
        <v>480</v>
      </c>
      <c r="K111" s="35" t="s">
        <v>68</v>
      </c>
      <c r="L111" s="35" t="s">
        <v>162</v>
      </c>
      <c r="M111" s="36">
        <v>45924</v>
      </c>
      <c r="N111" s="37" t="s">
        <v>317</v>
      </c>
      <c r="O111" s="169" t="s">
        <v>64</v>
      </c>
      <c r="P111" s="35" t="s">
        <v>158</v>
      </c>
      <c r="Q111" s="37"/>
      <c r="R111" s="37" t="s">
        <v>317</v>
      </c>
      <c r="S111" s="35" t="s">
        <v>293</v>
      </c>
      <c r="T111" s="35" t="s">
        <v>282</v>
      </c>
      <c r="U111" s="36">
        <v>45925</v>
      </c>
      <c r="V111" s="36">
        <v>46016</v>
      </c>
      <c r="W111" s="11">
        <f t="shared" ca="1" si="4"/>
        <v>-69</v>
      </c>
      <c r="X111" s="11" t="str">
        <f t="shared" ca="1" si="5"/>
        <v>Vencido</v>
      </c>
    </row>
    <row r="112" spans="1:24" ht="50.1" hidden="1" customHeight="1">
      <c r="A112" s="12" t="s">
        <v>189</v>
      </c>
      <c r="B112" s="37" t="s">
        <v>867</v>
      </c>
      <c r="C112" s="35">
        <v>7347408</v>
      </c>
      <c r="D112" s="35">
        <v>6</v>
      </c>
      <c r="E112" s="61">
        <v>71</v>
      </c>
      <c r="F112" s="35" t="s">
        <v>33</v>
      </c>
      <c r="G112" s="62" t="s">
        <v>77</v>
      </c>
      <c r="H112" s="17" t="s">
        <v>316</v>
      </c>
      <c r="I112" s="35">
        <v>2025</v>
      </c>
      <c r="J112" s="36">
        <v>45770</v>
      </c>
      <c r="K112" s="35" t="s">
        <v>68</v>
      </c>
      <c r="L112" s="35" t="s">
        <v>174</v>
      </c>
      <c r="M112" s="36">
        <v>45819</v>
      </c>
      <c r="N112" s="37" t="s">
        <v>868</v>
      </c>
      <c r="O112" s="96" t="s">
        <v>2</v>
      </c>
      <c r="P112" s="35" t="s">
        <v>158</v>
      </c>
      <c r="Q112" s="37"/>
      <c r="R112" s="37" t="s">
        <v>548</v>
      </c>
      <c r="S112" s="35" t="s">
        <v>289</v>
      </c>
      <c r="T112" s="35" t="s">
        <v>294</v>
      </c>
      <c r="U112" s="36">
        <v>45897</v>
      </c>
      <c r="V112" s="36">
        <v>45928</v>
      </c>
      <c r="W112" s="11">
        <f t="shared" ca="1" si="4"/>
        <v>-157</v>
      </c>
      <c r="X112" s="11" t="str">
        <f t="shared" ca="1" si="5"/>
        <v>Vencido</v>
      </c>
    </row>
    <row r="113" spans="1:24" ht="50.1" hidden="1" customHeight="1">
      <c r="A113" s="12" t="s">
        <v>65</v>
      </c>
      <c r="B113" s="37" t="s">
        <v>869</v>
      </c>
      <c r="C113" s="35">
        <v>5096439</v>
      </c>
      <c r="D113" s="35">
        <v>6</v>
      </c>
      <c r="E113" s="61">
        <v>81</v>
      </c>
      <c r="F113" s="35" t="s">
        <v>25</v>
      </c>
      <c r="G113" s="62" t="s">
        <v>870</v>
      </c>
      <c r="H113" s="17" t="s">
        <v>316</v>
      </c>
      <c r="I113" s="35" t="s">
        <v>179</v>
      </c>
      <c r="J113" s="35" t="s">
        <v>480</v>
      </c>
      <c r="K113" s="35" t="s">
        <v>172</v>
      </c>
      <c r="L113" s="35" t="s">
        <v>871</v>
      </c>
      <c r="M113" s="36">
        <v>45910</v>
      </c>
      <c r="N113" s="37" t="s">
        <v>872</v>
      </c>
      <c r="O113" s="16" t="s">
        <v>64</v>
      </c>
      <c r="P113" s="35" t="s">
        <v>158</v>
      </c>
      <c r="Q113" s="37"/>
      <c r="R113" s="37" t="s">
        <v>873</v>
      </c>
      <c r="S113" s="35" t="s">
        <v>289</v>
      </c>
      <c r="T113" s="35" t="s">
        <v>282</v>
      </c>
      <c r="U113" s="36">
        <v>45911</v>
      </c>
      <c r="V113" s="36">
        <v>45941</v>
      </c>
      <c r="W113" s="11">
        <f t="shared" ca="1" si="4"/>
        <v>-144</v>
      </c>
      <c r="X113" s="11" t="str">
        <f t="shared" ca="1" si="5"/>
        <v>Vencido</v>
      </c>
    </row>
    <row r="114" spans="1:24" ht="50.1" hidden="1" customHeight="1">
      <c r="A114" s="12" t="s">
        <v>189</v>
      </c>
      <c r="B114" s="37" t="s">
        <v>874</v>
      </c>
      <c r="C114" s="35">
        <v>7909049</v>
      </c>
      <c r="D114" s="35">
        <v>2</v>
      </c>
      <c r="E114" s="61">
        <v>79</v>
      </c>
      <c r="F114" s="35" t="s">
        <v>475</v>
      </c>
      <c r="G114" s="62" t="s">
        <v>875</v>
      </c>
      <c r="H114" s="17" t="s">
        <v>316</v>
      </c>
      <c r="I114" s="35">
        <v>2025</v>
      </c>
      <c r="J114" s="36">
        <v>45847</v>
      </c>
      <c r="K114" s="35" t="s">
        <v>172</v>
      </c>
      <c r="L114" s="178" t="s">
        <v>162</v>
      </c>
      <c r="M114" s="36">
        <v>45868</v>
      </c>
      <c r="N114" s="173" t="s">
        <v>876</v>
      </c>
      <c r="O114" s="16" t="s">
        <v>64</v>
      </c>
      <c r="P114" s="35"/>
      <c r="Q114" s="37"/>
      <c r="R114" s="173" t="s">
        <v>388</v>
      </c>
      <c r="S114" s="178" t="s">
        <v>293</v>
      </c>
      <c r="T114" s="178" t="s">
        <v>282</v>
      </c>
      <c r="U114" s="36">
        <v>45869</v>
      </c>
      <c r="V114" s="36">
        <v>45960</v>
      </c>
      <c r="W114" s="11">
        <f t="shared" ca="1" si="4"/>
        <v>-125</v>
      </c>
      <c r="X114" s="11" t="str">
        <f t="shared" ca="1" si="5"/>
        <v>Vencido</v>
      </c>
    </row>
    <row r="115" spans="1:24" ht="50.1" hidden="1" customHeight="1">
      <c r="A115" s="12" t="s">
        <v>189</v>
      </c>
      <c r="B115" s="37" t="s">
        <v>877</v>
      </c>
      <c r="C115" s="35">
        <v>9443815</v>
      </c>
      <c r="D115" s="35">
        <v>2</v>
      </c>
      <c r="E115" s="61">
        <v>62</v>
      </c>
      <c r="F115" s="35" t="s">
        <v>33</v>
      </c>
      <c r="G115" s="62" t="s">
        <v>60</v>
      </c>
      <c r="H115" s="17" t="s">
        <v>316</v>
      </c>
      <c r="I115" s="35">
        <v>2025</v>
      </c>
      <c r="J115" s="36">
        <v>45792</v>
      </c>
      <c r="K115" s="35" t="s">
        <v>68</v>
      </c>
      <c r="L115" s="35" t="s">
        <v>274</v>
      </c>
      <c r="M115" s="36">
        <v>45889</v>
      </c>
      <c r="N115" s="37" t="s">
        <v>878</v>
      </c>
      <c r="O115" s="16" t="s">
        <v>64</v>
      </c>
      <c r="P115" s="35" t="s">
        <v>158</v>
      </c>
      <c r="Q115" s="37"/>
      <c r="R115" s="37" t="s">
        <v>879</v>
      </c>
      <c r="S115" s="35" t="s">
        <v>289</v>
      </c>
      <c r="T115" s="35" t="s">
        <v>327</v>
      </c>
      <c r="U115" s="36">
        <v>45889</v>
      </c>
      <c r="V115" s="36">
        <v>45920</v>
      </c>
      <c r="W115" s="11">
        <f t="shared" ca="1" si="4"/>
        <v>-165</v>
      </c>
      <c r="X115" s="11" t="str">
        <f t="shared" ca="1" si="5"/>
        <v>Vencido</v>
      </c>
    </row>
    <row r="116" spans="1:24" ht="50.1" hidden="1" customHeight="1">
      <c r="A116" s="12" t="s">
        <v>189</v>
      </c>
      <c r="B116" s="37" t="s">
        <v>880</v>
      </c>
      <c r="C116" s="35">
        <v>3390593</v>
      </c>
      <c r="D116" s="35">
        <v>9</v>
      </c>
      <c r="E116" s="61">
        <v>93</v>
      </c>
      <c r="F116" s="35" t="s">
        <v>25</v>
      </c>
      <c r="G116" s="168" t="s">
        <v>881</v>
      </c>
      <c r="H116" s="17" t="s">
        <v>316</v>
      </c>
      <c r="I116" s="35" t="s">
        <v>179</v>
      </c>
      <c r="J116" s="35" t="s">
        <v>480</v>
      </c>
      <c r="K116" s="35" t="s">
        <v>172</v>
      </c>
      <c r="L116" s="35" t="s">
        <v>331</v>
      </c>
      <c r="M116" s="35"/>
      <c r="N116" s="37"/>
      <c r="O116" s="16" t="s">
        <v>64</v>
      </c>
      <c r="P116" s="35"/>
      <c r="Q116" s="37"/>
      <c r="R116" s="37" t="s">
        <v>882</v>
      </c>
      <c r="S116" s="35" t="s">
        <v>289</v>
      </c>
      <c r="T116" s="35" t="s">
        <v>327</v>
      </c>
      <c r="U116" s="36">
        <v>45867</v>
      </c>
      <c r="V116" s="67">
        <v>45898</v>
      </c>
      <c r="W116" s="11">
        <f t="shared" ca="1" si="4"/>
        <v>-187</v>
      </c>
      <c r="X116" s="11" t="str">
        <f t="shared" ca="1" si="5"/>
        <v>Vencido</v>
      </c>
    </row>
    <row r="117" spans="1:24" ht="50.1" hidden="1" customHeight="1">
      <c r="A117" s="12" t="s">
        <v>65</v>
      </c>
      <c r="B117" s="173" t="s">
        <v>883</v>
      </c>
      <c r="C117" s="35">
        <v>10161866</v>
      </c>
      <c r="D117" s="35">
        <v>8</v>
      </c>
      <c r="E117" s="61">
        <v>58</v>
      </c>
      <c r="F117" s="35" t="s">
        <v>25</v>
      </c>
      <c r="G117" s="179" t="s">
        <v>884</v>
      </c>
      <c r="H117" s="17" t="s">
        <v>316</v>
      </c>
      <c r="I117" s="35" t="s">
        <v>179</v>
      </c>
      <c r="J117" s="35" t="s">
        <v>480</v>
      </c>
      <c r="K117" s="178" t="s">
        <v>68</v>
      </c>
      <c r="L117" s="178" t="s">
        <v>267</v>
      </c>
      <c r="M117" s="35"/>
      <c r="N117" s="37"/>
      <c r="O117" s="16" t="s">
        <v>64</v>
      </c>
      <c r="P117" s="35"/>
      <c r="Q117" s="37"/>
      <c r="R117" s="173" t="s">
        <v>885</v>
      </c>
      <c r="S117" s="178" t="s">
        <v>289</v>
      </c>
      <c r="T117" s="178" t="s">
        <v>530</v>
      </c>
      <c r="U117" s="36">
        <v>45869</v>
      </c>
      <c r="V117" s="36">
        <v>45900</v>
      </c>
      <c r="W117" s="11">
        <f t="shared" ca="1" si="4"/>
        <v>-185</v>
      </c>
      <c r="X117" s="11" t="str">
        <f t="shared" ca="1" si="5"/>
        <v>Vencido</v>
      </c>
    </row>
    <row r="118" spans="1:24" ht="50.1" hidden="1" customHeight="1">
      <c r="A118" s="12" t="s">
        <v>65</v>
      </c>
      <c r="B118" s="37" t="s">
        <v>886</v>
      </c>
      <c r="C118" s="35">
        <v>15947125</v>
      </c>
      <c r="D118" s="35" t="s">
        <v>93</v>
      </c>
      <c r="E118" s="61">
        <v>40</v>
      </c>
      <c r="F118" s="35" t="s">
        <v>25</v>
      </c>
      <c r="G118" s="168" t="s">
        <v>887</v>
      </c>
      <c r="H118" s="17" t="s">
        <v>316</v>
      </c>
      <c r="I118" s="35">
        <v>2025</v>
      </c>
      <c r="J118" s="36">
        <v>45873</v>
      </c>
      <c r="K118" s="35" t="s">
        <v>172</v>
      </c>
      <c r="L118" s="35" t="s">
        <v>246</v>
      </c>
      <c r="M118" s="36">
        <v>45882</v>
      </c>
      <c r="N118" s="37" t="s">
        <v>888</v>
      </c>
      <c r="O118" s="96" t="s">
        <v>2</v>
      </c>
      <c r="P118" s="35"/>
      <c r="Q118" s="37"/>
      <c r="R118" s="37" t="s">
        <v>889</v>
      </c>
      <c r="S118" s="35" t="s">
        <v>289</v>
      </c>
      <c r="T118" s="35" t="s">
        <v>294</v>
      </c>
      <c r="U118" s="36">
        <v>45897</v>
      </c>
      <c r="V118" s="36">
        <v>45928</v>
      </c>
      <c r="W118" s="11">
        <f t="shared" ca="1" si="4"/>
        <v>-157</v>
      </c>
      <c r="X118" s="11" t="str">
        <f t="shared" ca="1" si="5"/>
        <v>Vencido</v>
      </c>
    </row>
    <row r="119" spans="1:24" ht="50.1" hidden="1" customHeight="1">
      <c r="A119" s="12" t="s">
        <v>189</v>
      </c>
      <c r="B119" s="37" t="s">
        <v>890</v>
      </c>
      <c r="C119" s="35">
        <v>9052789</v>
      </c>
      <c r="D119" s="35">
        <v>4</v>
      </c>
      <c r="E119" s="61">
        <v>64</v>
      </c>
      <c r="F119" s="35" t="s">
        <v>25</v>
      </c>
      <c r="G119" s="62" t="s">
        <v>77</v>
      </c>
      <c r="H119" s="17" t="s">
        <v>316</v>
      </c>
      <c r="I119" s="35">
        <v>2025</v>
      </c>
      <c r="J119" s="36">
        <v>45850</v>
      </c>
      <c r="K119" s="35" t="s">
        <v>68</v>
      </c>
      <c r="L119" s="35" t="s">
        <v>246</v>
      </c>
      <c r="M119" s="36">
        <v>45889</v>
      </c>
      <c r="N119" s="37" t="s">
        <v>891</v>
      </c>
      <c r="O119" s="96" t="s">
        <v>2</v>
      </c>
      <c r="P119" s="35"/>
      <c r="Q119" s="37"/>
      <c r="R119" s="37" t="s">
        <v>892</v>
      </c>
      <c r="S119" s="35" t="s">
        <v>289</v>
      </c>
      <c r="T119" s="35" t="s">
        <v>282</v>
      </c>
      <c r="U119" s="36">
        <v>45895</v>
      </c>
      <c r="V119" s="36">
        <v>45926</v>
      </c>
      <c r="W119" s="11">
        <f t="shared" ca="1" si="4"/>
        <v>-159</v>
      </c>
      <c r="X119" s="11" t="str">
        <f t="shared" ca="1" si="5"/>
        <v>Vencido</v>
      </c>
    </row>
    <row r="120" spans="1:24" ht="50.1" hidden="1" customHeight="1">
      <c r="A120" s="12" t="s">
        <v>189</v>
      </c>
      <c r="B120" s="37" t="s">
        <v>893</v>
      </c>
      <c r="C120" s="35">
        <v>7806084</v>
      </c>
      <c r="D120" s="35">
        <v>0</v>
      </c>
      <c r="E120" s="61">
        <v>69</v>
      </c>
      <c r="F120" s="35" t="s">
        <v>25</v>
      </c>
      <c r="G120" s="62" t="s">
        <v>60</v>
      </c>
      <c r="H120" s="17" t="s">
        <v>316</v>
      </c>
      <c r="I120" s="35">
        <v>2025</v>
      </c>
      <c r="J120" s="36">
        <v>45874</v>
      </c>
      <c r="K120" s="35" t="s">
        <v>68</v>
      </c>
      <c r="L120" s="35" t="s">
        <v>246</v>
      </c>
      <c r="M120" s="36">
        <v>46036</v>
      </c>
      <c r="N120" s="37" t="s">
        <v>894</v>
      </c>
      <c r="O120" s="16" t="s">
        <v>46</v>
      </c>
      <c r="P120" s="35" t="s">
        <v>158</v>
      </c>
      <c r="Q120" s="37"/>
      <c r="R120" s="37" t="s">
        <v>895</v>
      </c>
      <c r="S120" s="35" t="s">
        <v>281</v>
      </c>
      <c r="T120" s="35" t="s">
        <v>282</v>
      </c>
      <c r="U120" s="36">
        <v>46041</v>
      </c>
      <c r="V120" s="36">
        <v>46100</v>
      </c>
      <c r="W120" s="11">
        <f t="shared" ca="1" si="4"/>
        <v>15</v>
      </c>
      <c r="X120" s="11" t="str">
        <f t="shared" ca="1" si="5"/>
        <v>Por Vencer</v>
      </c>
    </row>
    <row r="121" spans="1:24" ht="50.1" hidden="1" customHeight="1">
      <c r="A121" s="12" t="s">
        <v>65</v>
      </c>
      <c r="B121" s="37" t="s">
        <v>896</v>
      </c>
      <c r="C121" s="35">
        <v>8182663</v>
      </c>
      <c r="D121" s="35">
        <v>3</v>
      </c>
      <c r="E121" s="61">
        <v>68</v>
      </c>
      <c r="F121" s="35" t="s">
        <v>25</v>
      </c>
      <c r="G121" s="168" t="s">
        <v>897</v>
      </c>
      <c r="H121" s="17" t="s">
        <v>316</v>
      </c>
      <c r="I121" s="35">
        <v>2025</v>
      </c>
      <c r="J121" s="36">
        <v>45862</v>
      </c>
      <c r="K121" s="35" t="s">
        <v>68</v>
      </c>
      <c r="L121" s="35" t="s">
        <v>267</v>
      </c>
      <c r="M121" s="36">
        <v>45980</v>
      </c>
      <c r="N121" s="37" t="s">
        <v>898</v>
      </c>
      <c r="O121" s="16" t="s">
        <v>64</v>
      </c>
      <c r="P121" s="35" t="s">
        <v>158</v>
      </c>
      <c r="Q121" s="37"/>
      <c r="R121" s="37" t="s">
        <v>899</v>
      </c>
      <c r="S121" s="35" t="s">
        <v>289</v>
      </c>
      <c r="T121" s="35" t="s">
        <v>553</v>
      </c>
      <c r="U121" s="36">
        <v>45986</v>
      </c>
      <c r="V121" s="36">
        <v>46016</v>
      </c>
      <c r="W121" s="11">
        <f t="shared" ca="1" si="4"/>
        <v>-69</v>
      </c>
      <c r="X121" s="11" t="str">
        <f t="shared" ca="1" si="5"/>
        <v>Vencido</v>
      </c>
    </row>
    <row r="122" spans="1:24" ht="50.1" hidden="1" customHeight="1">
      <c r="A122" s="12" t="s">
        <v>65</v>
      </c>
      <c r="B122" s="37" t="s">
        <v>900</v>
      </c>
      <c r="C122" s="35">
        <v>12131997</v>
      </c>
      <c r="D122" s="35">
        <v>7</v>
      </c>
      <c r="E122" s="61">
        <v>83</v>
      </c>
      <c r="F122" s="35" t="s">
        <v>70</v>
      </c>
      <c r="G122" s="62" t="s">
        <v>232</v>
      </c>
      <c r="H122" s="17" t="s">
        <v>316</v>
      </c>
      <c r="I122" s="35" t="s">
        <v>179</v>
      </c>
      <c r="J122" s="35" t="s">
        <v>480</v>
      </c>
      <c r="K122" s="35" t="s">
        <v>68</v>
      </c>
      <c r="L122" s="35" t="s">
        <v>174</v>
      </c>
      <c r="M122" s="36">
        <v>45909</v>
      </c>
      <c r="N122" s="37" t="s">
        <v>901</v>
      </c>
      <c r="O122" s="16" t="s">
        <v>6</v>
      </c>
      <c r="P122" s="35" t="s">
        <v>158</v>
      </c>
      <c r="Q122" s="37"/>
      <c r="R122" s="37" t="s">
        <v>902</v>
      </c>
      <c r="S122" s="35" t="s">
        <v>289</v>
      </c>
      <c r="T122" s="35" t="s">
        <v>282</v>
      </c>
      <c r="U122" s="36">
        <v>45911</v>
      </c>
      <c r="V122" s="36">
        <v>45941</v>
      </c>
      <c r="W122" s="11">
        <f t="shared" ca="1" si="4"/>
        <v>-144</v>
      </c>
      <c r="X122" s="11" t="str">
        <f t="shared" ca="1" si="5"/>
        <v>Vencido</v>
      </c>
    </row>
    <row r="123" spans="1:24" ht="50.1" hidden="1" customHeight="1">
      <c r="A123" s="12" t="s">
        <v>189</v>
      </c>
      <c r="B123" s="37" t="s">
        <v>903</v>
      </c>
      <c r="C123" s="35">
        <v>9649908</v>
      </c>
      <c r="D123" s="35">
        <v>6</v>
      </c>
      <c r="E123" s="61">
        <v>59</v>
      </c>
      <c r="F123" s="35" t="s">
        <v>33</v>
      </c>
      <c r="G123" s="62" t="s">
        <v>77</v>
      </c>
      <c r="H123" s="17" t="s">
        <v>316</v>
      </c>
      <c r="I123" s="35">
        <v>2025</v>
      </c>
      <c r="J123" s="36">
        <v>45890</v>
      </c>
      <c r="K123" s="35" t="s">
        <v>172</v>
      </c>
      <c r="L123" s="35" t="s">
        <v>149</v>
      </c>
      <c r="M123" s="35"/>
      <c r="N123" s="37"/>
      <c r="O123" s="16" t="s">
        <v>64</v>
      </c>
      <c r="P123" s="35"/>
      <c r="Q123" s="37"/>
      <c r="R123" s="37" t="s">
        <v>904</v>
      </c>
      <c r="S123" s="35" t="s">
        <v>289</v>
      </c>
      <c r="T123" s="35" t="s">
        <v>327</v>
      </c>
      <c r="U123" s="36">
        <v>45922</v>
      </c>
      <c r="V123" s="36">
        <v>45952</v>
      </c>
      <c r="W123" s="11">
        <f t="shared" ca="1" si="4"/>
        <v>-133</v>
      </c>
      <c r="X123" s="11" t="str">
        <f t="shared" ca="1" si="5"/>
        <v>Vencido</v>
      </c>
    </row>
    <row r="124" spans="1:24" ht="50.1" hidden="1" customHeight="1">
      <c r="A124" s="12" t="s">
        <v>65</v>
      </c>
      <c r="B124" s="37" t="s">
        <v>905</v>
      </c>
      <c r="C124" s="35">
        <v>13329971</v>
      </c>
      <c r="D124" s="35">
        <v>8</v>
      </c>
      <c r="E124" s="61">
        <v>47</v>
      </c>
      <c r="F124" s="35" t="s">
        <v>33</v>
      </c>
      <c r="G124" s="35" t="s">
        <v>906</v>
      </c>
      <c r="H124" s="17" t="s">
        <v>316</v>
      </c>
      <c r="I124" s="35">
        <v>2025</v>
      </c>
      <c r="J124" s="36">
        <v>45896</v>
      </c>
      <c r="K124" s="35" t="s">
        <v>172</v>
      </c>
      <c r="L124" s="35" t="s">
        <v>162</v>
      </c>
      <c r="M124" s="36">
        <v>45966</v>
      </c>
      <c r="N124" s="37" t="s">
        <v>707</v>
      </c>
      <c r="O124" s="16" t="s">
        <v>64</v>
      </c>
      <c r="P124" s="35"/>
      <c r="Q124" s="37"/>
      <c r="R124" s="37" t="s">
        <v>907</v>
      </c>
      <c r="S124" s="35" t="s">
        <v>293</v>
      </c>
      <c r="T124" s="35" t="s">
        <v>553</v>
      </c>
      <c r="U124" s="36">
        <v>45967</v>
      </c>
      <c r="V124" s="36">
        <v>46059</v>
      </c>
      <c r="W124" s="11">
        <f t="shared" ca="1" si="4"/>
        <v>-26</v>
      </c>
      <c r="X124" s="11" t="str">
        <f t="shared" ca="1" si="5"/>
        <v>Vencido</v>
      </c>
    </row>
    <row r="125" spans="1:24" ht="50.1" hidden="1" customHeight="1">
      <c r="A125" s="12" t="s">
        <v>65</v>
      </c>
      <c r="B125" s="37" t="s">
        <v>908</v>
      </c>
      <c r="C125" s="35">
        <v>4728455</v>
      </c>
      <c r="D125" s="35">
        <v>4</v>
      </c>
      <c r="E125" s="61">
        <v>84</v>
      </c>
      <c r="F125" s="35" t="s">
        <v>25</v>
      </c>
      <c r="G125" s="168" t="s">
        <v>198</v>
      </c>
      <c r="H125" s="17" t="s">
        <v>316</v>
      </c>
      <c r="I125" s="35" t="s">
        <v>179</v>
      </c>
      <c r="J125" s="35" t="s">
        <v>480</v>
      </c>
      <c r="K125" s="35" t="s">
        <v>68</v>
      </c>
      <c r="L125" s="35" t="s">
        <v>174</v>
      </c>
      <c r="M125" s="36">
        <v>45903</v>
      </c>
      <c r="N125" s="37" t="s">
        <v>909</v>
      </c>
      <c r="O125" s="96" t="s">
        <v>2</v>
      </c>
      <c r="P125" s="35" t="s">
        <v>158</v>
      </c>
      <c r="Q125" s="37"/>
      <c r="R125" s="37" t="s">
        <v>910</v>
      </c>
      <c r="S125" s="35" t="s">
        <v>289</v>
      </c>
      <c r="T125" s="35" t="s">
        <v>282</v>
      </c>
      <c r="U125" s="36">
        <v>45909</v>
      </c>
      <c r="V125" s="36">
        <v>45939</v>
      </c>
      <c r="W125" s="11">
        <f t="shared" ca="1" si="4"/>
        <v>-146</v>
      </c>
      <c r="X125" s="11" t="str">
        <f t="shared" ca="1" si="5"/>
        <v>Vencido</v>
      </c>
    </row>
    <row r="126" spans="1:24" ht="50.1" hidden="1" customHeight="1">
      <c r="A126" s="12" t="s">
        <v>65</v>
      </c>
      <c r="B126" s="173" t="s">
        <v>911</v>
      </c>
      <c r="C126" s="35">
        <v>13179149</v>
      </c>
      <c r="D126" s="35">
        <v>6</v>
      </c>
      <c r="E126" s="61">
        <v>47</v>
      </c>
      <c r="F126" s="35" t="s">
        <v>25</v>
      </c>
      <c r="G126" s="179" t="s">
        <v>912</v>
      </c>
      <c r="H126" s="17" t="s">
        <v>316</v>
      </c>
      <c r="I126" s="36">
        <v>2025</v>
      </c>
      <c r="J126" s="36">
        <v>45902</v>
      </c>
      <c r="K126" s="178" t="s">
        <v>172</v>
      </c>
      <c r="L126" s="178" t="s">
        <v>274</v>
      </c>
      <c r="M126" s="36">
        <v>45987</v>
      </c>
      <c r="N126" s="37" t="s">
        <v>913</v>
      </c>
      <c r="O126" s="16" t="s">
        <v>64</v>
      </c>
      <c r="P126" s="35" t="s">
        <v>158</v>
      </c>
      <c r="Q126" s="37"/>
      <c r="R126" s="173" t="s">
        <v>914</v>
      </c>
      <c r="S126" s="178" t="s">
        <v>293</v>
      </c>
      <c r="T126" s="178" t="s">
        <v>327</v>
      </c>
      <c r="U126" s="36">
        <v>45988</v>
      </c>
      <c r="V126" s="36">
        <v>46080</v>
      </c>
      <c r="W126" s="11">
        <f t="shared" ca="1" si="4"/>
        <v>-5</v>
      </c>
      <c r="X126" s="11" t="str">
        <f t="shared" ca="1" si="5"/>
        <v>Vencido</v>
      </c>
    </row>
    <row r="127" spans="1:24" ht="50.1" hidden="1" customHeight="1">
      <c r="A127" s="12" t="s">
        <v>65</v>
      </c>
      <c r="B127" s="37" t="s">
        <v>915</v>
      </c>
      <c r="C127" s="35">
        <v>4970430</v>
      </c>
      <c r="D127" s="35">
        <v>5</v>
      </c>
      <c r="E127" s="61">
        <v>82</v>
      </c>
      <c r="F127" s="35" t="s">
        <v>25</v>
      </c>
      <c r="G127" s="35" t="s">
        <v>67</v>
      </c>
      <c r="H127" s="17" t="s">
        <v>316</v>
      </c>
      <c r="I127" s="35">
        <v>2025</v>
      </c>
      <c r="J127" s="36">
        <v>45897</v>
      </c>
      <c r="K127" s="35" t="s">
        <v>172</v>
      </c>
      <c r="L127" s="178" t="s">
        <v>174</v>
      </c>
      <c r="M127" s="36">
        <v>45952</v>
      </c>
      <c r="N127" s="37" t="s">
        <v>916</v>
      </c>
      <c r="O127" s="16" t="s">
        <v>64</v>
      </c>
      <c r="P127" s="20" t="s">
        <v>158</v>
      </c>
      <c r="Q127" s="37"/>
      <c r="R127" s="37" t="s">
        <v>917</v>
      </c>
      <c r="S127" s="35" t="s">
        <v>289</v>
      </c>
      <c r="T127" s="35" t="s">
        <v>530</v>
      </c>
      <c r="U127" s="36">
        <v>45968</v>
      </c>
      <c r="V127" s="36">
        <v>45998</v>
      </c>
      <c r="W127" s="11">
        <f t="shared" ca="1" si="4"/>
        <v>-87</v>
      </c>
      <c r="X127" s="11" t="str">
        <f t="shared" ca="1" si="5"/>
        <v>Vencido</v>
      </c>
    </row>
    <row r="128" spans="1:24" ht="55.5" hidden="1" customHeight="1">
      <c r="A128" s="12" t="s">
        <v>65</v>
      </c>
      <c r="B128" s="37" t="s">
        <v>918</v>
      </c>
      <c r="C128" s="35">
        <v>12350640</v>
      </c>
      <c r="D128" s="35">
        <v>5</v>
      </c>
      <c r="E128" s="61">
        <v>51</v>
      </c>
      <c r="F128" s="35" t="s">
        <v>25</v>
      </c>
      <c r="G128" s="35" t="s">
        <v>919</v>
      </c>
      <c r="H128" s="17" t="s">
        <v>316</v>
      </c>
      <c r="I128" s="35" t="s">
        <v>179</v>
      </c>
      <c r="J128" s="35" t="s">
        <v>480</v>
      </c>
      <c r="K128" s="35" t="s">
        <v>172</v>
      </c>
      <c r="L128" s="35" t="s">
        <v>174</v>
      </c>
      <c r="M128" s="36" t="s">
        <v>920</v>
      </c>
      <c r="N128" s="37" t="s">
        <v>921</v>
      </c>
      <c r="O128" s="96" t="s">
        <v>2</v>
      </c>
      <c r="P128" s="35" t="s">
        <v>158</v>
      </c>
      <c r="Q128" s="37"/>
      <c r="R128" s="37" t="s">
        <v>922</v>
      </c>
      <c r="S128" s="35" t="s">
        <v>281</v>
      </c>
      <c r="T128" s="35" t="s">
        <v>294</v>
      </c>
      <c r="U128" s="36">
        <v>46024</v>
      </c>
      <c r="V128" s="36">
        <v>46083</v>
      </c>
      <c r="W128" s="11">
        <f t="shared" ca="1" si="4"/>
        <v>-2</v>
      </c>
      <c r="X128" s="11" t="str">
        <f t="shared" ca="1" si="5"/>
        <v>Vencido</v>
      </c>
    </row>
    <row r="129" spans="1:24" ht="50.1" hidden="1" customHeight="1">
      <c r="A129" s="12" t="s">
        <v>65</v>
      </c>
      <c r="B129" s="37" t="s">
        <v>923</v>
      </c>
      <c r="C129" s="35">
        <v>17193373</v>
      </c>
      <c r="D129" s="35">
        <v>2</v>
      </c>
      <c r="E129" s="61">
        <v>79</v>
      </c>
      <c r="F129" s="35" t="s">
        <v>25</v>
      </c>
      <c r="G129" s="35" t="s">
        <v>202</v>
      </c>
      <c r="H129" s="17" t="s">
        <v>316</v>
      </c>
      <c r="I129" s="35" t="s">
        <v>179</v>
      </c>
      <c r="J129" s="35" t="s">
        <v>480</v>
      </c>
      <c r="K129" s="35" t="s">
        <v>68</v>
      </c>
      <c r="L129" s="35" t="s">
        <v>174</v>
      </c>
      <c r="M129" s="36">
        <v>45938</v>
      </c>
      <c r="N129" s="37" t="s">
        <v>317</v>
      </c>
      <c r="O129" s="16" t="s">
        <v>64</v>
      </c>
      <c r="P129" s="35"/>
      <c r="Q129" s="37"/>
      <c r="R129" s="37" t="s">
        <v>317</v>
      </c>
      <c r="S129" s="35" t="s">
        <v>393</v>
      </c>
      <c r="T129" s="35" t="s">
        <v>294</v>
      </c>
      <c r="U129" s="36">
        <v>45938</v>
      </c>
      <c r="V129" s="36">
        <v>45999</v>
      </c>
      <c r="W129" s="11">
        <f ca="1">V129-TODAY()</f>
        <v>-86</v>
      </c>
      <c r="X129" s="11" t="str">
        <f ca="1">IF(W129&gt;=20,"Vigente",IF(AND(W129&gt;=1,W129&lt;=20),"Por Vencer","Vencido"))</f>
        <v>Vencido</v>
      </c>
    </row>
    <row r="130" spans="1:24" ht="50.1" hidden="1" customHeight="1">
      <c r="A130" s="12" t="s">
        <v>189</v>
      </c>
      <c r="B130" s="173" t="s">
        <v>924</v>
      </c>
      <c r="C130" s="35">
        <v>6131437</v>
      </c>
      <c r="D130" s="35">
        <v>7</v>
      </c>
      <c r="E130" s="61">
        <v>76</v>
      </c>
      <c r="F130" s="35" t="s">
        <v>25</v>
      </c>
      <c r="G130" s="178" t="s">
        <v>60</v>
      </c>
      <c r="H130" s="17" t="s">
        <v>316</v>
      </c>
      <c r="I130" s="35">
        <v>2025</v>
      </c>
      <c r="J130" s="36">
        <v>45926</v>
      </c>
      <c r="K130" s="178" t="s">
        <v>172</v>
      </c>
      <c r="L130" s="35"/>
      <c r="M130" s="35"/>
      <c r="N130" s="37"/>
      <c r="O130" s="16" t="s">
        <v>64</v>
      </c>
      <c r="P130" s="35"/>
      <c r="Q130" s="37"/>
      <c r="R130" s="173" t="s">
        <v>451</v>
      </c>
      <c r="S130" s="178" t="s">
        <v>289</v>
      </c>
      <c r="T130" s="178" t="s">
        <v>327</v>
      </c>
      <c r="U130" s="36">
        <v>45936</v>
      </c>
      <c r="V130" s="36">
        <v>45967</v>
      </c>
      <c r="W130" s="11">
        <f ca="1">V130-TODAY()</f>
        <v>-118</v>
      </c>
      <c r="X130" s="11" t="str">
        <f ca="1">IF(W130&gt;=20,"Vigente",IF(AND(W130&gt;=1,W130&lt;=20),"Por Vencer","Vencido"))</f>
        <v>Vencido</v>
      </c>
    </row>
    <row r="131" spans="1:24" ht="50.1" hidden="1" customHeight="1">
      <c r="A131" s="12" t="s">
        <v>65</v>
      </c>
      <c r="B131" s="37" t="s">
        <v>925</v>
      </c>
      <c r="C131" s="35">
        <v>17530525</v>
      </c>
      <c r="D131" s="35">
        <v>4</v>
      </c>
      <c r="E131" s="61">
        <v>34</v>
      </c>
      <c r="F131" s="35" t="s">
        <v>25</v>
      </c>
      <c r="G131" s="35" t="s">
        <v>77</v>
      </c>
      <c r="H131" s="17" t="s">
        <v>316</v>
      </c>
      <c r="I131" s="35">
        <v>2025</v>
      </c>
      <c r="J131" s="36">
        <v>45952</v>
      </c>
      <c r="K131" s="35" t="s">
        <v>926</v>
      </c>
      <c r="L131" s="35" t="s">
        <v>246</v>
      </c>
      <c r="M131" s="36">
        <v>46064</v>
      </c>
      <c r="N131" s="37" t="s">
        <v>841</v>
      </c>
      <c r="O131" s="96" t="s">
        <v>2</v>
      </c>
      <c r="P131" s="35" t="s">
        <v>158</v>
      </c>
      <c r="Q131" s="37"/>
      <c r="R131" s="37" t="s">
        <v>927</v>
      </c>
      <c r="S131" s="35" t="s">
        <v>289</v>
      </c>
      <c r="T131" s="35" t="s">
        <v>294</v>
      </c>
      <c r="U131" s="36">
        <v>46065</v>
      </c>
      <c r="V131" s="36">
        <v>46093</v>
      </c>
      <c r="W131" s="11">
        <f ca="1">V131-TODAY()</f>
        <v>8</v>
      </c>
      <c r="X131" s="11" t="str">
        <f ca="1">IF(W131&gt;=20,"Vigente",IF(AND(W131&gt;=1,W131&lt;=20),"Por Vencer","Vencido"))</f>
        <v>Por Vencer</v>
      </c>
    </row>
    <row r="132" spans="1:24" ht="50.1" hidden="1" customHeight="1">
      <c r="A132" s="12" t="s">
        <v>189</v>
      </c>
      <c r="B132" s="37" t="s">
        <v>928</v>
      </c>
      <c r="C132" s="35">
        <v>6954337</v>
      </c>
      <c r="D132" s="35">
        <v>5</v>
      </c>
      <c r="E132" s="61">
        <v>72</v>
      </c>
      <c r="F132" s="35" t="s">
        <v>25</v>
      </c>
      <c r="G132" s="35" t="s">
        <v>60</v>
      </c>
      <c r="H132" s="17" t="s">
        <v>316</v>
      </c>
      <c r="I132" s="35">
        <v>2025</v>
      </c>
      <c r="J132" s="36">
        <v>45957</v>
      </c>
      <c r="K132" s="35" t="s">
        <v>172</v>
      </c>
      <c r="L132" s="35" t="s">
        <v>246</v>
      </c>
      <c r="M132" s="36">
        <v>45987</v>
      </c>
      <c r="N132" s="37" t="s">
        <v>929</v>
      </c>
      <c r="O132" s="96" t="s">
        <v>2</v>
      </c>
      <c r="P132" s="35" t="s">
        <v>158</v>
      </c>
      <c r="Q132" s="37"/>
      <c r="R132" s="37" t="s">
        <v>930</v>
      </c>
      <c r="S132" s="35" t="s">
        <v>289</v>
      </c>
      <c r="T132" s="35" t="s">
        <v>294</v>
      </c>
      <c r="U132" s="36">
        <v>46020</v>
      </c>
      <c r="V132" s="36">
        <v>46051</v>
      </c>
      <c r="W132" s="11">
        <f ca="1">V132-TODAY()</f>
        <v>-34</v>
      </c>
      <c r="X132" s="11" t="str">
        <f ca="1">IF(W132&gt;=20,"Vigente",IF(AND(W132&gt;=1,W132&lt;=20),"Por Vencer","Vencido"))</f>
        <v>Vencido</v>
      </c>
    </row>
    <row r="133" spans="1:24" ht="50.1" hidden="1" customHeight="1">
      <c r="A133" s="12" t="s">
        <v>189</v>
      </c>
      <c r="B133" s="37" t="s">
        <v>931</v>
      </c>
      <c r="C133" s="35">
        <v>4335116</v>
      </c>
      <c r="D133" s="35">
        <v>8</v>
      </c>
      <c r="E133" s="61">
        <v>85</v>
      </c>
      <c r="F133" s="35" t="s">
        <v>25</v>
      </c>
      <c r="G133" s="35" t="s">
        <v>136</v>
      </c>
      <c r="H133" s="17" t="s">
        <v>316</v>
      </c>
      <c r="I133" s="35">
        <v>2025</v>
      </c>
      <c r="J133" s="36">
        <v>45946</v>
      </c>
      <c r="K133" s="35" t="s">
        <v>172</v>
      </c>
      <c r="L133" s="35" t="s">
        <v>149</v>
      </c>
      <c r="M133" s="35"/>
      <c r="N133" s="37"/>
      <c r="O133" s="16" t="s">
        <v>64</v>
      </c>
      <c r="P133" s="35"/>
      <c r="Q133" s="37"/>
      <c r="R133" s="37" t="s">
        <v>932</v>
      </c>
      <c r="S133" s="35" t="s">
        <v>289</v>
      </c>
      <c r="T133" s="35" t="s">
        <v>327</v>
      </c>
      <c r="U133" s="36">
        <v>45967</v>
      </c>
      <c r="V133" s="36">
        <v>45997</v>
      </c>
      <c r="W133" s="11">
        <f ca="1">V133-TODAY()</f>
        <v>-88</v>
      </c>
      <c r="X133" s="11" t="str">
        <f ca="1">IF(W133&gt;=20,"Vigente",IF(AND(W133&gt;=1,W133&lt;=20),"Por Vencer","Vencido"))</f>
        <v>Vencido</v>
      </c>
    </row>
    <row r="134" spans="1:24" ht="50.1" hidden="1" customHeight="1">
      <c r="A134" s="12" t="s">
        <v>189</v>
      </c>
      <c r="B134" s="37" t="s">
        <v>933</v>
      </c>
      <c r="C134" s="35">
        <v>7768909</v>
      </c>
      <c r="D134" s="35">
        <v>5</v>
      </c>
      <c r="E134" s="61">
        <v>69</v>
      </c>
      <c r="F134" s="35" t="s">
        <v>526</v>
      </c>
      <c r="G134" s="35" t="s">
        <v>60</v>
      </c>
      <c r="H134" s="17" t="s">
        <v>316</v>
      </c>
      <c r="I134" s="35">
        <v>2025</v>
      </c>
      <c r="J134" s="36">
        <v>45946</v>
      </c>
      <c r="K134" s="35" t="s">
        <v>172</v>
      </c>
      <c r="L134" s="35" t="s">
        <v>174</v>
      </c>
      <c r="M134" s="36">
        <v>46015</v>
      </c>
      <c r="N134" s="37" t="s">
        <v>934</v>
      </c>
      <c r="O134" s="96" t="s">
        <v>2</v>
      </c>
      <c r="P134" s="35"/>
      <c r="Q134" s="37"/>
      <c r="R134" s="37" t="s">
        <v>935</v>
      </c>
      <c r="S134" s="35" t="s">
        <v>289</v>
      </c>
      <c r="T134" s="35" t="s">
        <v>294</v>
      </c>
      <c r="U134" s="36">
        <v>46028</v>
      </c>
      <c r="V134" s="36">
        <v>46059</v>
      </c>
      <c r="W134" s="11">
        <f ca="1">V134-TODAY()</f>
        <v>-26</v>
      </c>
      <c r="X134" s="11" t="str">
        <f ca="1">IF(W134&gt;=20,"Vigente",IF(AND(W134&gt;=1,W134&lt;=20),"Por Vencer","Vencido"))</f>
        <v>Vencido</v>
      </c>
    </row>
    <row r="135" spans="1:24" ht="50.1" hidden="1" customHeight="1">
      <c r="A135" s="12" t="s">
        <v>189</v>
      </c>
      <c r="B135" s="37" t="s">
        <v>936</v>
      </c>
      <c r="C135" s="35">
        <v>6463151</v>
      </c>
      <c r="D135" s="35">
        <v>9</v>
      </c>
      <c r="E135" s="61">
        <v>72</v>
      </c>
      <c r="F135" s="35" t="s">
        <v>475</v>
      </c>
      <c r="G135" s="35" t="s">
        <v>60</v>
      </c>
      <c r="H135" s="17" t="s">
        <v>316</v>
      </c>
      <c r="I135" s="35">
        <v>2025</v>
      </c>
      <c r="J135" s="36">
        <v>45937</v>
      </c>
      <c r="K135" s="35" t="s">
        <v>68</v>
      </c>
      <c r="L135" s="35" t="s">
        <v>246</v>
      </c>
      <c r="M135" s="36">
        <v>45966</v>
      </c>
      <c r="N135" s="37" t="s">
        <v>934</v>
      </c>
      <c r="O135" s="96" t="s">
        <v>2</v>
      </c>
      <c r="P135" s="35"/>
      <c r="Q135" s="37"/>
      <c r="R135" s="37" t="s">
        <v>937</v>
      </c>
      <c r="S135" s="35" t="s">
        <v>289</v>
      </c>
      <c r="T135" s="35" t="s">
        <v>282</v>
      </c>
      <c r="U135" s="36">
        <v>45967</v>
      </c>
      <c r="V135" s="36">
        <v>45997</v>
      </c>
      <c r="W135" s="11">
        <f ca="1">V135-TODAY()</f>
        <v>-88</v>
      </c>
      <c r="X135" s="11" t="str">
        <f ca="1">IF(W135&gt;=20,"Vigente",IF(AND(W135&gt;=1,W135&lt;=20),"Por Vencer","Vencido"))</f>
        <v>Vencido</v>
      </c>
    </row>
    <row r="136" spans="1:24" ht="50.1" hidden="1" customHeight="1">
      <c r="A136" s="12" t="s">
        <v>189</v>
      </c>
      <c r="B136" s="37" t="s">
        <v>938</v>
      </c>
      <c r="C136" s="35">
        <v>6940507</v>
      </c>
      <c r="D136" s="35" t="s">
        <v>93</v>
      </c>
      <c r="E136" s="61">
        <v>73</v>
      </c>
      <c r="F136" s="35" t="s">
        <v>25</v>
      </c>
      <c r="G136" s="35" t="s">
        <v>88</v>
      </c>
      <c r="H136" s="17" t="s">
        <v>316</v>
      </c>
      <c r="I136" s="35" t="s">
        <v>179</v>
      </c>
      <c r="J136" s="35" t="s">
        <v>480</v>
      </c>
      <c r="K136" s="35" t="s">
        <v>68</v>
      </c>
      <c r="L136" s="35" t="s">
        <v>274</v>
      </c>
      <c r="M136" s="36">
        <v>46071</v>
      </c>
      <c r="N136" s="37" t="s">
        <v>317</v>
      </c>
      <c r="O136" s="16" t="s">
        <v>64</v>
      </c>
      <c r="P136" s="35"/>
      <c r="Q136" s="37"/>
      <c r="R136" s="37" t="s">
        <v>939</v>
      </c>
      <c r="S136" s="35" t="s">
        <v>293</v>
      </c>
      <c r="T136" s="35" t="s">
        <v>282</v>
      </c>
      <c r="U136" s="36">
        <v>46080</v>
      </c>
      <c r="V136" s="36">
        <v>46169</v>
      </c>
      <c r="W136" s="11">
        <f ca="1">V136-TODAY()</f>
        <v>84</v>
      </c>
      <c r="X136" s="11" t="str">
        <f ca="1">IF(W136&gt;=20,"Vigente",IF(AND(W136&gt;=1,W136&lt;=20),"Por Vencer","Vencido"))</f>
        <v>Vigente</v>
      </c>
    </row>
    <row r="137" spans="1:24" ht="50.1" hidden="1" customHeight="1">
      <c r="A137" s="12" t="s">
        <v>189</v>
      </c>
      <c r="B137" s="37" t="s">
        <v>940</v>
      </c>
      <c r="C137" s="35">
        <v>6805394</v>
      </c>
      <c r="D137" s="35">
        <v>3</v>
      </c>
      <c r="E137" s="61">
        <v>74</v>
      </c>
      <c r="F137" s="35" t="s">
        <v>255</v>
      </c>
      <c r="G137" s="35" t="s">
        <v>77</v>
      </c>
      <c r="H137" s="17" t="s">
        <v>316</v>
      </c>
      <c r="I137" s="35">
        <v>2025</v>
      </c>
      <c r="J137" s="36">
        <v>45937</v>
      </c>
      <c r="K137" s="35" t="s">
        <v>172</v>
      </c>
      <c r="L137" s="35" t="s">
        <v>246</v>
      </c>
      <c r="M137" s="36">
        <v>45980</v>
      </c>
      <c r="N137" s="37" t="s">
        <v>941</v>
      </c>
      <c r="O137" s="16" t="s">
        <v>2</v>
      </c>
      <c r="P137" s="35" t="s">
        <v>158</v>
      </c>
      <c r="Q137" s="37"/>
      <c r="R137" s="37" t="s">
        <v>942</v>
      </c>
      <c r="S137" s="35" t="s">
        <v>289</v>
      </c>
      <c r="T137" s="35" t="s">
        <v>294</v>
      </c>
      <c r="U137" s="36">
        <v>46020</v>
      </c>
      <c r="V137" s="36">
        <v>46051</v>
      </c>
      <c r="W137" s="11">
        <f ca="1">V137-TODAY()</f>
        <v>-34</v>
      </c>
      <c r="X137" s="11" t="str">
        <f ca="1">IF(W137&gt;=20,"Vigente",IF(AND(W137&gt;=1,W137&lt;=20),"Por Vencer","Vencido"))</f>
        <v>Vencido</v>
      </c>
    </row>
    <row r="138" spans="1:24" ht="50.1" hidden="1" customHeight="1">
      <c r="A138" s="12" t="s">
        <v>189</v>
      </c>
      <c r="B138" s="37" t="s">
        <v>943</v>
      </c>
      <c r="C138" s="35">
        <v>7039162</v>
      </c>
      <c r="D138" s="35">
        <v>7</v>
      </c>
      <c r="E138" s="61">
        <v>72</v>
      </c>
      <c r="F138" s="35" t="s">
        <v>70</v>
      </c>
      <c r="G138" s="35" t="s">
        <v>77</v>
      </c>
      <c r="H138" s="17" t="s">
        <v>316</v>
      </c>
      <c r="I138" s="35">
        <v>2025</v>
      </c>
      <c r="J138" s="36">
        <v>45967</v>
      </c>
      <c r="K138" s="35" t="s">
        <v>68</v>
      </c>
      <c r="L138" s="35" t="s">
        <v>274</v>
      </c>
      <c r="M138" s="36">
        <v>45987</v>
      </c>
      <c r="N138" s="37" t="s">
        <v>367</v>
      </c>
      <c r="O138" s="16" t="s">
        <v>64</v>
      </c>
      <c r="P138" s="35" t="s">
        <v>158</v>
      </c>
      <c r="Q138" s="37"/>
      <c r="R138" s="37" t="s">
        <v>317</v>
      </c>
      <c r="S138" s="35" t="s">
        <v>293</v>
      </c>
      <c r="T138" s="35" t="s">
        <v>282</v>
      </c>
      <c r="U138" s="36">
        <v>45988</v>
      </c>
      <c r="V138" s="36">
        <v>46080</v>
      </c>
      <c r="W138" s="35">
        <f ca="1">V138-TODAY()</f>
        <v>-5</v>
      </c>
      <c r="X138" s="11" t="str">
        <f ca="1">IF(W138&gt;=20,"Vigente",IF(AND(W138&gt;=1,W138&lt;=20),"Por Vencer","Vencido"))</f>
        <v>Vencido</v>
      </c>
    </row>
    <row r="139" spans="1:24" ht="50.1" hidden="1" customHeight="1">
      <c r="A139" s="12" t="s">
        <v>189</v>
      </c>
      <c r="B139" s="37" t="s">
        <v>944</v>
      </c>
      <c r="C139" s="35">
        <v>7832325</v>
      </c>
      <c r="D139" s="35">
        <v>6</v>
      </c>
      <c r="E139" s="61">
        <v>70</v>
      </c>
      <c r="F139" s="178" t="s">
        <v>25</v>
      </c>
      <c r="G139" s="35" t="s">
        <v>77</v>
      </c>
      <c r="H139" s="17" t="s">
        <v>316</v>
      </c>
      <c r="I139" s="35">
        <v>2025</v>
      </c>
      <c r="J139" s="36">
        <v>45981</v>
      </c>
      <c r="K139" s="35" t="s">
        <v>68</v>
      </c>
      <c r="L139" s="35" t="s">
        <v>174</v>
      </c>
      <c r="M139" s="36">
        <v>45987</v>
      </c>
      <c r="N139" s="37" t="s">
        <v>945</v>
      </c>
      <c r="O139" s="96" t="s">
        <v>2</v>
      </c>
      <c r="P139" s="35" t="s">
        <v>158</v>
      </c>
      <c r="Q139" s="37"/>
      <c r="R139" s="37" t="s">
        <v>930</v>
      </c>
      <c r="S139" s="35" t="s">
        <v>289</v>
      </c>
      <c r="T139" s="35" t="s">
        <v>282</v>
      </c>
      <c r="U139" s="36">
        <v>46020</v>
      </c>
      <c r="V139" s="36">
        <v>46051</v>
      </c>
      <c r="W139" s="35">
        <f ca="1">V139-TODAY()</f>
        <v>-34</v>
      </c>
      <c r="X139" s="11" t="str">
        <f ca="1">IF(W139&gt;=20,"Vigente",IF(AND(W139&gt;=1,W139&lt;=20),"Por Vencer","Vencido"))</f>
        <v>Vencido</v>
      </c>
    </row>
    <row r="140" spans="1:24" ht="50.1" customHeight="1">
      <c r="A140" s="12" t="s">
        <v>65</v>
      </c>
      <c r="B140" s="37" t="s">
        <v>946</v>
      </c>
      <c r="C140" s="35">
        <v>4614917</v>
      </c>
      <c r="D140" s="35">
        <v>3</v>
      </c>
      <c r="E140" s="61">
        <v>70</v>
      </c>
      <c r="F140" s="35" t="s">
        <v>33</v>
      </c>
      <c r="G140" s="37" t="s">
        <v>947</v>
      </c>
      <c r="H140" s="17" t="s">
        <v>316</v>
      </c>
      <c r="I140" s="35">
        <v>2025</v>
      </c>
      <c r="J140" s="36">
        <v>45974</v>
      </c>
      <c r="K140" s="35" t="s">
        <v>68</v>
      </c>
      <c r="L140" s="35" t="s">
        <v>162</v>
      </c>
      <c r="M140" s="36">
        <v>46071</v>
      </c>
      <c r="N140" s="37" t="s">
        <v>948</v>
      </c>
      <c r="O140" s="16" t="s">
        <v>64</v>
      </c>
      <c r="P140" s="35" t="s">
        <v>158</v>
      </c>
      <c r="Q140" s="37"/>
      <c r="R140" s="37" t="s">
        <v>949</v>
      </c>
      <c r="S140" s="35" t="s">
        <v>289</v>
      </c>
      <c r="T140" s="35" t="s">
        <v>553</v>
      </c>
      <c r="U140" s="36">
        <v>46083</v>
      </c>
      <c r="V140" s="36">
        <v>46267</v>
      </c>
      <c r="W140" s="35">
        <f ca="1">V140-TODAY()</f>
        <v>182</v>
      </c>
      <c r="X140" s="11" t="str">
        <f ca="1">IF(W140&gt;=20,"Vigente",IF(AND(W140&gt;=1,W140&lt;=20),"Por Vencer","Vencido"))</f>
        <v>Vigente</v>
      </c>
    </row>
    <row r="141" spans="1:24" ht="50.1" hidden="1" customHeight="1">
      <c r="A141" s="12" t="s">
        <v>65</v>
      </c>
      <c r="B141" s="37" t="s">
        <v>950</v>
      </c>
      <c r="C141" s="35">
        <v>11194136</v>
      </c>
      <c r="D141" s="35" t="s">
        <v>93</v>
      </c>
      <c r="E141" s="61">
        <v>57</v>
      </c>
      <c r="F141" s="35" t="s">
        <v>475</v>
      </c>
      <c r="G141" s="37" t="s">
        <v>947</v>
      </c>
      <c r="H141" s="17" t="s">
        <v>316</v>
      </c>
      <c r="I141" s="35">
        <v>2025</v>
      </c>
      <c r="J141" s="36">
        <v>45973</v>
      </c>
      <c r="K141" s="35" t="s">
        <v>172</v>
      </c>
      <c r="L141" s="35" t="s">
        <v>331</v>
      </c>
      <c r="M141" s="35"/>
      <c r="N141" s="37"/>
      <c r="O141" s="16" t="s">
        <v>64</v>
      </c>
      <c r="P141" s="35" t="s">
        <v>158</v>
      </c>
      <c r="Q141" s="37"/>
      <c r="R141" s="37" t="s">
        <v>951</v>
      </c>
      <c r="S141" s="35" t="s">
        <v>289</v>
      </c>
      <c r="T141" s="35" t="s">
        <v>327</v>
      </c>
      <c r="U141" s="36">
        <v>45992</v>
      </c>
      <c r="V141" s="36">
        <v>46023</v>
      </c>
      <c r="W141" s="35">
        <f ca="1">V141-TODAY()</f>
        <v>-62</v>
      </c>
      <c r="X141" s="11" t="str">
        <f ca="1">IF(W141&gt;=20,"Vigente",IF(AND(W141&gt;=1,W141&lt;=20),"Por Vencer","Vencido"))</f>
        <v>Vencido</v>
      </c>
    </row>
    <row r="142" spans="1:24" ht="50.1" hidden="1" customHeight="1">
      <c r="A142" s="12" t="s">
        <v>189</v>
      </c>
      <c r="B142" s="37" t="s">
        <v>952</v>
      </c>
      <c r="C142" s="35">
        <v>7421157</v>
      </c>
      <c r="D142" s="35">
        <v>7</v>
      </c>
      <c r="E142" s="61">
        <v>70</v>
      </c>
      <c r="F142" s="35" t="s">
        <v>33</v>
      </c>
      <c r="G142" s="35" t="s">
        <v>77</v>
      </c>
      <c r="H142" s="17" t="s">
        <v>316</v>
      </c>
      <c r="I142" s="35">
        <v>2025</v>
      </c>
      <c r="J142" s="36">
        <v>45978</v>
      </c>
      <c r="K142" s="35" t="s">
        <v>68</v>
      </c>
      <c r="L142" s="35" t="s">
        <v>162</v>
      </c>
      <c r="M142" s="36">
        <v>46071</v>
      </c>
      <c r="N142" s="37" t="s">
        <v>953</v>
      </c>
      <c r="O142" s="16" t="s">
        <v>64</v>
      </c>
      <c r="P142" s="35" t="s">
        <v>155</v>
      </c>
      <c r="Q142" s="37"/>
      <c r="R142" s="37" t="s">
        <v>954</v>
      </c>
      <c r="S142" s="35" t="s">
        <v>289</v>
      </c>
      <c r="T142" s="35" t="s">
        <v>553</v>
      </c>
      <c r="U142" s="36">
        <v>46076</v>
      </c>
      <c r="V142" s="36">
        <v>46104</v>
      </c>
      <c r="W142" s="35">
        <f ca="1">V142-TODAY()</f>
        <v>19</v>
      </c>
      <c r="X142" s="11" t="str">
        <f ca="1">IF(W142&gt;=20,"Vigente",IF(AND(W142&gt;=1,W142&lt;=20),"Por Vencer","Vencido"))</f>
        <v>Por Vencer</v>
      </c>
    </row>
    <row r="143" spans="1:24" ht="50.1" hidden="1" customHeight="1">
      <c r="A143" s="12" t="s">
        <v>189</v>
      </c>
      <c r="B143" s="37" t="s">
        <v>955</v>
      </c>
      <c r="C143" s="35">
        <v>7654595</v>
      </c>
      <c r="D143" s="35">
        <v>2</v>
      </c>
      <c r="E143" s="61">
        <v>70</v>
      </c>
      <c r="F143" s="35" t="s">
        <v>70</v>
      </c>
      <c r="G143" s="35" t="s">
        <v>60</v>
      </c>
      <c r="H143" s="17" t="s">
        <v>316</v>
      </c>
      <c r="I143" s="35">
        <v>2025</v>
      </c>
      <c r="J143" s="36">
        <v>46064</v>
      </c>
      <c r="K143" s="35" t="s">
        <v>68</v>
      </c>
      <c r="L143" s="35" t="s">
        <v>331</v>
      </c>
      <c r="M143" s="36">
        <v>46078</v>
      </c>
      <c r="N143" s="37" t="s">
        <v>956</v>
      </c>
      <c r="O143" s="16" t="s">
        <v>64</v>
      </c>
      <c r="P143" s="35"/>
      <c r="Q143" s="37"/>
      <c r="R143" s="37" t="s">
        <v>957</v>
      </c>
      <c r="S143" s="35" t="s">
        <v>289</v>
      </c>
      <c r="T143" s="35" t="s">
        <v>553</v>
      </c>
      <c r="U143" s="36">
        <v>46083</v>
      </c>
      <c r="V143" s="36">
        <v>46114</v>
      </c>
      <c r="W143" s="35">
        <f ca="1">V143-TODAY()</f>
        <v>29</v>
      </c>
      <c r="X143" s="11" t="str">
        <f ca="1">IF(W143&gt;=20,"Vigente",IF(AND(W143&gt;=1,W143&lt;=20),"Por Vencer","Vencido"))</f>
        <v>Vigente</v>
      </c>
    </row>
    <row r="144" spans="1:24" ht="50.1" hidden="1" customHeight="1">
      <c r="A144" s="12" t="s">
        <v>189</v>
      </c>
      <c r="B144" s="37" t="s">
        <v>958</v>
      </c>
      <c r="C144" s="35">
        <v>10285881</v>
      </c>
      <c r="D144" s="35">
        <v>6</v>
      </c>
      <c r="E144" s="61">
        <v>70</v>
      </c>
      <c r="F144" s="35" t="s">
        <v>25</v>
      </c>
      <c r="G144" s="35" t="s">
        <v>77</v>
      </c>
      <c r="H144" s="17" t="s">
        <v>316</v>
      </c>
      <c r="I144" s="35">
        <v>2025</v>
      </c>
      <c r="J144" s="36">
        <v>45949</v>
      </c>
      <c r="K144" s="35" t="s">
        <v>68</v>
      </c>
      <c r="L144" s="35" t="s">
        <v>174</v>
      </c>
      <c r="M144" s="36">
        <v>46015</v>
      </c>
      <c r="N144" s="37" t="s">
        <v>959</v>
      </c>
      <c r="O144" s="96" t="s">
        <v>2</v>
      </c>
      <c r="P144" s="35" t="s">
        <v>158</v>
      </c>
      <c r="Q144" s="37"/>
      <c r="R144" s="37" t="s">
        <v>892</v>
      </c>
      <c r="S144" s="35" t="s">
        <v>281</v>
      </c>
      <c r="T144" s="35" t="s">
        <v>282</v>
      </c>
      <c r="U144" s="36">
        <v>46044</v>
      </c>
      <c r="V144" s="36">
        <v>46103</v>
      </c>
      <c r="W144" s="35">
        <f ca="1">V144-TODAY()</f>
        <v>18</v>
      </c>
      <c r="X144" s="11" t="str">
        <f ca="1">IF(W144&gt;=20,"Vigente",IF(AND(W144&gt;=1,W144&lt;=20),"Por Vencer","Vencido"))</f>
        <v>Por Vencer</v>
      </c>
    </row>
    <row r="145" spans="1:24" ht="50.1" hidden="1" customHeight="1">
      <c r="A145" s="128" t="s">
        <v>65</v>
      </c>
      <c r="B145" s="184" t="s">
        <v>960</v>
      </c>
      <c r="C145" s="185">
        <v>13976730</v>
      </c>
      <c r="D145" s="185">
        <v>6</v>
      </c>
      <c r="E145" s="186">
        <v>44</v>
      </c>
      <c r="F145" s="185" t="s">
        <v>25</v>
      </c>
      <c r="G145" s="185" t="s">
        <v>961</v>
      </c>
      <c r="H145" s="54" t="s">
        <v>316</v>
      </c>
      <c r="I145" s="185">
        <v>2026</v>
      </c>
      <c r="J145" s="187">
        <v>46027</v>
      </c>
      <c r="K145" s="35" t="s">
        <v>68</v>
      </c>
      <c r="L145" s="185" t="s">
        <v>149</v>
      </c>
      <c r="M145" s="185"/>
      <c r="N145" s="184"/>
      <c r="O145" s="16" t="s">
        <v>64</v>
      </c>
      <c r="P145" s="185"/>
      <c r="Q145" s="184"/>
      <c r="R145" s="184"/>
      <c r="S145" s="35" t="s">
        <v>289</v>
      </c>
      <c r="U145" s="187"/>
      <c r="V145" s="187"/>
      <c r="W145" s="185">
        <f ca="1">V145-TODAY()</f>
        <v>-46085</v>
      </c>
      <c r="X145" s="188" t="str">
        <f ca="1">IF(W145&gt;=20,"Vigente",IF(AND(W145&gt;=1,W145&lt;=20),"Por Vencer","Vencido"))</f>
        <v>Vencido</v>
      </c>
    </row>
    <row r="146" spans="1:24" ht="50.1" hidden="1" customHeight="1">
      <c r="A146" s="180" t="s">
        <v>189</v>
      </c>
      <c r="B146" s="181" t="s">
        <v>962</v>
      </c>
      <c r="C146" s="182">
        <v>4698092</v>
      </c>
      <c r="D146" s="182">
        <v>1</v>
      </c>
      <c r="E146" s="183">
        <v>83</v>
      </c>
      <c r="F146" s="182" t="s">
        <v>25</v>
      </c>
      <c r="G146" s="182" t="s">
        <v>60</v>
      </c>
      <c r="H146" s="54" t="s">
        <v>316</v>
      </c>
      <c r="I146" s="182">
        <v>2025</v>
      </c>
      <c r="J146" s="189">
        <v>46014</v>
      </c>
      <c r="K146" s="35" t="s">
        <v>68</v>
      </c>
      <c r="L146" s="182" t="s">
        <v>331</v>
      </c>
      <c r="M146" s="182"/>
      <c r="N146" s="181"/>
      <c r="O146" s="16" t="s">
        <v>64</v>
      </c>
      <c r="P146" s="182"/>
      <c r="Q146" s="181"/>
      <c r="R146" s="181" t="s">
        <v>963</v>
      </c>
      <c r="S146" s="35" t="s">
        <v>289</v>
      </c>
      <c r="T146" s="185" t="s">
        <v>964</v>
      </c>
      <c r="U146" s="189">
        <v>46034</v>
      </c>
      <c r="V146" s="189">
        <v>46065</v>
      </c>
      <c r="W146" s="185">
        <f ca="1">V146-TODAY()</f>
        <v>-20</v>
      </c>
      <c r="X146" s="188" t="str">
        <f ca="1">IF(W146&gt;=20,"Vigente",IF(AND(W146&gt;=1,W146&lt;=20),"Por Vencer","Vencido"))</f>
        <v>Vencido</v>
      </c>
    </row>
    <row r="147" spans="1:24" ht="50.1" hidden="1" customHeight="1">
      <c r="A147" s="128" t="s">
        <v>65</v>
      </c>
      <c r="B147" s="181" t="s">
        <v>965</v>
      </c>
      <c r="C147" s="182">
        <v>5280322</v>
      </c>
      <c r="D147" s="182">
        <v>5</v>
      </c>
      <c r="E147" s="183">
        <v>81</v>
      </c>
      <c r="F147" s="182" t="s">
        <v>70</v>
      </c>
      <c r="G147" s="182" t="s">
        <v>67</v>
      </c>
      <c r="H147" s="54" t="s">
        <v>316</v>
      </c>
      <c r="I147" s="182">
        <v>2025</v>
      </c>
      <c r="J147" s="189">
        <v>45992</v>
      </c>
      <c r="K147" s="35" t="s">
        <v>68</v>
      </c>
      <c r="L147" s="182" t="s">
        <v>274</v>
      </c>
      <c r="M147" s="189">
        <v>46043</v>
      </c>
      <c r="N147" s="181" t="s">
        <v>317</v>
      </c>
      <c r="O147" s="16" t="s">
        <v>64</v>
      </c>
      <c r="P147" s="182"/>
      <c r="Q147" s="181"/>
      <c r="R147" s="181" t="s">
        <v>317</v>
      </c>
      <c r="S147" s="182" t="s">
        <v>293</v>
      </c>
      <c r="T147" s="182" t="s">
        <v>282</v>
      </c>
      <c r="U147" s="189">
        <v>46077</v>
      </c>
      <c r="V147" s="189">
        <v>46166</v>
      </c>
      <c r="W147" s="185">
        <f ca="1">V147-TODAY()</f>
        <v>81</v>
      </c>
      <c r="X147" s="188" t="str">
        <f ca="1">IF(W147&gt;=20,"Vigente",IF(AND(W147&gt;=1,W147&lt;=20),"Por Vencer","Vencido"))</f>
        <v>Vigente</v>
      </c>
    </row>
    <row r="148" spans="1:24" ht="50.1" hidden="1" customHeight="1">
      <c r="A148" s="180" t="s">
        <v>189</v>
      </c>
      <c r="B148" s="181" t="s">
        <v>966</v>
      </c>
      <c r="C148" s="182">
        <v>15834402</v>
      </c>
      <c r="D148" s="182">
        <v>5</v>
      </c>
      <c r="E148" s="183">
        <v>40</v>
      </c>
      <c r="F148" s="182" t="s">
        <v>25</v>
      </c>
      <c r="G148" s="182" t="s">
        <v>60</v>
      </c>
      <c r="H148" s="54" t="s">
        <v>316</v>
      </c>
      <c r="I148" s="182">
        <v>2025</v>
      </c>
      <c r="J148" s="189">
        <v>46006</v>
      </c>
      <c r="K148" s="35" t="s">
        <v>68</v>
      </c>
      <c r="L148" s="182" t="s">
        <v>174</v>
      </c>
      <c r="M148" s="189">
        <v>46029</v>
      </c>
      <c r="N148" s="181" t="s">
        <v>967</v>
      </c>
      <c r="O148" s="96" t="s">
        <v>2</v>
      </c>
      <c r="P148" s="182" t="s">
        <v>158</v>
      </c>
      <c r="Q148" s="181"/>
      <c r="R148" s="181" t="s">
        <v>968</v>
      </c>
      <c r="S148" s="182" t="s">
        <v>289</v>
      </c>
      <c r="T148" s="182" t="s">
        <v>964</v>
      </c>
      <c r="U148" s="189">
        <v>46034</v>
      </c>
      <c r="V148" s="189">
        <v>46065</v>
      </c>
      <c r="W148" s="185">
        <f ca="1">V148-TODAY()</f>
        <v>-20</v>
      </c>
      <c r="X148" s="188" t="str">
        <f ca="1">IF(W148&gt;=20,"Vigente",IF(AND(W148&gt;=1,W148&lt;=20),"Por Vencer","Vencido"))</f>
        <v>Vencido</v>
      </c>
    </row>
    <row r="149" spans="1:24" ht="50.1" hidden="1" customHeight="1">
      <c r="A149" s="190" t="s">
        <v>189</v>
      </c>
      <c r="B149" s="181" t="s">
        <v>969</v>
      </c>
      <c r="C149" s="182">
        <v>8215556</v>
      </c>
      <c r="D149" s="182">
        <v>2</v>
      </c>
      <c r="E149" s="183">
        <v>68</v>
      </c>
      <c r="F149" s="182" t="s">
        <v>25</v>
      </c>
      <c r="G149" s="182" t="s">
        <v>60</v>
      </c>
      <c r="H149" s="54" t="s">
        <v>316</v>
      </c>
      <c r="I149" s="182">
        <v>2025</v>
      </c>
      <c r="J149" s="189">
        <v>46010</v>
      </c>
      <c r="K149" s="35" t="s">
        <v>68</v>
      </c>
      <c r="L149" s="182" t="s">
        <v>174</v>
      </c>
      <c r="M149" s="189">
        <v>46050</v>
      </c>
      <c r="N149" s="181" t="s">
        <v>863</v>
      </c>
      <c r="O149" s="16" t="s">
        <v>2</v>
      </c>
      <c r="P149" s="182" t="s">
        <v>158</v>
      </c>
      <c r="Q149" s="181"/>
      <c r="R149" s="181" t="s">
        <v>970</v>
      </c>
      <c r="S149" s="182" t="s">
        <v>289</v>
      </c>
      <c r="T149" s="182" t="s">
        <v>327</v>
      </c>
      <c r="U149" s="189">
        <v>46056</v>
      </c>
      <c r="V149" s="189">
        <v>46084</v>
      </c>
      <c r="W149" s="185">
        <f ca="1">V149-TODAY()</f>
        <v>-1</v>
      </c>
      <c r="X149" s="188" t="str">
        <f ca="1">IF(W149&gt;=20,"Vigente",IF(AND(W149&gt;=1,W149&lt;=20),"Por Vencer","Vencido"))</f>
        <v>Vencido</v>
      </c>
    </row>
    <row r="150" spans="1:24" ht="50.1" hidden="1" customHeight="1">
      <c r="A150" s="190" t="s">
        <v>65</v>
      </c>
      <c r="B150" s="191" t="s">
        <v>971</v>
      </c>
      <c r="C150" s="192">
        <v>7792885</v>
      </c>
      <c r="D150" s="192">
        <v>5</v>
      </c>
      <c r="E150" s="193">
        <v>69</v>
      </c>
      <c r="F150" s="192" t="s">
        <v>972</v>
      </c>
      <c r="G150" s="194" t="s">
        <v>198</v>
      </c>
      <c r="H150" s="195" t="s">
        <v>316</v>
      </c>
      <c r="I150" s="196"/>
      <c r="J150" s="192"/>
      <c r="K150" s="192"/>
      <c r="L150" s="192" t="s">
        <v>174</v>
      </c>
      <c r="M150" s="192"/>
      <c r="N150" s="197"/>
      <c r="O150" s="198" t="s">
        <v>2</v>
      </c>
      <c r="P150" s="192"/>
      <c r="Q150" s="197"/>
      <c r="R150" s="197"/>
      <c r="S150" s="192"/>
      <c r="T150" s="192"/>
      <c r="U150" s="192"/>
      <c r="V150" s="192"/>
      <c r="W150" s="185">
        <f ca="1">V150-TODAY()</f>
        <v>-46085</v>
      </c>
      <c r="X150" s="188" t="str">
        <f ca="1">IF(W150&gt;=20,"Vigente",IF(AND(W150&gt;=1,W150&lt;=20),"Por Vencer","Vencido"))</f>
        <v>Vencido</v>
      </c>
    </row>
    <row r="151" spans="1:24" ht="50.1" hidden="1" customHeight="1">
      <c r="A151" s="190" t="s">
        <v>189</v>
      </c>
      <c r="B151" s="181" t="s">
        <v>973</v>
      </c>
      <c r="C151" s="182">
        <v>15040697</v>
      </c>
      <c r="D151" s="182">
        <v>8</v>
      </c>
      <c r="E151" s="183">
        <v>43</v>
      </c>
      <c r="F151" s="182" t="s">
        <v>25</v>
      </c>
      <c r="G151" s="182" t="s">
        <v>60</v>
      </c>
      <c r="H151" s="195" t="s">
        <v>316</v>
      </c>
      <c r="I151" s="189">
        <v>2026</v>
      </c>
      <c r="J151" s="189">
        <v>46048</v>
      </c>
      <c r="K151" s="182" t="s">
        <v>68</v>
      </c>
      <c r="L151" s="182" t="s">
        <v>174</v>
      </c>
      <c r="M151" s="189">
        <v>46071</v>
      </c>
      <c r="N151" s="181" t="s">
        <v>974</v>
      </c>
      <c r="O151" s="16" t="s">
        <v>2</v>
      </c>
      <c r="P151" s="182" t="s">
        <v>158</v>
      </c>
      <c r="Q151" s="181"/>
      <c r="R151" s="181" t="s">
        <v>975</v>
      </c>
      <c r="S151" s="182" t="s">
        <v>289</v>
      </c>
      <c r="T151" s="182" t="s">
        <v>553</v>
      </c>
      <c r="U151" s="189">
        <v>46076</v>
      </c>
      <c r="V151" s="189">
        <v>46104</v>
      </c>
      <c r="W151" s="185">
        <f ca="1">V151-TODAY()</f>
        <v>19</v>
      </c>
      <c r="X151" s="188" t="str">
        <f ca="1">IF(W151&gt;=20,"Vigente",IF(AND(W151&gt;=1,W151&lt;=20),"Por Vencer","Vencido"))</f>
        <v>Por Vencer</v>
      </c>
    </row>
    <row r="152" spans="1:24" ht="50.1" hidden="1" customHeight="1">
      <c r="A152" s="190" t="s">
        <v>189</v>
      </c>
      <c r="B152" s="181" t="s">
        <v>976</v>
      </c>
      <c r="C152" s="182">
        <v>7164537</v>
      </c>
      <c r="D152" s="182">
        <v>1</v>
      </c>
      <c r="E152" s="183">
        <v>71</v>
      </c>
      <c r="F152" s="182" t="s">
        <v>972</v>
      </c>
      <c r="G152" s="182" t="s">
        <v>60</v>
      </c>
      <c r="H152" s="195" t="s">
        <v>316</v>
      </c>
      <c r="I152" s="182">
        <v>2025</v>
      </c>
      <c r="J152" s="189">
        <v>45955</v>
      </c>
      <c r="K152" s="182" t="s">
        <v>68</v>
      </c>
      <c r="L152" s="182" t="s">
        <v>174</v>
      </c>
      <c r="M152" s="189">
        <v>46057</v>
      </c>
      <c r="N152" s="181" t="s">
        <v>977</v>
      </c>
      <c r="O152" s="198" t="s">
        <v>2</v>
      </c>
      <c r="P152" s="182" t="s">
        <v>158</v>
      </c>
      <c r="Q152" s="181"/>
      <c r="R152" s="181" t="s">
        <v>978</v>
      </c>
      <c r="S152" s="182" t="s">
        <v>289</v>
      </c>
      <c r="T152" s="182" t="s">
        <v>553</v>
      </c>
      <c r="U152" s="189">
        <v>46063</v>
      </c>
      <c r="V152" s="189">
        <v>46091</v>
      </c>
      <c r="W152" s="185">
        <f ca="1">V152-TODAY()</f>
        <v>6</v>
      </c>
      <c r="X152" s="188" t="str">
        <f ca="1">IF(W152&gt;=20,"Vigente",IF(AND(W152&gt;=1,W152&lt;=20),"Por Vencer","Vencido"))</f>
        <v>Por Vencer</v>
      </c>
    </row>
    <row r="153" spans="1:24" ht="50.1" hidden="1" customHeight="1">
      <c r="A153" s="190" t="s">
        <v>65</v>
      </c>
      <c r="B153" s="181" t="s">
        <v>979</v>
      </c>
      <c r="C153" s="182">
        <v>5793299</v>
      </c>
      <c r="D153" s="182">
        <v>6</v>
      </c>
      <c r="E153" s="183">
        <v>73</v>
      </c>
      <c r="F153" s="182" t="s">
        <v>25</v>
      </c>
      <c r="G153" s="182" t="s">
        <v>980</v>
      </c>
      <c r="H153" s="195" t="s">
        <v>316</v>
      </c>
      <c r="I153" s="182" t="s">
        <v>981</v>
      </c>
      <c r="J153" s="182" t="s">
        <v>981</v>
      </c>
      <c r="K153" s="182" t="s">
        <v>172</v>
      </c>
      <c r="L153" s="182" t="s">
        <v>174</v>
      </c>
      <c r="M153" s="189">
        <v>46057</v>
      </c>
      <c r="N153" s="181" t="s">
        <v>982</v>
      </c>
      <c r="O153" s="199" t="s">
        <v>6</v>
      </c>
      <c r="P153" s="182" t="s">
        <v>155</v>
      </c>
      <c r="Q153" s="181"/>
      <c r="R153" s="181" t="s">
        <v>983</v>
      </c>
      <c r="S153" s="182" t="s">
        <v>289</v>
      </c>
      <c r="T153" s="182" t="s">
        <v>553</v>
      </c>
      <c r="U153" s="189">
        <v>46063</v>
      </c>
      <c r="V153" s="189">
        <v>46091</v>
      </c>
      <c r="W153" s="185">
        <f ca="1">V153-TODAY()</f>
        <v>6</v>
      </c>
      <c r="X153" s="188" t="str">
        <f ca="1">IF(W153&gt;=20,"Vigente",IF(AND(W153&gt;=1,W153&lt;=20),"Por Vencer","Vencido"))</f>
        <v>Por Vencer</v>
      </c>
    </row>
    <row r="154" spans="1:24" ht="50.1" hidden="1" customHeight="1">
      <c r="A154" s="190" t="s">
        <v>65</v>
      </c>
      <c r="B154" s="197" t="s">
        <v>984</v>
      </c>
      <c r="C154" s="192">
        <v>4142393</v>
      </c>
      <c r="D154" s="192">
        <v>5</v>
      </c>
      <c r="E154" s="193">
        <v>86</v>
      </c>
      <c r="F154" s="192" t="s">
        <v>25</v>
      </c>
      <c r="G154" s="192" t="s">
        <v>202</v>
      </c>
      <c r="H154" s="195" t="s">
        <v>316</v>
      </c>
      <c r="I154" s="192">
        <v>2026</v>
      </c>
      <c r="J154" s="200">
        <v>46058</v>
      </c>
      <c r="K154" s="192" t="s">
        <v>172</v>
      </c>
      <c r="L154" s="192" t="s">
        <v>331</v>
      </c>
      <c r="M154" s="192"/>
      <c r="N154" s="197"/>
      <c r="O154" s="16" t="s">
        <v>64</v>
      </c>
      <c r="P154" s="192"/>
      <c r="Q154" s="197"/>
      <c r="R154" s="197" t="s">
        <v>985</v>
      </c>
      <c r="S154" s="192" t="s">
        <v>289</v>
      </c>
      <c r="T154" s="192" t="s">
        <v>553</v>
      </c>
      <c r="U154" s="200">
        <v>46063</v>
      </c>
      <c r="V154" s="200">
        <v>46091</v>
      </c>
      <c r="W154" s="185">
        <f ca="1">V154-TODAY()</f>
        <v>6</v>
      </c>
      <c r="X154" s="188" t="str">
        <f ca="1">IF(W154&gt;=20,"Vigente",IF(AND(W154&gt;=1,W154&lt;=20),"Por Vencer","Vencido"))</f>
        <v>Por Vencer</v>
      </c>
    </row>
    <row r="155" spans="1:24" ht="50.1" hidden="1" customHeight="1">
      <c r="A155" s="190" t="s">
        <v>189</v>
      </c>
      <c r="B155" s="181" t="s">
        <v>986</v>
      </c>
      <c r="C155" s="182">
        <v>5061584</v>
      </c>
      <c r="D155" s="182">
        <v>7</v>
      </c>
      <c r="E155" s="183">
        <v>80</v>
      </c>
      <c r="F155" s="182" t="s">
        <v>25</v>
      </c>
      <c r="G155" s="182" t="s">
        <v>60</v>
      </c>
      <c r="H155" s="195" t="s">
        <v>316</v>
      </c>
      <c r="I155" s="182">
        <v>2026</v>
      </c>
      <c r="J155" s="189">
        <v>46056</v>
      </c>
      <c r="K155" s="182" t="s">
        <v>172</v>
      </c>
      <c r="L155" s="192" t="s">
        <v>331</v>
      </c>
      <c r="M155" s="182"/>
      <c r="N155" s="181"/>
      <c r="O155" s="16" t="s">
        <v>64</v>
      </c>
      <c r="P155" s="182"/>
      <c r="Q155" s="181"/>
      <c r="R155" s="181" t="s">
        <v>987</v>
      </c>
      <c r="S155" s="182" t="s">
        <v>289</v>
      </c>
      <c r="T155" s="182" t="s">
        <v>327</v>
      </c>
      <c r="U155" s="189">
        <v>46076</v>
      </c>
      <c r="V155" s="189">
        <v>46104</v>
      </c>
      <c r="W155" s="185">
        <f ca="1">V155-TODAY()</f>
        <v>19</v>
      </c>
      <c r="X155" s="188" t="str">
        <f ca="1">IF(W155&gt;=20,"Vigente",IF(AND(W155&gt;=1,W155&lt;=20),"Por Vencer","Vencido"))</f>
        <v>Por Vencer</v>
      </c>
    </row>
    <row r="156" spans="1:24" ht="50.1" hidden="1" customHeight="1">
      <c r="A156" s="190" t="s">
        <v>189</v>
      </c>
      <c r="B156" s="181" t="s">
        <v>988</v>
      </c>
      <c r="C156" s="182">
        <v>15802157</v>
      </c>
      <c r="D156" s="182">
        <v>9</v>
      </c>
      <c r="E156" s="183">
        <v>41</v>
      </c>
      <c r="F156" s="182" t="s">
        <v>25</v>
      </c>
      <c r="G156" s="182" t="s">
        <v>77</v>
      </c>
      <c r="H156" s="195" t="s">
        <v>316</v>
      </c>
      <c r="I156" s="182">
        <v>2026</v>
      </c>
      <c r="J156" s="189">
        <v>46056</v>
      </c>
      <c r="K156" s="182" t="s">
        <v>68</v>
      </c>
      <c r="L156" s="182" t="s">
        <v>174</v>
      </c>
      <c r="M156" s="189">
        <v>46071</v>
      </c>
      <c r="N156" s="181" t="s">
        <v>989</v>
      </c>
      <c r="O156" s="16" t="s">
        <v>2</v>
      </c>
      <c r="P156" s="182"/>
      <c r="Q156" s="181"/>
      <c r="R156" s="181" t="s">
        <v>990</v>
      </c>
      <c r="S156" s="182" t="s">
        <v>289</v>
      </c>
      <c r="T156" s="182" t="s">
        <v>553</v>
      </c>
      <c r="U156" s="189">
        <v>46076</v>
      </c>
      <c r="V156" s="189">
        <v>46104</v>
      </c>
      <c r="W156" s="185">
        <f ca="1">V156-TODAY()</f>
        <v>19</v>
      </c>
      <c r="X156" s="188" t="str">
        <f ca="1">IF(W156&gt;=20,"Vigente",IF(AND(W156&gt;=1,W156&lt;=20),"Por Vencer","Vencido"))</f>
        <v>Por Vencer</v>
      </c>
    </row>
    <row r="157" spans="1:24" ht="50.1" hidden="1" customHeight="1">
      <c r="A157" s="190" t="s">
        <v>189</v>
      </c>
      <c r="B157" s="181" t="s">
        <v>991</v>
      </c>
      <c r="C157" s="182">
        <v>5293291</v>
      </c>
      <c r="D157" s="182">
        <v>2</v>
      </c>
      <c r="E157" s="183">
        <v>81</v>
      </c>
      <c r="F157" s="182" t="s">
        <v>25</v>
      </c>
      <c r="G157" s="182" t="s">
        <v>77</v>
      </c>
      <c r="H157" s="195" t="s">
        <v>316</v>
      </c>
      <c r="I157" s="182">
        <v>2026</v>
      </c>
      <c r="J157" s="189">
        <v>46049</v>
      </c>
      <c r="K157" s="182" t="s">
        <v>68</v>
      </c>
      <c r="L157" s="182" t="s">
        <v>274</v>
      </c>
      <c r="M157" s="189">
        <v>46071</v>
      </c>
      <c r="N157" s="181" t="s">
        <v>317</v>
      </c>
      <c r="O157" s="16" t="s">
        <v>64</v>
      </c>
      <c r="P157" s="182"/>
      <c r="Q157" s="181"/>
      <c r="R157" s="181" t="s">
        <v>317</v>
      </c>
      <c r="S157" s="182" t="s">
        <v>293</v>
      </c>
      <c r="T157" s="182" t="s">
        <v>282</v>
      </c>
      <c r="U157" s="189">
        <v>46076</v>
      </c>
      <c r="V157" s="189">
        <v>46165</v>
      </c>
      <c r="W157" s="185">
        <f ca="1">V157-TODAY()</f>
        <v>80</v>
      </c>
      <c r="X157" s="188" t="str">
        <f ca="1">IF(W157&gt;=20,"Vigente",IF(AND(W157&gt;=1,W157&lt;=20),"Por Vencer","Vencido"))</f>
        <v>Vigente</v>
      </c>
    </row>
    <row r="158" spans="1:24" ht="50.1" hidden="1" customHeight="1">
      <c r="A158" s="190" t="s">
        <v>65</v>
      </c>
      <c r="B158" s="181" t="s">
        <v>992</v>
      </c>
      <c r="C158" s="182">
        <v>10469516</v>
      </c>
      <c r="D158" s="182">
        <v>7</v>
      </c>
      <c r="E158" s="183">
        <v>60</v>
      </c>
      <c r="F158" s="182" t="s">
        <v>25</v>
      </c>
      <c r="G158" s="182" t="s">
        <v>993</v>
      </c>
      <c r="H158" s="195" t="s">
        <v>316</v>
      </c>
      <c r="I158" s="182"/>
      <c r="J158" s="189"/>
      <c r="K158" s="182" t="s">
        <v>68</v>
      </c>
      <c r="L158" s="182" t="s">
        <v>274</v>
      </c>
      <c r="M158" s="189">
        <v>46071</v>
      </c>
      <c r="N158" s="181" t="s">
        <v>317</v>
      </c>
      <c r="O158" s="16" t="s">
        <v>64</v>
      </c>
      <c r="P158" s="182"/>
      <c r="Q158" s="181"/>
      <c r="R158" s="181" t="s">
        <v>317</v>
      </c>
      <c r="S158" s="182" t="s">
        <v>293</v>
      </c>
      <c r="T158" s="182" t="s">
        <v>282</v>
      </c>
      <c r="U158" s="189">
        <v>46076</v>
      </c>
      <c r="V158" s="189">
        <v>46165</v>
      </c>
      <c r="W158" s="185">
        <f ca="1">V158-TODAY()</f>
        <v>80</v>
      </c>
      <c r="X158" s="188" t="str">
        <f ca="1">IF(W158&gt;=20,"Vigente",IF(AND(W158&gt;=1,W158&lt;=20),"Por Vencer","Vencido"))</f>
        <v>Vigente</v>
      </c>
    </row>
    <row r="159" spans="1:24" ht="50.1" hidden="1" customHeight="1">
      <c r="A159" s="190" t="s">
        <v>189</v>
      </c>
      <c r="B159" s="197" t="s">
        <v>994</v>
      </c>
      <c r="C159" s="192">
        <v>9301880</v>
      </c>
      <c r="D159" s="192" t="s">
        <v>93</v>
      </c>
      <c r="E159" s="193">
        <v>66</v>
      </c>
      <c r="F159" s="192" t="s">
        <v>995</v>
      </c>
      <c r="G159" s="192" t="s">
        <v>77</v>
      </c>
      <c r="H159" s="195" t="s">
        <v>316</v>
      </c>
      <c r="I159" s="192">
        <v>2026</v>
      </c>
      <c r="J159" s="200">
        <v>46077</v>
      </c>
      <c r="K159" s="192" t="s">
        <v>172</v>
      </c>
      <c r="L159" s="192" t="s">
        <v>149</v>
      </c>
      <c r="M159" s="192"/>
      <c r="N159" s="197"/>
      <c r="O159" s="16" t="s">
        <v>64</v>
      </c>
      <c r="P159" s="192"/>
      <c r="Q159" s="197"/>
      <c r="R159" s="197"/>
      <c r="S159" s="192"/>
      <c r="T159" s="192"/>
      <c r="U159" s="192"/>
      <c r="V159" s="192"/>
      <c r="W159" s="185">
        <f ca="1">V159-TODAY()</f>
        <v>-46085</v>
      </c>
      <c r="X159" s="188" t="str">
        <f ca="1">IF(W159&gt;=20,"Vigente",IF(AND(W159&gt;=1,W159&lt;=20),"Por Vencer","Vencido"))</f>
        <v>Vencido</v>
      </c>
    </row>
    <row r="160" spans="1:24" ht="50.1" hidden="1" customHeight="1">
      <c r="A160" s="190" t="s">
        <v>189</v>
      </c>
      <c r="B160" s="181" t="s">
        <v>996</v>
      </c>
      <c r="C160" s="182">
        <v>5061584</v>
      </c>
      <c r="D160" s="182">
        <v>7</v>
      </c>
      <c r="E160" s="183">
        <v>80</v>
      </c>
      <c r="F160" s="182" t="s">
        <v>25</v>
      </c>
      <c r="G160" s="182" t="s">
        <v>60</v>
      </c>
      <c r="H160" s="195" t="s">
        <v>316</v>
      </c>
      <c r="I160" s="182">
        <v>2026</v>
      </c>
      <c r="J160" s="189">
        <v>46056</v>
      </c>
      <c r="K160" s="182" t="s">
        <v>172</v>
      </c>
      <c r="L160" s="192" t="s">
        <v>149</v>
      </c>
      <c r="M160" s="182"/>
      <c r="N160" s="181"/>
      <c r="O160" s="16" t="s">
        <v>64</v>
      </c>
      <c r="P160" s="182"/>
      <c r="Q160" s="181"/>
      <c r="R160" s="181"/>
      <c r="S160" s="182"/>
      <c r="T160" s="182"/>
      <c r="U160" s="182"/>
      <c r="V160" s="182"/>
      <c r="W160" s="185">
        <f t="shared" ref="W160:W165" ca="1" si="6">V160-TODAY()</f>
        <v>-46085</v>
      </c>
      <c r="X160" s="188" t="str">
        <f t="shared" ref="X160:X165" ca="1" si="7">IF(W160&gt;=20,"Vigente",IF(AND(W160&gt;=1,W160&lt;=20),"Por Vencer","Vencido"))</f>
        <v>Vencido</v>
      </c>
    </row>
    <row r="161" spans="1:24" ht="50.1" hidden="1" customHeight="1">
      <c r="A161" s="190" t="s">
        <v>65</v>
      </c>
      <c r="B161" s="181" t="s">
        <v>997</v>
      </c>
      <c r="C161" s="182">
        <v>4829916</v>
      </c>
      <c r="D161" s="182">
        <v>4</v>
      </c>
      <c r="E161" s="183">
        <v>83</v>
      </c>
      <c r="F161" s="182" t="s">
        <v>25</v>
      </c>
      <c r="G161" s="182" t="s">
        <v>198</v>
      </c>
      <c r="H161" s="195" t="s">
        <v>316</v>
      </c>
      <c r="I161" s="182"/>
      <c r="J161" s="182"/>
      <c r="K161" s="182" t="s">
        <v>172</v>
      </c>
      <c r="L161" s="182" t="s">
        <v>174</v>
      </c>
      <c r="M161" s="189">
        <v>46078</v>
      </c>
      <c r="N161" s="181" t="s">
        <v>998</v>
      </c>
      <c r="O161" s="16" t="s">
        <v>2</v>
      </c>
      <c r="P161" s="182" t="s">
        <v>158</v>
      </c>
      <c r="Q161" s="181"/>
      <c r="R161" s="181" t="s">
        <v>999</v>
      </c>
      <c r="S161" s="182" t="s">
        <v>289</v>
      </c>
      <c r="T161" s="182" t="s">
        <v>282</v>
      </c>
      <c r="U161" s="189">
        <v>46084</v>
      </c>
      <c r="V161" s="189">
        <v>46115</v>
      </c>
      <c r="W161" s="185">
        <f t="shared" ca="1" si="6"/>
        <v>30</v>
      </c>
      <c r="X161" s="188" t="str">
        <f t="shared" ca="1" si="7"/>
        <v>Vigente</v>
      </c>
    </row>
    <row r="162" spans="1:24" ht="50.1" hidden="1" customHeight="1">
      <c r="A162" s="190" t="s">
        <v>189</v>
      </c>
      <c r="B162" s="181" t="s">
        <v>1000</v>
      </c>
      <c r="C162" s="182">
        <v>6121734</v>
      </c>
      <c r="D162" s="182">
        <v>7</v>
      </c>
      <c r="E162" s="183">
        <v>77</v>
      </c>
      <c r="F162" s="182" t="s">
        <v>25</v>
      </c>
      <c r="G162" s="182" t="s">
        <v>77</v>
      </c>
      <c r="H162" s="195" t="s">
        <v>316</v>
      </c>
      <c r="I162" s="182">
        <v>2025</v>
      </c>
      <c r="J162" s="189">
        <v>46010</v>
      </c>
      <c r="K162" s="182" t="s">
        <v>68</v>
      </c>
      <c r="L162" s="182" t="s">
        <v>174</v>
      </c>
      <c r="M162" s="189">
        <v>46078</v>
      </c>
      <c r="N162" s="181" t="s">
        <v>1001</v>
      </c>
      <c r="O162" s="16" t="s">
        <v>2</v>
      </c>
      <c r="P162" s="182" t="s">
        <v>158</v>
      </c>
      <c r="Q162" s="181"/>
      <c r="R162" s="181" t="s">
        <v>1002</v>
      </c>
      <c r="S162" s="182" t="s">
        <v>289</v>
      </c>
      <c r="T162" s="182" t="s">
        <v>282</v>
      </c>
      <c r="U162" s="189">
        <v>46084</v>
      </c>
      <c r="V162" s="189">
        <v>46115</v>
      </c>
      <c r="W162" s="185">
        <f t="shared" ca="1" si="6"/>
        <v>30</v>
      </c>
      <c r="X162" s="188" t="str">
        <f t="shared" ca="1" si="7"/>
        <v>Vigente</v>
      </c>
    </row>
    <row r="163" spans="1:24" ht="50.1" hidden="1" customHeight="1">
      <c r="A163" s="182"/>
      <c r="B163" s="181"/>
      <c r="C163" s="182"/>
      <c r="D163" s="182"/>
      <c r="E163" s="183"/>
      <c r="F163" s="182"/>
      <c r="G163" s="182"/>
      <c r="H163" s="182"/>
      <c r="I163" s="182"/>
      <c r="J163" s="182"/>
      <c r="K163" s="182"/>
      <c r="L163" s="182"/>
      <c r="M163" s="182"/>
      <c r="N163" s="181"/>
      <c r="O163" s="182"/>
      <c r="P163" s="182"/>
      <c r="Q163" s="181"/>
      <c r="R163" s="181"/>
      <c r="S163" s="182"/>
      <c r="T163" s="182"/>
      <c r="U163" s="182"/>
      <c r="V163" s="182"/>
      <c r="W163" s="185">
        <f t="shared" ca="1" si="6"/>
        <v>-46085</v>
      </c>
      <c r="X163" s="188" t="str">
        <f t="shared" ca="1" si="7"/>
        <v>Vencido</v>
      </c>
    </row>
    <row r="164" spans="1:24" ht="50.1" hidden="1" customHeight="1">
      <c r="A164" s="182"/>
      <c r="B164" s="181"/>
      <c r="C164" s="182"/>
      <c r="D164" s="182"/>
      <c r="E164" s="183"/>
      <c r="F164" s="182"/>
      <c r="G164" s="182"/>
      <c r="H164" s="182"/>
      <c r="I164" s="182"/>
      <c r="J164" s="182"/>
      <c r="K164" s="182"/>
      <c r="L164" s="182"/>
      <c r="M164" s="182"/>
      <c r="N164" s="181"/>
      <c r="O164" s="182"/>
      <c r="P164" s="182"/>
      <c r="Q164" s="181"/>
      <c r="R164" s="181"/>
      <c r="S164" s="182"/>
      <c r="T164" s="182"/>
      <c r="U164" s="182"/>
      <c r="V164" s="182"/>
      <c r="W164" s="185">
        <f t="shared" ca="1" si="6"/>
        <v>-46085</v>
      </c>
      <c r="X164" s="188" t="str">
        <f t="shared" ca="1" si="7"/>
        <v>Vencido</v>
      </c>
    </row>
    <row r="165" spans="1:24" ht="50.1" hidden="1" customHeight="1">
      <c r="A165" s="182"/>
      <c r="B165" s="181"/>
      <c r="C165" s="182"/>
      <c r="D165" s="182"/>
      <c r="E165" s="183"/>
      <c r="F165" s="182"/>
      <c r="G165" s="182"/>
      <c r="H165" s="182"/>
      <c r="I165" s="182"/>
      <c r="J165" s="182"/>
      <c r="K165" s="182"/>
      <c r="L165" s="182"/>
      <c r="M165" s="182"/>
      <c r="N165" s="181"/>
      <c r="O165" s="182"/>
      <c r="P165" s="182"/>
      <c r="Q165" s="181"/>
      <c r="R165" s="181"/>
      <c r="S165" s="182"/>
      <c r="T165" s="182"/>
      <c r="U165" s="182"/>
      <c r="V165" s="182"/>
      <c r="W165" s="185">
        <f t="shared" ca="1" si="6"/>
        <v>-46085</v>
      </c>
      <c r="X165" s="188" t="str">
        <f t="shared" ca="1" si="7"/>
        <v>Vencido</v>
      </c>
    </row>
  </sheetData>
  <autoFilter ref="A2:X165" xr:uid="{00000000-0009-0000-0000-000003000000}">
    <filterColumn colId="1">
      <filters>
        <filter val="TOMAS ARAYA SANTANDER"/>
      </filters>
    </filterColumn>
    <sortState xmlns:xlrd2="http://schemas.microsoft.com/office/spreadsheetml/2017/richdata2" ref="A130:X130">
      <sortCondition descending="1" ref="B2:B141"/>
    </sortState>
  </autoFilter>
  <phoneticPr fontId="12" type="noConversion"/>
  <conditionalFormatting sqref="A3:A162">
    <cfRule type="containsText" dxfId="65" priority="75" operator="containsText" text="GES ">
      <formula>NOT(ISERROR(SEARCH("GES ",A3)))</formula>
    </cfRule>
    <cfRule type="containsText" dxfId="64" priority="76" operator="containsText" text="NO GES">
      <formula>NOT(ISERROR(SEARCH("NO GES",A3)))</formula>
    </cfRule>
  </conditionalFormatting>
  <conditionalFormatting sqref="O3:O7 O9:O15 O17:O18 O21:O22 O25 O27 O31:O34 O40:O41 O45:O46 O48:O52 O55:O57 O59:O61 O66 O70:O74 O77 O85:O89 O91:O92 O95:O96 O98 O100:O102 O110 O113:O117 O120:O124 O80:O83">
    <cfRule type="containsText" dxfId="63" priority="59" operator="containsText" text="HOV">
      <formula>NOT(ISERROR(SEARCH("HOV",O3)))</formula>
    </cfRule>
    <cfRule type="containsText" dxfId="62" priority="60" operator="containsText" text="HSP">
      <formula>NOT(ISERROR(SEARCH("HSP",O3)))</formula>
    </cfRule>
    <cfRule type="containsText" dxfId="61" priority="61" operator="containsText" text="HLS">
      <formula>NOT(ISERROR(SEARCH("HLS",O3)))</formula>
    </cfRule>
    <cfRule type="containsText" dxfId="60" priority="62" operator="containsText" text="HOV">
      <formula>NOT(ISERROR(SEARCH("HOV",O3)))</formula>
    </cfRule>
  </conditionalFormatting>
  <conditionalFormatting sqref="O8">
    <cfRule type="containsText" dxfId="59" priority="57" operator="containsText" text="STGO">
      <formula>NOT(ISERROR(SEARCH("STGO",O8)))</formula>
    </cfRule>
  </conditionalFormatting>
  <conditionalFormatting sqref="O16 O19:O20 O28:O30 O35:O36 O38:O39 O42:O44 O47 O53:O54 O58 O62:O65 O67:O69 O78:O79 O84 O90 O93:O94 O97 O99 O103:O107 O111:O112 O118:O119 O23:O24 O109">
    <cfRule type="containsText" dxfId="58" priority="58" operator="containsText" text="STGO">
      <formula>NOT(ISERROR(SEARCH("STGO",O16)))</formula>
    </cfRule>
  </conditionalFormatting>
  <conditionalFormatting sqref="O26">
    <cfRule type="containsText" dxfId="57" priority="56" operator="containsText" text="STGO">
      <formula>NOT(ISERROR(SEARCH("STGO",O26)))</formula>
    </cfRule>
  </conditionalFormatting>
  <conditionalFormatting sqref="O37">
    <cfRule type="containsText" dxfId="56" priority="52" operator="containsText" text="HOV">
      <formula>NOT(ISERROR(SEARCH("HOV",O37)))</formula>
    </cfRule>
    <cfRule type="containsText" dxfId="55" priority="53" operator="containsText" text="HSP">
      <formula>NOT(ISERROR(SEARCH("HSP",O37)))</formula>
    </cfRule>
    <cfRule type="containsText" dxfId="54" priority="54" operator="containsText" text="HLS">
      <formula>NOT(ISERROR(SEARCH("HLS",O37)))</formula>
    </cfRule>
    <cfRule type="containsText" dxfId="53" priority="55" operator="containsText" text="HOV">
      <formula>NOT(ISERROR(SEARCH("HOV",O37)))</formula>
    </cfRule>
  </conditionalFormatting>
  <conditionalFormatting sqref="O75:O76">
    <cfRule type="containsText" dxfId="52" priority="50" operator="containsText" text="STGO">
      <formula>NOT(ISERROR(SEARCH("STGO",O75)))</formula>
    </cfRule>
  </conditionalFormatting>
  <conditionalFormatting sqref="O125">
    <cfRule type="containsText" dxfId="51" priority="49" operator="containsText" text="STGO">
      <formula>NOT(ISERROR(SEARCH("STGO",O125)))</formula>
    </cfRule>
  </conditionalFormatting>
  <conditionalFormatting sqref="O126:O127">
    <cfRule type="containsText" dxfId="50" priority="45" operator="containsText" text="HOV">
      <formula>NOT(ISERROR(SEARCH("HOV",O126)))</formula>
    </cfRule>
    <cfRule type="containsText" dxfId="49" priority="46" operator="containsText" text="HSP">
      <formula>NOT(ISERROR(SEARCH("HSP",O126)))</formula>
    </cfRule>
    <cfRule type="containsText" dxfId="48" priority="47" operator="containsText" text="HLS">
      <formula>NOT(ISERROR(SEARCH("HLS",O126)))</formula>
    </cfRule>
    <cfRule type="containsText" dxfId="47" priority="48" operator="containsText" text="HOV">
      <formula>NOT(ISERROR(SEARCH("HOV",O126)))</formula>
    </cfRule>
  </conditionalFormatting>
  <conditionalFormatting sqref="O128">
    <cfRule type="containsText" dxfId="46" priority="44" operator="containsText" text="STGO">
      <formula>NOT(ISERROR(SEARCH("STGO",O128)))</formula>
    </cfRule>
  </conditionalFormatting>
  <conditionalFormatting sqref="O129:O130">
    <cfRule type="containsText" dxfId="45" priority="40" operator="containsText" text="HOV">
      <formula>NOT(ISERROR(SEARCH("HOV",O129)))</formula>
    </cfRule>
    <cfRule type="containsText" dxfId="44" priority="41" operator="containsText" text="HSP">
      <formula>NOT(ISERROR(SEARCH("HSP",O129)))</formula>
    </cfRule>
    <cfRule type="containsText" dxfId="43" priority="42" operator="containsText" text="HLS">
      <formula>NOT(ISERROR(SEARCH("HLS",O129)))</formula>
    </cfRule>
    <cfRule type="containsText" dxfId="42" priority="43" operator="containsText" text="HOV">
      <formula>NOT(ISERROR(SEARCH("HOV",O129)))</formula>
    </cfRule>
  </conditionalFormatting>
  <conditionalFormatting sqref="O131:O132">
    <cfRule type="containsText" dxfId="41" priority="39" operator="containsText" text="STGO">
      <formula>NOT(ISERROR(SEARCH("STGO",O131)))</formula>
    </cfRule>
  </conditionalFormatting>
  <conditionalFormatting sqref="O133">
    <cfRule type="containsText" dxfId="40" priority="35" operator="containsText" text="HOV">
      <formula>NOT(ISERROR(SEARCH("HOV",O133)))</formula>
    </cfRule>
    <cfRule type="containsText" dxfId="39" priority="36" operator="containsText" text="HSP">
      <formula>NOT(ISERROR(SEARCH("HSP",O133)))</formula>
    </cfRule>
    <cfRule type="containsText" dxfId="38" priority="37" operator="containsText" text="HLS">
      <formula>NOT(ISERROR(SEARCH("HLS",O133)))</formula>
    </cfRule>
    <cfRule type="containsText" dxfId="37" priority="38" operator="containsText" text="HOV">
      <formula>NOT(ISERROR(SEARCH("HOV",O133)))</formula>
    </cfRule>
  </conditionalFormatting>
  <conditionalFormatting sqref="O134:O135">
    <cfRule type="containsText" dxfId="36" priority="34" operator="containsText" text="STGO">
      <formula>NOT(ISERROR(SEARCH("STGO",O134)))</formula>
    </cfRule>
  </conditionalFormatting>
  <conditionalFormatting sqref="O136:O138">
    <cfRule type="containsText" dxfId="35" priority="30" operator="containsText" text="HOV">
      <formula>NOT(ISERROR(SEARCH("HOV",O136)))</formula>
    </cfRule>
    <cfRule type="containsText" dxfId="34" priority="31" operator="containsText" text="HSP">
      <formula>NOT(ISERROR(SEARCH("HSP",O136)))</formula>
    </cfRule>
    <cfRule type="containsText" dxfId="33" priority="32" operator="containsText" text="HLS">
      <formula>NOT(ISERROR(SEARCH("HLS",O136)))</formula>
    </cfRule>
    <cfRule type="containsText" dxfId="32" priority="33" operator="containsText" text="HOV">
      <formula>NOT(ISERROR(SEARCH("HOV",O136)))</formula>
    </cfRule>
  </conditionalFormatting>
  <conditionalFormatting sqref="O139">
    <cfRule type="containsText" dxfId="31" priority="29" operator="containsText" text="STGO">
      <formula>NOT(ISERROR(SEARCH("STGO",O139)))</formula>
    </cfRule>
  </conditionalFormatting>
  <conditionalFormatting sqref="X3:X165">
    <cfRule type="containsText" dxfId="30" priority="63" operator="containsText" text="vigente">
      <formula>NOT(ISERROR(SEARCH("vigente",X3)))</formula>
    </cfRule>
    <cfRule type="containsText" dxfId="29" priority="64" operator="containsText" text="por vencer">
      <formula>NOT(ISERROR(SEARCH("por vencer",X3)))</formula>
    </cfRule>
    <cfRule type="containsText" dxfId="28" priority="65" operator="containsText" text="vencido">
      <formula>NOT(ISERROR(SEARCH("vencido",X3)))</formula>
    </cfRule>
  </conditionalFormatting>
  <conditionalFormatting sqref="O140:O143">
    <cfRule type="containsText" dxfId="27" priority="25" operator="containsText" text="HOV">
      <formula>NOT(ISERROR(SEARCH("HOV",O140)))</formula>
    </cfRule>
    <cfRule type="containsText" dxfId="26" priority="26" operator="containsText" text="HSP">
      <formula>NOT(ISERROR(SEARCH("HSP",O140)))</formula>
    </cfRule>
    <cfRule type="containsText" dxfId="25" priority="27" operator="containsText" text="HLS">
      <formula>NOT(ISERROR(SEARCH("HLS",O140)))</formula>
    </cfRule>
    <cfRule type="containsText" dxfId="24" priority="28" operator="containsText" text="HOV">
      <formula>NOT(ISERROR(SEARCH("HOV",O140)))</formula>
    </cfRule>
  </conditionalFormatting>
  <conditionalFormatting sqref="O144">
    <cfRule type="containsText" dxfId="23" priority="24" operator="containsText" text="STGO">
      <formula>NOT(ISERROR(SEARCH("STGO",O144)))</formula>
    </cfRule>
  </conditionalFormatting>
  <conditionalFormatting sqref="O145:O147">
    <cfRule type="containsText" dxfId="22" priority="20" operator="containsText" text="HOV">
      <formula>NOT(ISERROR(SEARCH("HOV",O145)))</formula>
    </cfRule>
    <cfRule type="containsText" dxfId="21" priority="21" operator="containsText" text="HSP">
      <formula>NOT(ISERROR(SEARCH("HSP",O145)))</formula>
    </cfRule>
    <cfRule type="containsText" dxfId="20" priority="22" operator="containsText" text="HLS">
      <formula>NOT(ISERROR(SEARCH("HLS",O145)))</formula>
    </cfRule>
    <cfRule type="containsText" dxfId="19" priority="23" operator="containsText" text="HOV">
      <formula>NOT(ISERROR(SEARCH("HOV",O145)))</formula>
    </cfRule>
  </conditionalFormatting>
  <conditionalFormatting sqref="O148">
    <cfRule type="containsText" dxfId="18" priority="19" operator="containsText" text="STGO">
      <formula>NOT(ISERROR(SEARCH("STGO",O148)))</formula>
    </cfRule>
  </conditionalFormatting>
  <conditionalFormatting sqref="O108">
    <cfRule type="containsText" dxfId="17" priority="15" operator="containsText" text="HOV">
      <formula>NOT(ISERROR(SEARCH("HOV",O108)))</formula>
    </cfRule>
    <cfRule type="containsText" dxfId="16" priority="16" operator="containsText" text="HSP">
      <formula>NOT(ISERROR(SEARCH("HSP",O108)))</formula>
    </cfRule>
    <cfRule type="containsText" dxfId="15" priority="17" operator="containsText" text="HLS">
      <formula>NOT(ISERROR(SEARCH("HLS",O108)))</formula>
    </cfRule>
    <cfRule type="containsText" dxfId="14" priority="18" operator="containsText" text="HOV">
      <formula>NOT(ISERROR(SEARCH("HOV",O108)))</formula>
    </cfRule>
  </conditionalFormatting>
  <conditionalFormatting sqref="O149">
    <cfRule type="containsText" dxfId="13" priority="11" operator="containsText" text="HOV">
      <formula>NOT(ISERROR(SEARCH("HOV",O149)))</formula>
    </cfRule>
    <cfRule type="containsText" dxfId="12" priority="12" operator="containsText" text="HSP">
      <formula>NOT(ISERROR(SEARCH("HSP",O149)))</formula>
    </cfRule>
    <cfRule type="containsText" dxfId="11" priority="13" operator="containsText" text="HLS">
      <formula>NOT(ISERROR(SEARCH("HLS",O149)))</formula>
    </cfRule>
    <cfRule type="containsText" dxfId="10" priority="14" operator="containsText" text="HOV">
      <formula>NOT(ISERROR(SEARCH("HOV",O149)))</formula>
    </cfRule>
  </conditionalFormatting>
  <conditionalFormatting sqref="O150">
    <cfRule type="containsText" dxfId="9" priority="10" operator="containsText" text="STGO">
      <formula>NOT(ISERROR(SEARCH("STGO",O150)))</formula>
    </cfRule>
  </conditionalFormatting>
  <conditionalFormatting sqref="O151">
    <cfRule type="containsText" dxfId="8" priority="6" operator="containsText" text="HOV">
      <formula>NOT(ISERROR(SEARCH("HOV",O151)))</formula>
    </cfRule>
    <cfRule type="containsText" dxfId="7" priority="7" operator="containsText" text="HSP">
      <formula>NOT(ISERROR(SEARCH("HSP",O151)))</formula>
    </cfRule>
    <cfRule type="containsText" dxfId="6" priority="8" operator="containsText" text="HLS">
      <formula>NOT(ISERROR(SEARCH("HLS",O151)))</formula>
    </cfRule>
    <cfRule type="containsText" dxfId="5" priority="9" operator="containsText" text="HOV">
      <formula>NOT(ISERROR(SEARCH("HOV",O151)))</formula>
    </cfRule>
  </conditionalFormatting>
  <conditionalFormatting sqref="O152">
    <cfRule type="containsText" dxfId="4" priority="5" operator="containsText" text="STGO">
      <formula>NOT(ISERROR(SEARCH("STGO",O152)))</formula>
    </cfRule>
  </conditionalFormatting>
  <conditionalFormatting sqref="O154:O162">
    <cfRule type="containsText" dxfId="3" priority="1" operator="containsText" text="HOV">
      <formula>NOT(ISERROR(SEARCH("HOV",O154)))</formula>
    </cfRule>
    <cfRule type="containsText" dxfId="2" priority="2" operator="containsText" text="HSP">
      <formula>NOT(ISERROR(SEARCH("HSP",O154)))</formula>
    </cfRule>
    <cfRule type="containsText" dxfId="1" priority="3" operator="containsText" text="HLS">
      <formula>NOT(ISERROR(SEARCH("HLS",O154)))</formula>
    </cfRule>
    <cfRule type="containsText" dxfId="0" priority="4" operator="containsText" text="HOV">
      <formula>NOT(ISERROR(SEARCH("HOV",O154)))</formula>
    </cfRule>
  </conditionalFormatting>
  <dataValidations count="5">
    <dataValidation type="list" allowBlank="1" showInputMessage="1" showErrorMessage="1" sqref="M21" xr:uid="{00000000-0002-0000-0300-000000000000}">
      <formula1>Estado</formula1>
    </dataValidation>
    <dataValidation type="list" allowBlank="1" showInputMessage="1" showErrorMessage="1" sqref="K31 K34 K46 K4:K12 K36:K37 K39:K43 K48 K14:K23" xr:uid="{00000000-0002-0000-0300-000001000000}">
      <formula1>"Si,No"</formula1>
    </dataValidation>
    <dataValidation type="list" allowBlank="1" showInputMessage="1" showErrorMessage="1" sqref="L36" xr:uid="{00000000-0002-0000-0300-000002000000}">
      <formula1>"Sospecha,Confirmacion,Etapificacion,Tratamiento,Seguimiento"</formula1>
    </dataValidation>
    <dataValidation type="list" allowBlank="1" showInputMessage="1" showErrorMessage="1" sqref="P46 P59 P66 P3:P34" xr:uid="{00000000-0002-0000-0300-000003000000}">
      <formula1>"DETENIDO,CURSO"</formula1>
    </dataValidation>
    <dataValidation type="list" allowBlank="1" showInputMessage="1" showErrorMessage="1" sqref="L68:L70 L37:L66 L3:L35" xr:uid="{00000000-0002-0000-0300-000004000000}">
      <formula1>"Egreso,Confirmación,Etapificacion,Tratamiento,Seguimiento"</formula1>
    </dataValidation>
  </dataValidations>
  <pageMargins left="0.7" right="0.7" top="0.75" bottom="0.75" header="0.3" footer="0.3"/>
  <pageSetup paperSize="281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20890E513590489C491798FB2D34E1" ma:contentTypeVersion="3" ma:contentTypeDescription="Crear nuevo documento." ma:contentTypeScope="" ma:versionID="669702fb992fc1133f9b178ab376ca3f">
  <xsd:schema xmlns:xsd="http://www.w3.org/2001/XMLSchema" xmlns:xs="http://www.w3.org/2001/XMLSchema" xmlns:p="http://schemas.microsoft.com/office/2006/metadata/properties" xmlns:ns2="13caeeff-fc89-4e54-8ff7-5d5e5986c583" targetNamespace="http://schemas.microsoft.com/office/2006/metadata/properties" ma:root="true" ma:fieldsID="182f1d80fb21fb810ba2b0cf6370c5a3" ns2:_="">
    <xsd:import namespace="13caeeff-fc89-4e54-8ff7-5d5e5986c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aeeff-fc89-4e54-8ff7-5d5e5986c5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AD4274-8C34-404C-BA15-83F582444F06}"/>
</file>

<file path=customXml/itemProps2.xml><?xml version="1.0" encoding="utf-8"?>
<ds:datastoreItem xmlns:ds="http://schemas.openxmlformats.org/officeDocument/2006/customXml" ds:itemID="{3319C897-4993-470E-8FD9-A9BD54304464}"/>
</file>

<file path=customXml/itemProps3.xml><?xml version="1.0" encoding="utf-8"?>
<ds:datastoreItem xmlns:ds="http://schemas.openxmlformats.org/officeDocument/2006/customXml" ds:itemID="{C7D2B33C-1669-4023-AC12-C03B898C7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Hospital Provincial Ovalle</dc:creator>
  <cp:keywords/>
  <dc:description/>
  <cp:lastModifiedBy/>
  <cp:revision/>
  <dcterms:created xsi:type="dcterms:W3CDTF">2023-12-05T16:03:00Z</dcterms:created>
  <dcterms:modified xsi:type="dcterms:W3CDTF">2026-03-04T03:38:56Z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C361CE6D0BBD4EA0A9D514A358430A01_12</vt:lpwstr>
  </property>
  <property fmtid="{D5CDD505-2E9C-101B-9397-08002B2CF9AE}" pid="3" name="KSOProductBuildVer">
    <vt:lpwstr>3082-12.2.0.21931</vt:lpwstr>
  </property>
  <property fmtid="{D5CDD505-2E9C-101B-9397-08002B2CF9AE}" pid="4" name="ContentTypeId">
    <vt:lpwstr>0x010100E920890E513590489C491798FB2D34E1</vt:lpwstr>
  </property>
</Properties>
</file>